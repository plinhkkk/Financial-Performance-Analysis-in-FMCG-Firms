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64" windowHeight="0"/>
  </bookViews>
  <sheets>
    <sheet name="Sheet2" sheetId="3" r:id="rId1"/>
    <sheet name="Sheet1" sheetId="1" r:id="rId2"/>
    <sheet name="Sheet1 (2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" i="3" l="1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3" i="3"/>
  <c r="AH257" i="3"/>
  <c r="AH261" i="3"/>
  <c r="AH265" i="3"/>
  <c r="AH269" i="3"/>
  <c r="AH273" i="3"/>
  <c r="AH277" i="3"/>
  <c r="AI281" i="3"/>
  <c r="AI285" i="3"/>
  <c r="AI289" i="3"/>
  <c r="AI293" i="3"/>
  <c r="AI297" i="3"/>
  <c r="AI301" i="3"/>
  <c r="AI305" i="3"/>
  <c r="AI309" i="3"/>
  <c r="AI2" i="3"/>
  <c r="AH2" i="3"/>
  <c r="AH250" i="3"/>
  <c r="AI280" i="3"/>
  <c r="AI250" i="3"/>
  <c r="AH251" i="3"/>
  <c r="AI251" i="3"/>
  <c r="AH252" i="3"/>
  <c r="AI252" i="3"/>
  <c r="AH254" i="3"/>
  <c r="AI254" i="3"/>
  <c r="AH255" i="3"/>
  <c r="AI255" i="3"/>
  <c r="AH256" i="3"/>
  <c r="AI256" i="3"/>
  <c r="AH258" i="3"/>
  <c r="AI258" i="3"/>
  <c r="AH259" i="3"/>
  <c r="AI259" i="3"/>
  <c r="AH260" i="3"/>
  <c r="AI260" i="3"/>
  <c r="AH262" i="3"/>
  <c r="AI262" i="3"/>
  <c r="AH263" i="3"/>
  <c r="AI263" i="3"/>
  <c r="AH264" i="3"/>
  <c r="AI264" i="3"/>
  <c r="AH266" i="3"/>
  <c r="AI266" i="3"/>
  <c r="AH267" i="3"/>
  <c r="AI267" i="3"/>
  <c r="AH268" i="3"/>
  <c r="AI268" i="3"/>
  <c r="AH270" i="3"/>
  <c r="AI270" i="3"/>
  <c r="AH271" i="3"/>
  <c r="AI271" i="3"/>
  <c r="AH272" i="3"/>
  <c r="AI272" i="3"/>
  <c r="AH274" i="3"/>
  <c r="AI274" i="3"/>
  <c r="AH275" i="3"/>
  <c r="AI275" i="3"/>
  <c r="AH276" i="3"/>
  <c r="AI276" i="3"/>
  <c r="AH278" i="3"/>
  <c r="AI278" i="3"/>
  <c r="AH279" i="3"/>
  <c r="AI279" i="3"/>
  <c r="AH280" i="3"/>
  <c r="AH281" i="3"/>
  <c r="AH282" i="3"/>
  <c r="AI282" i="3"/>
  <c r="AH283" i="3"/>
  <c r="AI283" i="3"/>
  <c r="AH284" i="3"/>
  <c r="AI284" i="3"/>
  <c r="AH285" i="3"/>
  <c r="AH286" i="3"/>
  <c r="AI286" i="3"/>
  <c r="AH287" i="3"/>
  <c r="AI287" i="3"/>
  <c r="AH288" i="3"/>
  <c r="AI288" i="3"/>
  <c r="AH289" i="3"/>
  <c r="AH290" i="3"/>
  <c r="AI290" i="3"/>
  <c r="AH291" i="3"/>
  <c r="AI291" i="3"/>
  <c r="AH292" i="3"/>
  <c r="AI292" i="3"/>
  <c r="AH293" i="3"/>
  <c r="AH294" i="3"/>
  <c r="AI294" i="3"/>
  <c r="AH295" i="3"/>
  <c r="AI295" i="3"/>
  <c r="AH296" i="3"/>
  <c r="AI296" i="3"/>
  <c r="AH297" i="3"/>
  <c r="AH298" i="3"/>
  <c r="AI298" i="3"/>
  <c r="AH299" i="3"/>
  <c r="AI299" i="3"/>
  <c r="AH300" i="3"/>
  <c r="AI300" i="3"/>
  <c r="AH301" i="3"/>
  <c r="AH302" i="3"/>
  <c r="AI302" i="3"/>
  <c r="AH303" i="3"/>
  <c r="AI303" i="3"/>
  <c r="AH304" i="3"/>
  <c r="AI304" i="3"/>
  <c r="AH305" i="3"/>
  <c r="AH306" i="3"/>
  <c r="AI306" i="3"/>
  <c r="AH307" i="3"/>
  <c r="AI307" i="3"/>
  <c r="AH308" i="3"/>
  <c r="AI308" i="3"/>
  <c r="AH309" i="3"/>
  <c r="AH310" i="3"/>
  <c r="AI310" i="3"/>
  <c r="AH311" i="3"/>
  <c r="AI311" i="3"/>
  <c r="AI277" i="3" l="1"/>
  <c r="AI273" i="3"/>
  <c r="AI269" i="3"/>
  <c r="AI265" i="3"/>
  <c r="AI261" i="3"/>
  <c r="AI257" i="3"/>
  <c r="AI253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2" i="3"/>
  <c r="W2" i="3" l="1"/>
  <c r="W3" i="3"/>
  <c r="AC3" i="3" l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AA2" i="3"/>
  <c r="Z2" i="3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2" i="3"/>
  <c r="O3" i="3"/>
  <c r="O4" i="3"/>
  <c r="AD4" i="3" s="1"/>
  <c r="O5" i="3"/>
  <c r="O6" i="3"/>
  <c r="O7" i="3"/>
  <c r="O8" i="3"/>
  <c r="O9" i="3"/>
  <c r="O10" i="3"/>
  <c r="O11" i="3"/>
  <c r="O12" i="3"/>
  <c r="AD12" i="3" s="1"/>
  <c r="O13" i="3"/>
  <c r="O14" i="3"/>
  <c r="O15" i="3"/>
  <c r="O16" i="3"/>
  <c r="O17" i="3"/>
  <c r="O18" i="3"/>
  <c r="O19" i="3"/>
  <c r="O20" i="3"/>
  <c r="AD20" i="3" s="1"/>
  <c r="O21" i="3"/>
  <c r="O22" i="3"/>
  <c r="O23" i="3"/>
  <c r="O24" i="3"/>
  <c r="O25" i="3"/>
  <c r="O26" i="3"/>
  <c r="O27" i="3"/>
  <c r="O28" i="3"/>
  <c r="AD28" i="3" s="1"/>
  <c r="O29" i="3"/>
  <c r="O30" i="3"/>
  <c r="O31" i="3"/>
  <c r="O32" i="3"/>
  <c r="O33" i="3"/>
  <c r="O34" i="3"/>
  <c r="O35" i="3"/>
  <c r="O36" i="3"/>
  <c r="AD36" i="3" s="1"/>
  <c r="O37" i="3"/>
  <c r="O38" i="3"/>
  <c r="O39" i="3"/>
  <c r="O40" i="3"/>
  <c r="O41" i="3"/>
  <c r="O42" i="3"/>
  <c r="O43" i="3"/>
  <c r="O44" i="3"/>
  <c r="AD44" i="3" s="1"/>
  <c r="O45" i="3"/>
  <c r="O46" i="3"/>
  <c r="O47" i="3"/>
  <c r="O48" i="3"/>
  <c r="O49" i="3"/>
  <c r="O50" i="3"/>
  <c r="O51" i="3"/>
  <c r="O52" i="3"/>
  <c r="AD52" i="3" s="1"/>
  <c r="O53" i="3"/>
  <c r="O54" i="3"/>
  <c r="O55" i="3"/>
  <c r="O56" i="3"/>
  <c r="O57" i="3"/>
  <c r="O58" i="3"/>
  <c r="O59" i="3"/>
  <c r="O60" i="3"/>
  <c r="AD60" i="3" s="1"/>
  <c r="O61" i="3"/>
  <c r="O62" i="3"/>
  <c r="O63" i="3"/>
  <c r="O64" i="3"/>
  <c r="O65" i="3"/>
  <c r="O66" i="3"/>
  <c r="O67" i="3"/>
  <c r="O68" i="3"/>
  <c r="AD68" i="3" s="1"/>
  <c r="O69" i="3"/>
  <c r="O70" i="3"/>
  <c r="O71" i="3"/>
  <c r="O72" i="3"/>
  <c r="O73" i="3"/>
  <c r="O74" i="3"/>
  <c r="O75" i="3"/>
  <c r="O76" i="3"/>
  <c r="AD76" i="3" s="1"/>
  <c r="O77" i="3"/>
  <c r="O78" i="3"/>
  <c r="O79" i="3"/>
  <c r="O80" i="3"/>
  <c r="O81" i="3"/>
  <c r="O82" i="3"/>
  <c r="O83" i="3"/>
  <c r="O84" i="3"/>
  <c r="AD84" i="3" s="1"/>
  <c r="O85" i="3"/>
  <c r="O86" i="3"/>
  <c r="O87" i="3"/>
  <c r="O88" i="3"/>
  <c r="O89" i="3"/>
  <c r="O90" i="3"/>
  <c r="O91" i="3"/>
  <c r="O92" i="3"/>
  <c r="AD92" i="3" s="1"/>
  <c r="O93" i="3"/>
  <c r="O94" i="3"/>
  <c r="O95" i="3"/>
  <c r="O96" i="3"/>
  <c r="O97" i="3"/>
  <c r="O98" i="3"/>
  <c r="O99" i="3"/>
  <c r="O100" i="3"/>
  <c r="AD100" i="3" s="1"/>
  <c r="O101" i="3"/>
  <c r="O102" i="3"/>
  <c r="O103" i="3"/>
  <c r="O104" i="3"/>
  <c r="O105" i="3"/>
  <c r="O106" i="3"/>
  <c r="O107" i="3"/>
  <c r="O108" i="3"/>
  <c r="AD108" i="3" s="1"/>
  <c r="O109" i="3"/>
  <c r="O110" i="3"/>
  <c r="O111" i="3"/>
  <c r="O112" i="3"/>
  <c r="O113" i="3"/>
  <c r="O114" i="3"/>
  <c r="O115" i="3"/>
  <c r="O116" i="3"/>
  <c r="AD116" i="3" s="1"/>
  <c r="O117" i="3"/>
  <c r="O118" i="3"/>
  <c r="O119" i="3"/>
  <c r="O120" i="3"/>
  <c r="O121" i="3"/>
  <c r="O122" i="3"/>
  <c r="O123" i="3"/>
  <c r="O124" i="3"/>
  <c r="AD124" i="3" s="1"/>
  <c r="O125" i="3"/>
  <c r="O126" i="3"/>
  <c r="O127" i="3"/>
  <c r="O128" i="3"/>
  <c r="O129" i="3"/>
  <c r="O130" i="3"/>
  <c r="O131" i="3"/>
  <c r="O132" i="3"/>
  <c r="AD132" i="3" s="1"/>
  <c r="O133" i="3"/>
  <c r="O134" i="3"/>
  <c r="O135" i="3"/>
  <c r="O136" i="3"/>
  <c r="O137" i="3"/>
  <c r="O138" i="3"/>
  <c r="O139" i="3"/>
  <c r="O140" i="3"/>
  <c r="AD140" i="3" s="1"/>
  <c r="O141" i="3"/>
  <c r="O142" i="3"/>
  <c r="O143" i="3"/>
  <c r="O144" i="3"/>
  <c r="O145" i="3"/>
  <c r="O146" i="3"/>
  <c r="O147" i="3"/>
  <c r="O148" i="3"/>
  <c r="AD148" i="3" s="1"/>
  <c r="O149" i="3"/>
  <c r="O150" i="3"/>
  <c r="O151" i="3"/>
  <c r="O152" i="3"/>
  <c r="O153" i="3"/>
  <c r="O154" i="3"/>
  <c r="O155" i="3"/>
  <c r="O156" i="3"/>
  <c r="AD156" i="3" s="1"/>
  <c r="O157" i="3"/>
  <c r="O158" i="3"/>
  <c r="O159" i="3"/>
  <c r="O160" i="3"/>
  <c r="O161" i="3"/>
  <c r="O162" i="3"/>
  <c r="O163" i="3"/>
  <c r="O164" i="3"/>
  <c r="AD164" i="3" s="1"/>
  <c r="O165" i="3"/>
  <c r="O166" i="3"/>
  <c r="O167" i="3"/>
  <c r="O168" i="3"/>
  <c r="O169" i="3"/>
  <c r="O170" i="3"/>
  <c r="O171" i="3"/>
  <c r="O172" i="3"/>
  <c r="AD172" i="3" s="1"/>
  <c r="O173" i="3"/>
  <c r="O174" i="3"/>
  <c r="O175" i="3"/>
  <c r="O176" i="3"/>
  <c r="O177" i="3"/>
  <c r="O178" i="3"/>
  <c r="O179" i="3"/>
  <c r="O180" i="3"/>
  <c r="AD180" i="3" s="1"/>
  <c r="O181" i="3"/>
  <c r="O182" i="3"/>
  <c r="O183" i="3"/>
  <c r="O184" i="3"/>
  <c r="O185" i="3"/>
  <c r="O186" i="3"/>
  <c r="O187" i="3"/>
  <c r="O188" i="3"/>
  <c r="AD188" i="3" s="1"/>
  <c r="O189" i="3"/>
  <c r="O190" i="3"/>
  <c r="O191" i="3"/>
  <c r="O192" i="3"/>
  <c r="O193" i="3"/>
  <c r="O194" i="3"/>
  <c r="O195" i="3"/>
  <c r="O196" i="3"/>
  <c r="AD196" i="3" s="1"/>
  <c r="O197" i="3"/>
  <c r="O198" i="3"/>
  <c r="O199" i="3"/>
  <c r="O200" i="3"/>
  <c r="O201" i="3"/>
  <c r="O202" i="3"/>
  <c r="O203" i="3"/>
  <c r="O204" i="3"/>
  <c r="AD204" i="3" s="1"/>
  <c r="O205" i="3"/>
  <c r="O206" i="3"/>
  <c r="O207" i="3"/>
  <c r="O208" i="3"/>
  <c r="O209" i="3"/>
  <c r="O210" i="3"/>
  <c r="O211" i="3"/>
  <c r="O212" i="3"/>
  <c r="AD212" i="3" s="1"/>
  <c r="O213" i="3"/>
  <c r="O214" i="3"/>
  <c r="O215" i="3"/>
  <c r="O216" i="3"/>
  <c r="O217" i="3"/>
  <c r="O218" i="3"/>
  <c r="O219" i="3"/>
  <c r="O220" i="3"/>
  <c r="AD220" i="3" s="1"/>
  <c r="O221" i="3"/>
  <c r="O222" i="3"/>
  <c r="O223" i="3"/>
  <c r="O224" i="3"/>
  <c r="O225" i="3"/>
  <c r="O226" i="3"/>
  <c r="O227" i="3"/>
  <c r="O228" i="3"/>
  <c r="AD228" i="3" s="1"/>
  <c r="O229" i="3"/>
  <c r="O230" i="3"/>
  <c r="O231" i="3"/>
  <c r="O232" i="3"/>
  <c r="O233" i="3"/>
  <c r="O234" i="3"/>
  <c r="O235" i="3"/>
  <c r="O236" i="3"/>
  <c r="AD236" i="3" s="1"/>
  <c r="O237" i="3"/>
  <c r="O238" i="3"/>
  <c r="O239" i="3"/>
  <c r="O240" i="3"/>
  <c r="O241" i="3"/>
  <c r="O242" i="3"/>
  <c r="O243" i="3"/>
  <c r="O244" i="3"/>
  <c r="AD244" i="3" s="1"/>
  <c r="O245" i="3"/>
  <c r="O246" i="3"/>
  <c r="O247" i="3"/>
  <c r="O248" i="3"/>
  <c r="O249" i="3"/>
  <c r="O250" i="3"/>
  <c r="O251" i="3"/>
  <c r="O252" i="3"/>
  <c r="AD252" i="3" s="1"/>
  <c r="O253" i="3"/>
  <c r="O254" i="3"/>
  <c r="O255" i="3"/>
  <c r="O256" i="3"/>
  <c r="O257" i="3"/>
  <c r="O258" i="3"/>
  <c r="O259" i="3"/>
  <c r="O260" i="3"/>
  <c r="AD260" i="3" s="1"/>
  <c r="O261" i="3"/>
  <c r="O262" i="3"/>
  <c r="O263" i="3"/>
  <c r="O264" i="3"/>
  <c r="O265" i="3"/>
  <c r="O266" i="3"/>
  <c r="O267" i="3"/>
  <c r="O268" i="3"/>
  <c r="AD268" i="3" s="1"/>
  <c r="O269" i="3"/>
  <c r="O270" i="3"/>
  <c r="O271" i="3"/>
  <c r="O272" i="3"/>
  <c r="O273" i="3"/>
  <c r="O274" i="3"/>
  <c r="O275" i="3"/>
  <c r="O276" i="3"/>
  <c r="AD276" i="3" s="1"/>
  <c r="O277" i="3"/>
  <c r="O278" i="3"/>
  <c r="O279" i="3"/>
  <c r="O280" i="3"/>
  <c r="O281" i="3"/>
  <c r="O282" i="3"/>
  <c r="O283" i="3"/>
  <c r="O284" i="3"/>
  <c r="AD284" i="3" s="1"/>
  <c r="O285" i="3"/>
  <c r="O286" i="3"/>
  <c r="O287" i="3"/>
  <c r="O288" i="3"/>
  <c r="O289" i="3"/>
  <c r="O290" i="3"/>
  <c r="O291" i="3"/>
  <c r="O292" i="3"/>
  <c r="AD292" i="3" s="1"/>
  <c r="O293" i="3"/>
  <c r="O294" i="3"/>
  <c r="O295" i="3"/>
  <c r="O296" i="3"/>
  <c r="O297" i="3"/>
  <c r="O298" i="3"/>
  <c r="O299" i="3"/>
  <c r="O300" i="3"/>
  <c r="AD300" i="3" s="1"/>
  <c r="O301" i="3"/>
  <c r="O302" i="3"/>
  <c r="O303" i="3"/>
  <c r="O304" i="3"/>
  <c r="O305" i="3"/>
  <c r="O306" i="3"/>
  <c r="O307" i="3"/>
  <c r="O308" i="3"/>
  <c r="AD308" i="3" s="1"/>
  <c r="O309" i="3"/>
  <c r="O310" i="3"/>
  <c r="O311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2" i="3"/>
  <c r="AG311" i="3"/>
  <c r="AB311" i="3"/>
  <c r="W311" i="3"/>
  <c r="AG310" i="3"/>
  <c r="AB310" i="3"/>
  <c r="W310" i="3"/>
  <c r="AG309" i="3"/>
  <c r="AB309" i="3"/>
  <c r="W309" i="3"/>
  <c r="AG308" i="3"/>
  <c r="AB308" i="3"/>
  <c r="W308" i="3"/>
  <c r="AG307" i="3"/>
  <c r="AB307" i="3"/>
  <c r="W307" i="3"/>
  <c r="AG306" i="3"/>
  <c r="AB306" i="3"/>
  <c r="W306" i="3"/>
  <c r="AG305" i="3"/>
  <c r="AB305" i="3"/>
  <c r="W305" i="3"/>
  <c r="AG304" i="3"/>
  <c r="AB304" i="3"/>
  <c r="W304" i="3"/>
  <c r="AG303" i="3"/>
  <c r="AB303" i="3"/>
  <c r="W303" i="3"/>
  <c r="AG302" i="3"/>
  <c r="AB302" i="3"/>
  <c r="W302" i="3"/>
  <c r="AG301" i="3"/>
  <c r="AB301" i="3"/>
  <c r="W301" i="3"/>
  <c r="AG300" i="3"/>
  <c r="AB300" i="3"/>
  <c r="W300" i="3"/>
  <c r="AG299" i="3"/>
  <c r="AB299" i="3"/>
  <c r="W299" i="3"/>
  <c r="AG298" i="3"/>
  <c r="AB298" i="3"/>
  <c r="W298" i="3"/>
  <c r="AG297" i="3"/>
  <c r="AB297" i="3"/>
  <c r="W297" i="3"/>
  <c r="AG296" i="3"/>
  <c r="AB296" i="3"/>
  <c r="W296" i="3"/>
  <c r="AG295" i="3"/>
  <c r="AB295" i="3"/>
  <c r="W295" i="3"/>
  <c r="AG294" i="3"/>
  <c r="AB294" i="3"/>
  <c r="W294" i="3"/>
  <c r="AG293" i="3"/>
  <c r="AB293" i="3"/>
  <c r="W293" i="3"/>
  <c r="AG292" i="3"/>
  <c r="AB292" i="3"/>
  <c r="W292" i="3"/>
  <c r="AG291" i="3"/>
  <c r="AB291" i="3"/>
  <c r="W291" i="3"/>
  <c r="AG290" i="3"/>
  <c r="AB290" i="3"/>
  <c r="W290" i="3"/>
  <c r="AG289" i="3"/>
  <c r="AB289" i="3"/>
  <c r="W289" i="3"/>
  <c r="AG288" i="3"/>
  <c r="AB288" i="3"/>
  <c r="W288" i="3"/>
  <c r="AG287" i="3"/>
  <c r="AB287" i="3"/>
  <c r="W287" i="3"/>
  <c r="AG286" i="3"/>
  <c r="AB286" i="3"/>
  <c r="W286" i="3"/>
  <c r="AG285" i="3"/>
  <c r="AB285" i="3"/>
  <c r="W285" i="3"/>
  <c r="AG284" i="3"/>
  <c r="AB284" i="3"/>
  <c r="W284" i="3"/>
  <c r="AG283" i="3"/>
  <c r="AB283" i="3"/>
  <c r="W283" i="3"/>
  <c r="AG282" i="3"/>
  <c r="AB282" i="3"/>
  <c r="W282" i="3"/>
  <c r="AG281" i="3"/>
  <c r="AB281" i="3"/>
  <c r="W281" i="3"/>
  <c r="AG280" i="3"/>
  <c r="AB280" i="3"/>
  <c r="W280" i="3"/>
  <c r="AG279" i="3"/>
  <c r="AB279" i="3"/>
  <c r="W279" i="3"/>
  <c r="AG278" i="3"/>
  <c r="AB278" i="3"/>
  <c r="W278" i="3"/>
  <c r="AG277" i="3"/>
  <c r="AB277" i="3"/>
  <c r="W277" i="3"/>
  <c r="AG276" i="3"/>
  <c r="AB276" i="3"/>
  <c r="W276" i="3"/>
  <c r="AG275" i="3"/>
  <c r="AB275" i="3"/>
  <c r="W275" i="3"/>
  <c r="AG274" i="3"/>
  <c r="AB274" i="3"/>
  <c r="W274" i="3"/>
  <c r="AG273" i="3"/>
  <c r="AB273" i="3"/>
  <c r="W273" i="3"/>
  <c r="AG272" i="3"/>
  <c r="AB272" i="3"/>
  <c r="W272" i="3"/>
  <c r="AG271" i="3"/>
  <c r="AB271" i="3"/>
  <c r="W271" i="3"/>
  <c r="AG270" i="3"/>
  <c r="AB270" i="3"/>
  <c r="W270" i="3"/>
  <c r="AG269" i="3"/>
  <c r="AB269" i="3"/>
  <c r="W269" i="3"/>
  <c r="AG268" i="3"/>
  <c r="AB268" i="3"/>
  <c r="W268" i="3"/>
  <c r="AG267" i="3"/>
  <c r="AB267" i="3"/>
  <c r="W267" i="3"/>
  <c r="AG266" i="3"/>
  <c r="AB266" i="3"/>
  <c r="W266" i="3"/>
  <c r="AG265" i="3"/>
  <c r="AB265" i="3"/>
  <c r="W265" i="3"/>
  <c r="AG264" i="3"/>
  <c r="AB264" i="3"/>
  <c r="W264" i="3"/>
  <c r="AG263" i="3"/>
  <c r="AB263" i="3"/>
  <c r="W263" i="3"/>
  <c r="AG262" i="3"/>
  <c r="AB262" i="3"/>
  <c r="W262" i="3"/>
  <c r="AG261" i="3"/>
  <c r="AB261" i="3"/>
  <c r="W261" i="3"/>
  <c r="AG260" i="3"/>
  <c r="AB260" i="3"/>
  <c r="W260" i="3"/>
  <c r="AG259" i="3"/>
  <c r="AB259" i="3"/>
  <c r="W259" i="3"/>
  <c r="AG258" i="3"/>
  <c r="AB258" i="3"/>
  <c r="W258" i="3"/>
  <c r="AG257" i="3"/>
  <c r="AB257" i="3"/>
  <c r="W257" i="3"/>
  <c r="AG256" i="3"/>
  <c r="AB256" i="3"/>
  <c r="W256" i="3"/>
  <c r="AG255" i="3"/>
  <c r="AB255" i="3"/>
  <c r="W255" i="3"/>
  <c r="AG254" i="3"/>
  <c r="AB254" i="3"/>
  <c r="W254" i="3"/>
  <c r="AG253" i="3"/>
  <c r="AB253" i="3"/>
  <c r="W253" i="3"/>
  <c r="AG252" i="3"/>
  <c r="AB252" i="3"/>
  <c r="W252" i="3"/>
  <c r="AG251" i="3"/>
  <c r="AB251" i="3"/>
  <c r="W251" i="3"/>
  <c r="AG250" i="3"/>
  <c r="AB250" i="3"/>
  <c r="W250" i="3"/>
  <c r="AG249" i="3"/>
  <c r="AB249" i="3"/>
  <c r="W249" i="3"/>
  <c r="AG248" i="3"/>
  <c r="AB248" i="3"/>
  <c r="W248" i="3"/>
  <c r="AG247" i="3"/>
  <c r="AB247" i="3"/>
  <c r="W247" i="3"/>
  <c r="AG246" i="3"/>
  <c r="AB246" i="3"/>
  <c r="W246" i="3"/>
  <c r="AG245" i="3"/>
  <c r="AB245" i="3"/>
  <c r="W245" i="3"/>
  <c r="AG244" i="3"/>
  <c r="AB244" i="3"/>
  <c r="W244" i="3"/>
  <c r="AG243" i="3"/>
  <c r="AB243" i="3"/>
  <c r="W243" i="3"/>
  <c r="AG242" i="3"/>
  <c r="AB242" i="3"/>
  <c r="W242" i="3"/>
  <c r="AG241" i="3"/>
  <c r="AB241" i="3"/>
  <c r="W241" i="3"/>
  <c r="AG240" i="3"/>
  <c r="AB240" i="3"/>
  <c r="W240" i="3"/>
  <c r="AG239" i="3"/>
  <c r="AB239" i="3"/>
  <c r="W239" i="3"/>
  <c r="AG238" i="3"/>
  <c r="AB238" i="3"/>
  <c r="W238" i="3"/>
  <c r="AG237" i="3"/>
  <c r="AB237" i="3"/>
  <c r="W237" i="3"/>
  <c r="AG236" i="3"/>
  <c r="AB236" i="3"/>
  <c r="W236" i="3"/>
  <c r="AG235" i="3"/>
  <c r="AB235" i="3"/>
  <c r="W235" i="3"/>
  <c r="AG234" i="3"/>
  <c r="AB234" i="3"/>
  <c r="W234" i="3"/>
  <c r="AG233" i="3"/>
  <c r="AB233" i="3"/>
  <c r="W233" i="3"/>
  <c r="AG232" i="3"/>
  <c r="AB232" i="3"/>
  <c r="W232" i="3"/>
  <c r="AG231" i="3"/>
  <c r="AB231" i="3"/>
  <c r="W231" i="3"/>
  <c r="AG230" i="3"/>
  <c r="AB230" i="3"/>
  <c r="W230" i="3"/>
  <c r="AG229" i="3"/>
  <c r="AB229" i="3"/>
  <c r="W229" i="3"/>
  <c r="AG228" i="3"/>
  <c r="AB228" i="3"/>
  <c r="W228" i="3"/>
  <c r="AG227" i="3"/>
  <c r="AB227" i="3"/>
  <c r="W227" i="3"/>
  <c r="AG226" i="3"/>
  <c r="AB226" i="3"/>
  <c r="W226" i="3"/>
  <c r="AG225" i="3"/>
  <c r="AB225" i="3"/>
  <c r="W225" i="3"/>
  <c r="AG224" i="3"/>
  <c r="AB224" i="3"/>
  <c r="W224" i="3"/>
  <c r="AG223" i="3"/>
  <c r="AB223" i="3"/>
  <c r="W223" i="3"/>
  <c r="AG222" i="3"/>
  <c r="AB222" i="3"/>
  <c r="W222" i="3"/>
  <c r="AG221" i="3"/>
  <c r="AB221" i="3"/>
  <c r="W221" i="3"/>
  <c r="AG220" i="3"/>
  <c r="AB220" i="3"/>
  <c r="W220" i="3"/>
  <c r="AG219" i="3"/>
  <c r="AB219" i="3"/>
  <c r="W219" i="3"/>
  <c r="AG218" i="3"/>
  <c r="AB218" i="3"/>
  <c r="W218" i="3"/>
  <c r="AG217" i="3"/>
  <c r="AB217" i="3"/>
  <c r="W217" i="3"/>
  <c r="AG216" i="3"/>
  <c r="AB216" i="3"/>
  <c r="W216" i="3"/>
  <c r="AG215" i="3"/>
  <c r="AB215" i="3"/>
  <c r="W215" i="3"/>
  <c r="AG214" i="3"/>
  <c r="AB214" i="3"/>
  <c r="W214" i="3"/>
  <c r="AG213" i="3"/>
  <c r="AB213" i="3"/>
  <c r="W213" i="3"/>
  <c r="AG212" i="3"/>
  <c r="AB212" i="3"/>
  <c r="W212" i="3"/>
  <c r="AG211" i="3"/>
  <c r="AB211" i="3"/>
  <c r="W211" i="3"/>
  <c r="AG210" i="3"/>
  <c r="AB210" i="3"/>
  <c r="W210" i="3"/>
  <c r="AG209" i="3"/>
  <c r="AB209" i="3"/>
  <c r="W209" i="3"/>
  <c r="AG208" i="3"/>
  <c r="AB208" i="3"/>
  <c r="W208" i="3"/>
  <c r="AG207" i="3"/>
  <c r="AB207" i="3"/>
  <c r="W207" i="3"/>
  <c r="AG206" i="3"/>
  <c r="AB206" i="3"/>
  <c r="W206" i="3"/>
  <c r="AG205" i="3"/>
  <c r="AB205" i="3"/>
  <c r="W205" i="3"/>
  <c r="AG204" i="3"/>
  <c r="AB204" i="3"/>
  <c r="W204" i="3"/>
  <c r="AG203" i="3"/>
  <c r="AB203" i="3"/>
  <c r="W203" i="3"/>
  <c r="AG202" i="3"/>
  <c r="AB202" i="3"/>
  <c r="W202" i="3"/>
  <c r="AG201" i="3"/>
  <c r="AB201" i="3"/>
  <c r="W201" i="3"/>
  <c r="AG200" i="3"/>
  <c r="AB200" i="3"/>
  <c r="W200" i="3"/>
  <c r="AG199" i="3"/>
  <c r="AB199" i="3"/>
  <c r="W199" i="3"/>
  <c r="AG198" i="3"/>
  <c r="AB198" i="3"/>
  <c r="W198" i="3"/>
  <c r="AG197" i="3"/>
  <c r="AB197" i="3"/>
  <c r="W197" i="3"/>
  <c r="AG196" i="3"/>
  <c r="AB196" i="3"/>
  <c r="W196" i="3"/>
  <c r="AG195" i="3"/>
  <c r="AB195" i="3"/>
  <c r="W195" i="3"/>
  <c r="AG194" i="3"/>
  <c r="AB194" i="3"/>
  <c r="W194" i="3"/>
  <c r="AG193" i="3"/>
  <c r="AB193" i="3"/>
  <c r="W193" i="3"/>
  <c r="AG192" i="3"/>
  <c r="AB192" i="3"/>
  <c r="W192" i="3"/>
  <c r="AG191" i="3"/>
  <c r="AB191" i="3"/>
  <c r="W191" i="3"/>
  <c r="AG190" i="3"/>
  <c r="AB190" i="3"/>
  <c r="W190" i="3"/>
  <c r="AG189" i="3"/>
  <c r="AB189" i="3"/>
  <c r="W189" i="3"/>
  <c r="AG188" i="3"/>
  <c r="AB188" i="3"/>
  <c r="W188" i="3"/>
  <c r="AG187" i="3"/>
  <c r="AB187" i="3"/>
  <c r="W187" i="3"/>
  <c r="AG186" i="3"/>
  <c r="AB186" i="3"/>
  <c r="W186" i="3"/>
  <c r="AG185" i="3"/>
  <c r="AB185" i="3"/>
  <c r="W185" i="3"/>
  <c r="AG184" i="3"/>
  <c r="AB184" i="3"/>
  <c r="W184" i="3"/>
  <c r="AG183" i="3"/>
  <c r="AB183" i="3"/>
  <c r="W183" i="3"/>
  <c r="AG182" i="3"/>
  <c r="AB182" i="3"/>
  <c r="W182" i="3"/>
  <c r="AG181" i="3"/>
  <c r="AB181" i="3"/>
  <c r="W181" i="3"/>
  <c r="AG180" i="3"/>
  <c r="AB180" i="3"/>
  <c r="W180" i="3"/>
  <c r="AG179" i="3"/>
  <c r="AB179" i="3"/>
  <c r="W179" i="3"/>
  <c r="AG178" i="3"/>
  <c r="AB178" i="3"/>
  <c r="W178" i="3"/>
  <c r="AG177" i="3"/>
  <c r="AB177" i="3"/>
  <c r="W177" i="3"/>
  <c r="AG176" i="3"/>
  <c r="AB176" i="3"/>
  <c r="W176" i="3"/>
  <c r="AG175" i="3"/>
  <c r="AB175" i="3"/>
  <c r="W175" i="3"/>
  <c r="AG174" i="3"/>
  <c r="AB174" i="3"/>
  <c r="W174" i="3"/>
  <c r="AG173" i="3"/>
  <c r="AB173" i="3"/>
  <c r="W173" i="3"/>
  <c r="AG172" i="3"/>
  <c r="AB172" i="3"/>
  <c r="W172" i="3"/>
  <c r="AG171" i="3"/>
  <c r="AB171" i="3"/>
  <c r="W171" i="3"/>
  <c r="AG170" i="3"/>
  <c r="AB170" i="3"/>
  <c r="W170" i="3"/>
  <c r="AG169" i="3"/>
  <c r="AB169" i="3"/>
  <c r="W169" i="3"/>
  <c r="AG168" i="3"/>
  <c r="AB168" i="3"/>
  <c r="W168" i="3"/>
  <c r="AG167" i="3"/>
  <c r="AB167" i="3"/>
  <c r="W167" i="3"/>
  <c r="AG166" i="3"/>
  <c r="AB166" i="3"/>
  <c r="W166" i="3"/>
  <c r="AG165" i="3"/>
  <c r="AB165" i="3"/>
  <c r="W165" i="3"/>
  <c r="AG164" i="3"/>
  <c r="AB164" i="3"/>
  <c r="W164" i="3"/>
  <c r="AG163" i="3"/>
  <c r="AB163" i="3"/>
  <c r="W163" i="3"/>
  <c r="AG162" i="3"/>
  <c r="AB162" i="3"/>
  <c r="W162" i="3"/>
  <c r="AG161" i="3"/>
  <c r="AB161" i="3"/>
  <c r="W161" i="3"/>
  <c r="AG160" i="3"/>
  <c r="AB160" i="3"/>
  <c r="W160" i="3"/>
  <c r="AG159" i="3"/>
  <c r="AB159" i="3"/>
  <c r="W159" i="3"/>
  <c r="AG158" i="3"/>
  <c r="AB158" i="3"/>
  <c r="W158" i="3"/>
  <c r="AG157" i="3"/>
  <c r="AB157" i="3"/>
  <c r="W157" i="3"/>
  <c r="AG156" i="3"/>
  <c r="AB156" i="3"/>
  <c r="W156" i="3"/>
  <c r="AG155" i="3"/>
  <c r="AB155" i="3"/>
  <c r="W155" i="3"/>
  <c r="AG154" i="3"/>
  <c r="AB154" i="3"/>
  <c r="W154" i="3"/>
  <c r="AG153" i="3"/>
  <c r="AB153" i="3"/>
  <c r="W153" i="3"/>
  <c r="AG152" i="3"/>
  <c r="AB152" i="3"/>
  <c r="W152" i="3"/>
  <c r="AG151" i="3"/>
  <c r="AB151" i="3"/>
  <c r="W151" i="3"/>
  <c r="AG150" i="3"/>
  <c r="AB150" i="3"/>
  <c r="W150" i="3"/>
  <c r="AG149" i="3"/>
  <c r="AB149" i="3"/>
  <c r="W149" i="3"/>
  <c r="AG148" i="3"/>
  <c r="AB148" i="3"/>
  <c r="W148" i="3"/>
  <c r="AG147" i="3"/>
  <c r="AB147" i="3"/>
  <c r="W147" i="3"/>
  <c r="AG146" i="3"/>
  <c r="AB146" i="3"/>
  <c r="W146" i="3"/>
  <c r="AG145" i="3"/>
  <c r="AB145" i="3"/>
  <c r="W145" i="3"/>
  <c r="AG144" i="3"/>
  <c r="AB144" i="3"/>
  <c r="W144" i="3"/>
  <c r="AG143" i="3"/>
  <c r="AB143" i="3"/>
  <c r="W143" i="3"/>
  <c r="AG142" i="3"/>
  <c r="AB142" i="3"/>
  <c r="W142" i="3"/>
  <c r="AG141" i="3"/>
  <c r="AB141" i="3"/>
  <c r="W141" i="3"/>
  <c r="AG140" i="3"/>
  <c r="AB140" i="3"/>
  <c r="W140" i="3"/>
  <c r="AG139" i="3"/>
  <c r="AB139" i="3"/>
  <c r="W139" i="3"/>
  <c r="AG138" i="3"/>
  <c r="AB138" i="3"/>
  <c r="W138" i="3"/>
  <c r="AG137" i="3"/>
  <c r="AB137" i="3"/>
  <c r="W137" i="3"/>
  <c r="AG136" i="3"/>
  <c r="AB136" i="3"/>
  <c r="W136" i="3"/>
  <c r="AG135" i="3"/>
  <c r="AB135" i="3"/>
  <c r="W135" i="3"/>
  <c r="AG134" i="3"/>
  <c r="AB134" i="3"/>
  <c r="W134" i="3"/>
  <c r="AG133" i="3"/>
  <c r="AB133" i="3"/>
  <c r="W133" i="3"/>
  <c r="AG132" i="3"/>
  <c r="AB132" i="3"/>
  <c r="W132" i="3"/>
  <c r="AG131" i="3"/>
  <c r="AB131" i="3"/>
  <c r="W131" i="3"/>
  <c r="AG130" i="3"/>
  <c r="AB130" i="3"/>
  <c r="W130" i="3"/>
  <c r="AG129" i="3"/>
  <c r="AB129" i="3"/>
  <c r="W129" i="3"/>
  <c r="AG128" i="3"/>
  <c r="AB128" i="3"/>
  <c r="W128" i="3"/>
  <c r="AG127" i="3"/>
  <c r="AB127" i="3"/>
  <c r="W127" i="3"/>
  <c r="AG126" i="3"/>
  <c r="AB126" i="3"/>
  <c r="W126" i="3"/>
  <c r="AG125" i="3"/>
  <c r="AB125" i="3"/>
  <c r="W125" i="3"/>
  <c r="AG124" i="3"/>
  <c r="AB124" i="3"/>
  <c r="W124" i="3"/>
  <c r="AG123" i="3"/>
  <c r="AB123" i="3"/>
  <c r="W123" i="3"/>
  <c r="AG122" i="3"/>
  <c r="AB122" i="3"/>
  <c r="W122" i="3"/>
  <c r="AG121" i="3"/>
  <c r="AB121" i="3"/>
  <c r="W121" i="3"/>
  <c r="AG120" i="3"/>
  <c r="AB120" i="3"/>
  <c r="W120" i="3"/>
  <c r="AG119" i="3"/>
  <c r="AB119" i="3"/>
  <c r="W119" i="3"/>
  <c r="AG118" i="3"/>
  <c r="AB118" i="3"/>
  <c r="W118" i="3"/>
  <c r="AG117" i="3"/>
  <c r="AB117" i="3"/>
  <c r="W117" i="3"/>
  <c r="AG116" i="3"/>
  <c r="AB116" i="3"/>
  <c r="W116" i="3"/>
  <c r="AG115" i="3"/>
  <c r="AB115" i="3"/>
  <c r="W115" i="3"/>
  <c r="AG114" i="3"/>
  <c r="AB114" i="3"/>
  <c r="W114" i="3"/>
  <c r="AG113" i="3"/>
  <c r="AB113" i="3"/>
  <c r="W113" i="3"/>
  <c r="AG112" i="3"/>
  <c r="AB112" i="3"/>
  <c r="W112" i="3"/>
  <c r="AG111" i="3"/>
  <c r="AB111" i="3"/>
  <c r="W111" i="3"/>
  <c r="AG110" i="3"/>
  <c r="AB110" i="3"/>
  <c r="W110" i="3"/>
  <c r="AG109" i="3"/>
  <c r="AB109" i="3"/>
  <c r="W109" i="3"/>
  <c r="AG108" i="3"/>
  <c r="AB108" i="3"/>
  <c r="W108" i="3"/>
  <c r="AG107" i="3"/>
  <c r="AB107" i="3"/>
  <c r="W107" i="3"/>
  <c r="AG106" i="3"/>
  <c r="AB106" i="3"/>
  <c r="W106" i="3"/>
  <c r="AG105" i="3"/>
  <c r="AB105" i="3"/>
  <c r="W105" i="3"/>
  <c r="AG104" i="3"/>
  <c r="AB104" i="3"/>
  <c r="W104" i="3"/>
  <c r="AG103" i="3"/>
  <c r="AB103" i="3"/>
  <c r="W103" i="3"/>
  <c r="AG102" i="3"/>
  <c r="AB102" i="3"/>
  <c r="W102" i="3"/>
  <c r="AG101" i="3"/>
  <c r="AB101" i="3"/>
  <c r="W101" i="3"/>
  <c r="AG100" i="3"/>
  <c r="AB100" i="3"/>
  <c r="W100" i="3"/>
  <c r="AG99" i="3"/>
  <c r="AB99" i="3"/>
  <c r="W99" i="3"/>
  <c r="AG98" i="3"/>
  <c r="AB98" i="3"/>
  <c r="W98" i="3"/>
  <c r="AG97" i="3"/>
  <c r="AB97" i="3"/>
  <c r="W97" i="3"/>
  <c r="AG96" i="3"/>
  <c r="AB96" i="3"/>
  <c r="W96" i="3"/>
  <c r="AG95" i="3"/>
  <c r="AB95" i="3"/>
  <c r="W95" i="3"/>
  <c r="AG94" i="3"/>
  <c r="AB94" i="3"/>
  <c r="W94" i="3"/>
  <c r="AG93" i="3"/>
  <c r="AB93" i="3"/>
  <c r="W93" i="3"/>
  <c r="AG92" i="3"/>
  <c r="AB92" i="3"/>
  <c r="W92" i="3"/>
  <c r="AG91" i="3"/>
  <c r="AB91" i="3"/>
  <c r="W91" i="3"/>
  <c r="AG90" i="3"/>
  <c r="AB90" i="3"/>
  <c r="W90" i="3"/>
  <c r="AG89" i="3"/>
  <c r="AB89" i="3"/>
  <c r="W89" i="3"/>
  <c r="AG88" i="3"/>
  <c r="AB88" i="3"/>
  <c r="W88" i="3"/>
  <c r="AG87" i="3"/>
  <c r="AB87" i="3"/>
  <c r="W87" i="3"/>
  <c r="AG86" i="3"/>
  <c r="AB86" i="3"/>
  <c r="W86" i="3"/>
  <c r="AG85" i="3"/>
  <c r="AB85" i="3"/>
  <c r="W85" i="3"/>
  <c r="AG84" i="3"/>
  <c r="AB84" i="3"/>
  <c r="W84" i="3"/>
  <c r="AG83" i="3"/>
  <c r="AB83" i="3"/>
  <c r="W83" i="3"/>
  <c r="AG82" i="3"/>
  <c r="AB82" i="3"/>
  <c r="W82" i="3"/>
  <c r="AG81" i="3"/>
  <c r="AB81" i="3"/>
  <c r="W81" i="3"/>
  <c r="AG80" i="3"/>
  <c r="AB80" i="3"/>
  <c r="W80" i="3"/>
  <c r="AG79" i="3"/>
  <c r="AB79" i="3"/>
  <c r="W79" i="3"/>
  <c r="AG78" i="3"/>
  <c r="AB78" i="3"/>
  <c r="W78" i="3"/>
  <c r="AG77" i="3"/>
  <c r="AB77" i="3"/>
  <c r="W77" i="3"/>
  <c r="AG76" i="3"/>
  <c r="AB76" i="3"/>
  <c r="W76" i="3"/>
  <c r="AG75" i="3"/>
  <c r="AB75" i="3"/>
  <c r="W75" i="3"/>
  <c r="AG74" i="3"/>
  <c r="AB74" i="3"/>
  <c r="W74" i="3"/>
  <c r="AG73" i="3"/>
  <c r="AB73" i="3"/>
  <c r="W73" i="3"/>
  <c r="AG72" i="3"/>
  <c r="AB72" i="3"/>
  <c r="W72" i="3"/>
  <c r="AG71" i="3"/>
  <c r="AB71" i="3"/>
  <c r="W71" i="3"/>
  <c r="AG70" i="3"/>
  <c r="AB70" i="3"/>
  <c r="W70" i="3"/>
  <c r="AG69" i="3"/>
  <c r="AB69" i="3"/>
  <c r="W69" i="3"/>
  <c r="AG68" i="3"/>
  <c r="AB68" i="3"/>
  <c r="W68" i="3"/>
  <c r="AG67" i="3"/>
  <c r="AB67" i="3"/>
  <c r="W67" i="3"/>
  <c r="AG66" i="3"/>
  <c r="AB66" i="3"/>
  <c r="W66" i="3"/>
  <c r="AG65" i="3"/>
  <c r="AB65" i="3"/>
  <c r="W65" i="3"/>
  <c r="AG64" i="3"/>
  <c r="AB64" i="3"/>
  <c r="W64" i="3"/>
  <c r="AG63" i="3"/>
  <c r="AB63" i="3"/>
  <c r="W63" i="3"/>
  <c r="AG62" i="3"/>
  <c r="AB62" i="3"/>
  <c r="W62" i="3"/>
  <c r="AG61" i="3"/>
  <c r="AB61" i="3"/>
  <c r="W61" i="3"/>
  <c r="AG60" i="3"/>
  <c r="AB60" i="3"/>
  <c r="W60" i="3"/>
  <c r="AG59" i="3"/>
  <c r="AB59" i="3"/>
  <c r="W59" i="3"/>
  <c r="AG58" i="3"/>
  <c r="AB58" i="3"/>
  <c r="W58" i="3"/>
  <c r="AG57" i="3"/>
  <c r="AB57" i="3"/>
  <c r="W57" i="3"/>
  <c r="AG56" i="3"/>
  <c r="AB56" i="3"/>
  <c r="W56" i="3"/>
  <c r="AG55" i="3"/>
  <c r="AB55" i="3"/>
  <c r="W55" i="3"/>
  <c r="AG54" i="3"/>
  <c r="AB54" i="3"/>
  <c r="W54" i="3"/>
  <c r="AG53" i="3"/>
  <c r="AB53" i="3"/>
  <c r="W53" i="3"/>
  <c r="AG52" i="3"/>
  <c r="AB52" i="3"/>
  <c r="W52" i="3"/>
  <c r="AG51" i="3"/>
  <c r="AB51" i="3"/>
  <c r="W51" i="3"/>
  <c r="AG50" i="3"/>
  <c r="AB50" i="3"/>
  <c r="W50" i="3"/>
  <c r="AG49" i="3"/>
  <c r="AB49" i="3"/>
  <c r="W49" i="3"/>
  <c r="AG48" i="3"/>
  <c r="AB48" i="3"/>
  <c r="W48" i="3"/>
  <c r="AG47" i="3"/>
  <c r="AB47" i="3"/>
  <c r="W47" i="3"/>
  <c r="AG46" i="3"/>
  <c r="AB46" i="3"/>
  <c r="W46" i="3"/>
  <c r="AG45" i="3"/>
  <c r="AB45" i="3"/>
  <c r="W45" i="3"/>
  <c r="AG44" i="3"/>
  <c r="AB44" i="3"/>
  <c r="W44" i="3"/>
  <c r="AG43" i="3"/>
  <c r="AB43" i="3"/>
  <c r="W43" i="3"/>
  <c r="AG42" i="3"/>
  <c r="AB42" i="3"/>
  <c r="W42" i="3"/>
  <c r="AG41" i="3"/>
  <c r="AB41" i="3"/>
  <c r="W41" i="3"/>
  <c r="AG40" i="3"/>
  <c r="AB40" i="3"/>
  <c r="W40" i="3"/>
  <c r="AG39" i="3"/>
  <c r="AB39" i="3"/>
  <c r="W39" i="3"/>
  <c r="AG38" i="3"/>
  <c r="AB38" i="3"/>
  <c r="W38" i="3"/>
  <c r="AG37" i="3"/>
  <c r="AB37" i="3"/>
  <c r="W37" i="3"/>
  <c r="AG36" i="3"/>
  <c r="AB36" i="3"/>
  <c r="W36" i="3"/>
  <c r="AG35" i="3"/>
  <c r="AB35" i="3"/>
  <c r="W35" i="3"/>
  <c r="AG34" i="3"/>
  <c r="AB34" i="3"/>
  <c r="W34" i="3"/>
  <c r="AG33" i="3"/>
  <c r="AB33" i="3"/>
  <c r="W33" i="3"/>
  <c r="AG32" i="3"/>
  <c r="AB32" i="3"/>
  <c r="W32" i="3"/>
  <c r="AG31" i="3"/>
  <c r="AB31" i="3"/>
  <c r="W31" i="3"/>
  <c r="AG30" i="3"/>
  <c r="AB30" i="3"/>
  <c r="W30" i="3"/>
  <c r="AG29" i="3"/>
  <c r="AB29" i="3"/>
  <c r="W29" i="3"/>
  <c r="AG28" i="3"/>
  <c r="AB28" i="3"/>
  <c r="W28" i="3"/>
  <c r="AG27" i="3"/>
  <c r="AB27" i="3"/>
  <c r="W27" i="3"/>
  <c r="AG26" i="3"/>
  <c r="AB26" i="3"/>
  <c r="W26" i="3"/>
  <c r="AG25" i="3"/>
  <c r="AB25" i="3"/>
  <c r="W25" i="3"/>
  <c r="AG24" i="3"/>
  <c r="AB24" i="3"/>
  <c r="W24" i="3"/>
  <c r="AG23" i="3"/>
  <c r="AB23" i="3"/>
  <c r="W23" i="3"/>
  <c r="AG22" i="3"/>
  <c r="AB22" i="3"/>
  <c r="W22" i="3"/>
  <c r="AG21" i="3"/>
  <c r="AB21" i="3"/>
  <c r="W21" i="3"/>
  <c r="AG20" i="3"/>
  <c r="AB20" i="3"/>
  <c r="W20" i="3"/>
  <c r="AG19" i="3"/>
  <c r="AB19" i="3"/>
  <c r="W19" i="3"/>
  <c r="AG18" i="3"/>
  <c r="AB18" i="3"/>
  <c r="W18" i="3"/>
  <c r="AG17" i="3"/>
  <c r="AB17" i="3"/>
  <c r="W17" i="3"/>
  <c r="AG16" i="3"/>
  <c r="AB16" i="3"/>
  <c r="W16" i="3"/>
  <c r="AG15" i="3"/>
  <c r="AB15" i="3"/>
  <c r="W15" i="3"/>
  <c r="AG14" i="3"/>
  <c r="AB14" i="3"/>
  <c r="W14" i="3"/>
  <c r="AG13" i="3"/>
  <c r="AB13" i="3"/>
  <c r="W13" i="3"/>
  <c r="AG12" i="3"/>
  <c r="AB12" i="3"/>
  <c r="W12" i="3"/>
  <c r="AG11" i="3"/>
  <c r="AB11" i="3"/>
  <c r="W11" i="3"/>
  <c r="AG10" i="3"/>
  <c r="AB10" i="3"/>
  <c r="W10" i="3"/>
  <c r="AG9" i="3"/>
  <c r="AB9" i="3"/>
  <c r="W9" i="3"/>
  <c r="AG8" i="3"/>
  <c r="AB8" i="3"/>
  <c r="W8" i="3"/>
  <c r="AG7" i="3"/>
  <c r="AB7" i="3"/>
  <c r="W7" i="3"/>
  <c r="AG6" i="3"/>
  <c r="AB6" i="3"/>
  <c r="W6" i="3"/>
  <c r="AG5" i="3"/>
  <c r="AB5" i="3"/>
  <c r="W5" i="3"/>
  <c r="AG4" i="3"/>
  <c r="AB4" i="3"/>
  <c r="W4" i="3"/>
  <c r="AG3" i="3"/>
  <c r="AB3" i="3"/>
  <c r="AG2" i="3"/>
  <c r="AB2" i="3"/>
  <c r="AD2" i="3" l="1"/>
  <c r="AD304" i="3"/>
  <c r="AD296" i="3"/>
  <c r="AD288" i="3"/>
  <c r="AD280" i="3"/>
  <c r="AD272" i="3"/>
  <c r="AD264" i="3"/>
  <c r="AD256" i="3"/>
  <c r="AD248" i="3"/>
  <c r="AD240" i="3"/>
  <c r="AD232" i="3"/>
  <c r="AD224" i="3"/>
  <c r="AD216" i="3"/>
  <c r="AD208" i="3"/>
  <c r="AD200" i="3"/>
  <c r="AD192" i="3"/>
  <c r="AD184" i="3"/>
  <c r="AD176" i="3"/>
  <c r="AD168" i="3"/>
  <c r="AD160" i="3"/>
  <c r="AD152" i="3"/>
  <c r="AD144" i="3"/>
  <c r="AD136" i="3"/>
  <c r="AD128" i="3"/>
  <c r="AD120" i="3"/>
  <c r="AD112" i="3"/>
  <c r="AD104" i="3"/>
  <c r="AD96" i="3"/>
  <c r="AD88" i="3"/>
  <c r="AD80" i="3"/>
  <c r="AD72" i="3"/>
  <c r="AD64" i="3"/>
  <c r="AD56" i="3"/>
  <c r="AD48" i="3"/>
  <c r="AD40" i="3"/>
  <c r="AD32" i="3"/>
  <c r="AD24" i="3"/>
  <c r="AD16" i="3"/>
  <c r="AD8" i="3"/>
  <c r="AD311" i="3"/>
  <c r="AD303" i="3"/>
  <c r="AD295" i="3"/>
  <c r="AD287" i="3"/>
  <c r="AD279" i="3"/>
  <c r="AD271" i="3"/>
  <c r="AD263" i="3"/>
  <c r="AD255" i="3"/>
  <c r="AD247" i="3"/>
  <c r="AD239" i="3"/>
  <c r="AD231" i="3"/>
  <c r="AD223" i="3"/>
  <c r="AD215" i="3"/>
  <c r="AD111" i="3"/>
  <c r="AD103" i="3"/>
  <c r="AD95" i="3"/>
  <c r="AD87" i="3"/>
  <c r="AD79" i="3"/>
  <c r="AD71" i="3"/>
  <c r="AD63" i="3"/>
  <c r="AD55" i="3"/>
  <c r="AD47" i="3"/>
  <c r="AD39" i="3"/>
  <c r="AD31" i="3"/>
  <c r="AD23" i="3"/>
  <c r="AD15" i="3"/>
  <c r="AD7" i="3"/>
  <c r="AD307" i="3"/>
  <c r="AD299" i="3"/>
  <c r="AD291" i="3"/>
  <c r="AD283" i="3"/>
  <c r="AD275" i="3"/>
  <c r="AD267" i="3"/>
  <c r="AD259" i="3"/>
  <c r="AD251" i="3"/>
  <c r="AD243" i="3"/>
  <c r="AD235" i="3"/>
  <c r="AD227" i="3"/>
  <c r="AD219" i="3"/>
  <c r="AD211" i="3"/>
  <c r="AD203" i="3"/>
  <c r="AD195" i="3"/>
  <c r="AD187" i="3"/>
  <c r="AD179" i="3"/>
  <c r="AD171" i="3"/>
  <c r="AD163" i="3"/>
  <c r="AD155" i="3"/>
  <c r="AD147" i="3"/>
  <c r="AD139" i="3"/>
  <c r="AD131" i="3"/>
  <c r="AD123" i="3"/>
  <c r="AD115" i="3"/>
  <c r="AD107" i="3"/>
  <c r="AD99" i="3"/>
  <c r="AD91" i="3"/>
  <c r="AD83" i="3"/>
  <c r="AD75" i="3"/>
  <c r="AD67" i="3"/>
  <c r="AD59" i="3"/>
  <c r="AD51" i="3"/>
  <c r="AD43" i="3"/>
  <c r="AD35" i="3"/>
  <c r="AD27" i="3"/>
  <c r="AD19" i="3"/>
  <c r="AD11" i="3"/>
  <c r="AD3" i="3"/>
  <c r="AD306" i="3"/>
  <c r="AD298" i="3"/>
  <c r="AD290" i="3"/>
  <c r="AD282" i="3"/>
  <c r="AD274" i="3"/>
  <c r="AD266" i="3"/>
  <c r="AD258" i="3"/>
  <c r="AD250" i="3"/>
  <c r="AD242" i="3"/>
  <c r="AD234" i="3"/>
  <c r="AD226" i="3"/>
  <c r="AD218" i="3"/>
  <c r="AD210" i="3"/>
  <c r="AD202" i="3"/>
  <c r="AD194" i="3"/>
  <c r="AD186" i="3"/>
  <c r="AD178" i="3"/>
  <c r="AD170" i="3"/>
  <c r="AD162" i="3"/>
  <c r="AD154" i="3"/>
  <c r="AD146" i="3"/>
  <c r="AD138" i="3"/>
  <c r="AD130" i="3"/>
  <c r="AD122" i="3"/>
  <c r="AD114" i="3"/>
  <c r="AD106" i="3"/>
  <c r="AD98" i="3"/>
  <c r="AD90" i="3"/>
  <c r="AD82" i="3"/>
  <c r="AD74" i="3"/>
  <c r="AD66" i="3"/>
  <c r="AD58" i="3"/>
  <c r="AD50" i="3"/>
  <c r="AD42" i="3"/>
  <c r="AD34" i="3"/>
  <c r="AD26" i="3"/>
  <c r="AD18" i="3"/>
  <c r="AD10" i="3"/>
  <c r="AD305" i="3"/>
  <c r="AD297" i="3"/>
  <c r="AD289" i="3"/>
  <c r="AD281" i="3"/>
  <c r="AD273" i="3"/>
  <c r="AD265" i="3"/>
  <c r="AD257" i="3"/>
  <c r="AD249" i="3"/>
  <c r="AD241" i="3"/>
  <c r="AD233" i="3"/>
  <c r="AD225" i="3"/>
  <c r="AD217" i="3"/>
  <c r="AD209" i="3"/>
  <c r="AD201" i="3"/>
  <c r="AD193" i="3"/>
  <c r="AD185" i="3"/>
  <c r="AD177" i="3"/>
  <c r="AD169" i="3"/>
  <c r="AD161" i="3"/>
  <c r="AD153" i="3"/>
  <c r="AD145" i="3"/>
  <c r="AD137" i="3"/>
  <c r="AD129" i="3"/>
  <c r="AD121" i="3"/>
  <c r="AD113" i="3"/>
  <c r="AD105" i="3"/>
  <c r="AD97" i="3"/>
  <c r="AD89" i="3"/>
  <c r="AD81" i="3"/>
  <c r="AD73" i="3"/>
  <c r="AD65" i="3"/>
  <c r="AD57" i="3"/>
  <c r="AD49" i="3"/>
  <c r="AD41" i="3"/>
  <c r="AD33" i="3"/>
  <c r="AD25" i="3"/>
  <c r="AD17" i="3"/>
  <c r="AD9" i="3"/>
  <c r="AD207" i="3"/>
  <c r="AD199" i="3"/>
  <c r="AD191" i="3"/>
  <c r="AD183" i="3"/>
  <c r="AD175" i="3"/>
  <c r="AD167" i="3"/>
  <c r="AD159" i="3"/>
  <c r="AD151" i="3"/>
  <c r="AD143" i="3"/>
  <c r="AD135" i="3"/>
  <c r="AD127" i="3"/>
  <c r="AD119" i="3"/>
  <c r="AD310" i="3"/>
  <c r="AD302" i="3"/>
  <c r="AD294" i="3"/>
  <c r="AD286" i="3"/>
  <c r="AD278" i="3"/>
  <c r="AD270" i="3"/>
  <c r="AD262" i="3"/>
  <c r="AD254" i="3"/>
  <c r="AD246" i="3"/>
  <c r="AD238" i="3"/>
  <c r="AD230" i="3"/>
  <c r="AD222" i="3"/>
  <c r="AD214" i="3"/>
  <c r="AD206" i="3"/>
  <c r="AD198" i="3"/>
  <c r="AD190" i="3"/>
  <c r="AD182" i="3"/>
  <c r="AD174" i="3"/>
  <c r="AD166" i="3"/>
  <c r="AD158" i="3"/>
  <c r="AD150" i="3"/>
  <c r="AD142" i="3"/>
  <c r="AD134" i="3"/>
  <c r="AD126" i="3"/>
  <c r="AD118" i="3"/>
  <c r="AD110" i="3"/>
  <c r="AD102" i="3"/>
  <c r="AD94" i="3"/>
  <c r="AD86" i="3"/>
  <c r="AD78" i="3"/>
  <c r="AD70" i="3"/>
  <c r="AD62" i="3"/>
  <c r="AD54" i="3"/>
  <c r="AD46" i="3"/>
  <c r="AD38" i="3"/>
  <c r="AD30" i="3"/>
  <c r="AD22" i="3"/>
  <c r="AD14" i="3"/>
  <c r="AD6" i="3"/>
  <c r="AD309" i="3"/>
  <c r="AD301" i="3"/>
  <c r="AD293" i="3"/>
  <c r="AD285" i="3"/>
  <c r="AD277" i="3"/>
  <c r="AD269" i="3"/>
  <c r="AD261" i="3"/>
  <c r="AD253" i="3"/>
  <c r="AD245" i="3"/>
  <c r="AD237" i="3"/>
  <c r="AD229" i="3"/>
  <c r="AD221" i="3"/>
  <c r="AD213" i="3"/>
  <c r="AD205" i="3"/>
  <c r="AD197" i="3"/>
  <c r="AD189" i="3"/>
  <c r="AD181" i="3"/>
  <c r="AD173" i="3"/>
  <c r="AD165" i="3"/>
  <c r="AD157" i="3"/>
  <c r="AD149" i="3"/>
  <c r="AD141" i="3"/>
  <c r="AD133" i="3"/>
  <c r="AD125" i="3"/>
  <c r="AD117" i="3"/>
  <c r="AD109" i="3"/>
  <c r="AD101" i="3"/>
  <c r="AD93" i="3"/>
  <c r="AD85" i="3"/>
  <c r="AD77" i="3"/>
  <c r="AD69" i="3"/>
  <c r="AD61" i="3"/>
  <c r="AD53" i="3"/>
  <c r="AD45" i="3"/>
  <c r="AD37" i="3"/>
  <c r="AD29" i="3"/>
  <c r="AD21" i="3"/>
  <c r="AD13" i="3"/>
  <c r="AD5" i="3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2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2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2" i="1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AA311" i="2"/>
  <c r="Z311" i="2"/>
  <c r="Y311" i="2"/>
  <c r="W311" i="2"/>
  <c r="V311" i="2"/>
  <c r="U311" i="2"/>
  <c r="T311" i="2"/>
  <c r="O311" i="2"/>
  <c r="AA310" i="2"/>
  <c r="Z310" i="2"/>
  <c r="Y310" i="2"/>
  <c r="W310" i="2"/>
  <c r="V310" i="2"/>
  <c r="U310" i="2"/>
  <c r="T310" i="2"/>
  <c r="O310" i="2"/>
  <c r="AA309" i="2"/>
  <c r="Z309" i="2"/>
  <c r="Y309" i="2"/>
  <c r="W309" i="2"/>
  <c r="V309" i="2"/>
  <c r="U309" i="2"/>
  <c r="T309" i="2"/>
  <c r="O309" i="2"/>
  <c r="AA308" i="2"/>
  <c r="Z308" i="2"/>
  <c r="Y308" i="2"/>
  <c r="W308" i="2"/>
  <c r="V308" i="2"/>
  <c r="U308" i="2"/>
  <c r="T308" i="2"/>
  <c r="O308" i="2"/>
  <c r="AA307" i="2"/>
  <c r="Z307" i="2"/>
  <c r="Y307" i="2"/>
  <c r="W307" i="2"/>
  <c r="V307" i="2"/>
  <c r="U307" i="2"/>
  <c r="T307" i="2"/>
  <c r="O307" i="2"/>
  <c r="AA306" i="2"/>
  <c r="Z306" i="2"/>
  <c r="Y306" i="2"/>
  <c r="W306" i="2"/>
  <c r="V306" i="2"/>
  <c r="U306" i="2"/>
  <c r="T306" i="2"/>
  <c r="O306" i="2"/>
  <c r="AA305" i="2"/>
  <c r="Z305" i="2"/>
  <c r="Y305" i="2"/>
  <c r="W305" i="2"/>
  <c r="V305" i="2"/>
  <c r="U305" i="2"/>
  <c r="T305" i="2"/>
  <c r="O305" i="2"/>
  <c r="AA304" i="2"/>
  <c r="Z304" i="2"/>
  <c r="Y304" i="2"/>
  <c r="W304" i="2"/>
  <c r="V304" i="2"/>
  <c r="U304" i="2"/>
  <c r="T304" i="2"/>
  <c r="O304" i="2"/>
  <c r="AA303" i="2"/>
  <c r="Z303" i="2"/>
  <c r="Y303" i="2"/>
  <c r="W303" i="2"/>
  <c r="V303" i="2"/>
  <c r="U303" i="2"/>
  <c r="T303" i="2"/>
  <c r="O303" i="2"/>
  <c r="AA302" i="2"/>
  <c r="Z302" i="2"/>
  <c r="Y302" i="2"/>
  <c r="W302" i="2"/>
  <c r="V302" i="2"/>
  <c r="U302" i="2"/>
  <c r="T302" i="2"/>
  <c r="O302" i="2"/>
  <c r="AA301" i="2"/>
  <c r="Z301" i="2"/>
  <c r="Y301" i="2"/>
  <c r="W301" i="2"/>
  <c r="V301" i="2"/>
  <c r="U301" i="2"/>
  <c r="T301" i="2"/>
  <c r="O301" i="2"/>
  <c r="AA300" i="2"/>
  <c r="Z300" i="2"/>
  <c r="Y300" i="2"/>
  <c r="W300" i="2"/>
  <c r="V300" i="2"/>
  <c r="U300" i="2"/>
  <c r="T300" i="2"/>
  <c r="O300" i="2"/>
  <c r="AA299" i="2"/>
  <c r="Z299" i="2"/>
  <c r="Y299" i="2"/>
  <c r="W299" i="2"/>
  <c r="V299" i="2"/>
  <c r="U299" i="2"/>
  <c r="T299" i="2"/>
  <c r="O299" i="2"/>
  <c r="AA298" i="2"/>
  <c r="Z298" i="2"/>
  <c r="Y298" i="2"/>
  <c r="W298" i="2"/>
  <c r="V298" i="2"/>
  <c r="U298" i="2"/>
  <c r="T298" i="2"/>
  <c r="O298" i="2"/>
  <c r="AA297" i="2"/>
  <c r="Z297" i="2"/>
  <c r="Y297" i="2"/>
  <c r="W297" i="2"/>
  <c r="V297" i="2"/>
  <c r="U297" i="2"/>
  <c r="T297" i="2"/>
  <c r="O297" i="2"/>
  <c r="AA296" i="2"/>
  <c r="Z296" i="2"/>
  <c r="Y296" i="2"/>
  <c r="W296" i="2"/>
  <c r="V296" i="2"/>
  <c r="U296" i="2"/>
  <c r="T296" i="2"/>
  <c r="O296" i="2"/>
  <c r="AA295" i="2"/>
  <c r="Z295" i="2"/>
  <c r="Y295" i="2"/>
  <c r="W295" i="2"/>
  <c r="V295" i="2"/>
  <c r="U295" i="2"/>
  <c r="T295" i="2"/>
  <c r="O295" i="2"/>
  <c r="AA294" i="2"/>
  <c r="Z294" i="2"/>
  <c r="Y294" i="2"/>
  <c r="W294" i="2"/>
  <c r="V294" i="2"/>
  <c r="U294" i="2"/>
  <c r="T294" i="2"/>
  <c r="O294" i="2"/>
  <c r="AA293" i="2"/>
  <c r="Z293" i="2"/>
  <c r="Y293" i="2"/>
  <c r="W293" i="2"/>
  <c r="V293" i="2"/>
  <c r="U293" i="2"/>
  <c r="T293" i="2"/>
  <c r="O293" i="2"/>
  <c r="AA292" i="2"/>
  <c r="Z292" i="2"/>
  <c r="Y292" i="2"/>
  <c r="W292" i="2"/>
  <c r="V292" i="2"/>
  <c r="U292" i="2"/>
  <c r="T292" i="2"/>
  <c r="O292" i="2"/>
  <c r="AA291" i="2"/>
  <c r="Z291" i="2"/>
  <c r="Y291" i="2"/>
  <c r="W291" i="2"/>
  <c r="V291" i="2"/>
  <c r="U291" i="2"/>
  <c r="T291" i="2"/>
  <c r="O291" i="2"/>
  <c r="AA290" i="2"/>
  <c r="Z290" i="2"/>
  <c r="Y290" i="2"/>
  <c r="W290" i="2"/>
  <c r="V290" i="2"/>
  <c r="U290" i="2"/>
  <c r="T290" i="2"/>
  <c r="O290" i="2"/>
  <c r="AA289" i="2"/>
  <c r="Z289" i="2"/>
  <c r="Y289" i="2"/>
  <c r="W289" i="2"/>
  <c r="V289" i="2"/>
  <c r="U289" i="2"/>
  <c r="T289" i="2"/>
  <c r="O289" i="2"/>
  <c r="AA288" i="2"/>
  <c r="Z288" i="2"/>
  <c r="Y288" i="2"/>
  <c r="W288" i="2"/>
  <c r="V288" i="2"/>
  <c r="U288" i="2"/>
  <c r="T288" i="2"/>
  <c r="O288" i="2"/>
  <c r="AA287" i="2"/>
  <c r="Z287" i="2"/>
  <c r="Y287" i="2"/>
  <c r="W287" i="2"/>
  <c r="V287" i="2"/>
  <c r="U287" i="2"/>
  <c r="T287" i="2"/>
  <c r="O287" i="2"/>
  <c r="AA286" i="2"/>
  <c r="Z286" i="2"/>
  <c r="Y286" i="2"/>
  <c r="W286" i="2"/>
  <c r="V286" i="2"/>
  <c r="U286" i="2"/>
  <c r="T286" i="2"/>
  <c r="O286" i="2"/>
  <c r="AA285" i="2"/>
  <c r="Z285" i="2"/>
  <c r="Y285" i="2"/>
  <c r="W285" i="2"/>
  <c r="V285" i="2"/>
  <c r="U285" i="2"/>
  <c r="T285" i="2"/>
  <c r="O285" i="2"/>
  <c r="AA284" i="2"/>
  <c r="Z284" i="2"/>
  <c r="Y284" i="2"/>
  <c r="W284" i="2"/>
  <c r="V284" i="2"/>
  <c r="U284" i="2"/>
  <c r="T284" i="2"/>
  <c r="O284" i="2"/>
  <c r="AA283" i="2"/>
  <c r="Z283" i="2"/>
  <c r="Y283" i="2"/>
  <c r="W283" i="2"/>
  <c r="V283" i="2"/>
  <c r="U283" i="2"/>
  <c r="T283" i="2"/>
  <c r="O283" i="2"/>
  <c r="AA282" i="2"/>
  <c r="Z282" i="2"/>
  <c r="Y282" i="2"/>
  <c r="W282" i="2"/>
  <c r="V282" i="2"/>
  <c r="U282" i="2"/>
  <c r="T282" i="2"/>
  <c r="O282" i="2"/>
  <c r="AA281" i="2"/>
  <c r="Z281" i="2"/>
  <c r="Y281" i="2"/>
  <c r="W281" i="2"/>
  <c r="V281" i="2"/>
  <c r="U281" i="2"/>
  <c r="T281" i="2"/>
  <c r="O281" i="2"/>
  <c r="AA280" i="2"/>
  <c r="Z280" i="2"/>
  <c r="Y280" i="2"/>
  <c r="W280" i="2"/>
  <c r="V280" i="2"/>
  <c r="U280" i="2"/>
  <c r="T280" i="2"/>
  <c r="O280" i="2"/>
  <c r="AA279" i="2"/>
  <c r="Z279" i="2"/>
  <c r="Y279" i="2"/>
  <c r="W279" i="2"/>
  <c r="V279" i="2"/>
  <c r="U279" i="2"/>
  <c r="T279" i="2"/>
  <c r="O279" i="2"/>
  <c r="AA278" i="2"/>
  <c r="Z278" i="2"/>
  <c r="Y278" i="2"/>
  <c r="W278" i="2"/>
  <c r="V278" i="2"/>
  <c r="U278" i="2"/>
  <c r="T278" i="2"/>
  <c r="O278" i="2"/>
  <c r="AA277" i="2"/>
  <c r="Z277" i="2"/>
  <c r="Y277" i="2"/>
  <c r="W277" i="2"/>
  <c r="V277" i="2"/>
  <c r="U277" i="2"/>
  <c r="T277" i="2"/>
  <c r="O277" i="2"/>
  <c r="AA276" i="2"/>
  <c r="Z276" i="2"/>
  <c r="Y276" i="2"/>
  <c r="W276" i="2"/>
  <c r="V276" i="2"/>
  <c r="U276" i="2"/>
  <c r="T276" i="2"/>
  <c r="O276" i="2"/>
  <c r="AA275" i="2"/>
  <c r="Z275" i="2"/>
  <c r="Y275" i="2"/>
  <c r="W275" i="2"/>
  <c r="V275" i="2"/>
  <c r="U275" i="2"/>
  <c r="T275" i="2"/>
  <c r="O275" i="2"/>
  <c r="AA274" i="2"/>
  <c r="Z274" i="2"/>
  <c r="Y274" i="2"/>
  <c r="W274" i="2"/>
  <c r="V274" i="2"/>
  <c r="U274" i="2"/>
  <c r="T274" i="2"/>
  <c r="O274" i="2"/>
  <c r="AA273" i="2"/>
  <c r="Z273" i="2"/>
  <c r="Y273" i="2"/>
  <c r="W273" i="2"/>
  <c r="V273" i="2"/>
  <c r="U273" i="2"/>
  <c r="T273" i="2"/>
  <c r="O273" i="2"/>
  <c r="AA272" i="2"/>
  <c r="Z272" i="2"/>
  <c r="Y272" i="2"/>
  <c r="W272" i="2"/>
  <c r="V272" i="2"/>
  <c r="U272" i="2"/>
  <c r="T272" i="2"/>
  <c r="O272" i="2"/>
  <c r="AA271" i="2"/>
  <c r="Z271" i="2"/>
  <c r="Y271" i="2"/>
  <c r="W271" i="2"/>
  <c r="V271" i="2"/>
  <c r="U271" i="2"/>
  <c r="T271" i="2"/>
  <c r="O271" i="2"/>
  <c r="AA270" i="2"/>
  <c r="Z270" i="2"/>
  <c r="Y270" i="2"/>
  <c r="W270" i="2"/>
  <c r="V270" i="2"/>
  <c r="U270" i="2"/>
  <c r="T270" i="2"/>
  <c r="O270" i="2"/>
  <c r="AA269" i="2"/>
  <c r="Z269" i="2"/>
  <c r="Y269" i="2"/>
  <c r="W269" i="2"/>
  <c r="V269" i="2"/>
  <c r="U269" i="2"/>
  <c r="T269" i="2"/>
  <c r="O269" i="2"/>
  <c r="AA268" i="2"/>
  <c r="Z268" i="2"/>
  <c r="Y268" i="2"/>
  <c r="W268" i="2"/>
  <c r="V268" i="2"/>
  <c r="U268" i="2"/>
  <c r="T268" i="2"/>
  <c r="O268" i="2"/>
  <c r="AA267" i="2"/>
  <c r="Z267" i="2"/>
  <c r="Y267" i="2"/>
  <c r="W267" i="2"/>
  <c r="V267" i="2"/>
  <c r="U267" i="2"/>
  <c r="T267" i="2"/>
  <c r="O267" i="2"/>
  <c r="AA266" i="2"/>
  <c r="Z266" i="2"/>
  <c r="Y266" i="2"/>
  <c r="W266" i="2"/>
  <c r="V266" i="2"/>
  <c r="U266" i="2"/>
  <c r="T266" i="2"/>
  <c r="O266" i="2"/>
  <c r="AA265" i="2"/>
  <c r="Z265" i="2"/>
  <c r="Y265" i="2"/>
  <c r="W265" i="2"/>
  <c r="V265" i="2"/>
  <c r="U265" i="2"/>
  <c r="T265" i="2"/>
  <c r="O265" i="2"/>
  <c r="AA264" i="2"/>
  <c r="Z264" i="2"/>
  <c r="Y264" i="2"/>
  <c r="W264" i="2"/>
  <c r="V264" i="2"/>
  <c r="U264" i="2"/>
  <c r="T264" i="2"/>
  <c r="O264" i="2"/>
  <c r="AA263" i="2"/>
  <c r="Z263" i="2"/>
  <c r="Y263" i="2"/>
  <c r="W263" i="2"/>
  <c r="V263" i="2"/>
  <c r="U263" i="2"/>
  <c r="T263" i="2"/>
  <c r="O263" i="2"/>
  <c r="AA262" i="2"/>
  <c r="Z262" i="2"/>
  <c r="Y262" i="2"/>
  <c r="W262" i="2"/>
  <c r="V262" i="2"/>
  <c r="U262" i="2"/>
  <c r="T262" i="2"/>
  <c r="O262" i="2"/>
  <c r="AA261" i="2"/>
  <c r="Z261" i="2"/>
  <c r="Y261" i="2"/>
  <c r="W261" i="2"/>
  <c r="V261" i="2"/>
  <c r="U261" i="2"/>
  <c r="T261" i="2"/>
  <c r="O261" i="2"/>
  <c r="AA260" i="2"/>
  <c r="Z260" i="2"/>
  <c r="Y260" i="2"/>
  <c r="W260" i="2"/>
  <c r="V260" i="2"/>
  <c r="U260" i="2"/>
  <c r="T260" i="2"/>
  <c r="O260" i="2"/>
  <c r="AA259" i="2"/>
  <c r="Z259" i="2"/>
  <c r="Y259" i="2"/>
  <c r="W259" i="2"/>
  <c r="V259" i="2"/>
  <c r="U259" i="2"/>
  <c r="T259" i="2"/>
  <c r="O259" i="2"/>
  <c r="AA258" i="2"/>
  <c r="Z258" i="2"/>
  <c r="Y258" i="2"/>
  <c r="W258" i="2"/>
  <c r="V258" i="2"/>
  <c r="U258" i="2"/>
  <c r="T258" i="2"/>
  <c r="O258" i="2"/>
  <c r="AA257" i="2"/>
  <c r="Z257" i="2"/>
  <c r="Y257" i="2"/>
  <c r="W257" i="2"/>
  <c r="V257" i="2"/>
  <c r="U257" i="2"/>
  <c r="T257" i="2"/>
  <c r="O257" i="2"/>
  <c r="AA256" i="2"/>
  <c r="Z256" i="2"/>
  <c r="Y256" i="2"/>
  <c r="W256" i="2"/>
  <c r="V256" i="2"/>
  <c r="U256" i="2"/>
  <c r="T256" i="2"/>
  <c r="O256" i="2"/>
  <c r="AA255" i="2"/>
  <c r="Z255" i="2"/>
  <c r="Y255" i="2"/>
  <c r="W255" i="2"/>
  <c r="V255" i="2"/>
  <c r="U255" i="2"/>
  <c r="T255" i="2"/>
  <c r="O255" i="2"/>
  <c r="AA254" i="2"/>
  <c r="Z254" i="2"/>
  <c r="Y254" i="2"/>
  <c r="W254" i="2"/>
  <c r="V254" i="2"/>
  <c r="U254" i="2"/>
  <c r="T254" i="2"/>
  <c r="O254" i="2"/>
  <c r="AA253" i="2"/>
  <c r="Z253" i="2"/>
  <c r="Y253" i="2"/>
  <c r="W253" i="2"/>
  <c r="V253" i="2"/>
  <c r="U253" i="2"/>
  <c r="T253" i="2"/>
  <c r="O253" i="2"/>
  <c r="AA252" i="2"/>
  <c r="Z252" i="2"/>
  <c r="Y252" i="2"/>
  <c r="W252" i="2"/>
  <c r="V252" i="2"/>
  <c r="U252" i="2"/>
  <c r="T252" i="2"/>
  <c r="O252" i="2"/>
  <c r="AA251" i="2"/>
  <c r="Z251" i="2"/>
  <c r="Y251" i="2"/>
  <c r="W251" i="2"/>
  <c r="V251" i="2"/>
  <c r="U251" i="2"/>
  <c r="T251" i="2"/>
  <c r="O251" i="2"/>
  <c r="AA250" i="2"/>
  <c r="Z250" i="2"/>
  <c r="Y250" i="2"/>
  <c r="W250" i="2"/>
  <c r="V250" i="2"/>
  <c r="U250" i="2"/>
  <c r="T250" i="2"/>
  <c r="O250" i="2"/>
  <c r="AA249" i="2"/>
  <c r="Z249" i="2"/>
  <c r="Y249" i="2"/>
  <c r="W249" i="2"/>
  <c r="V249" i="2"/>
  <c r="U249" i="2"/>
  <c r="T249" i="2"/>
  <c r="O249" i="2"/>
  <c r="AA248" i="2"/>
  <c r="Z248" i="2"/>
  <c r="Y248" i="2"/>
  <c r="W248" i="2"/>
  <c r="V248" i="2"/>
  <c r="U248" i="2"/>
  <c r="T248" i="2"/>
  <c r="O248" i="2"/>
  <c r="AA247" i="2"/>
  <c r="Z247" i="2"/>
  <c r="Y247" i="2"/>
  <c r="W247" i="2"/>
  <c r="V247" i="2"/>
  <c r="U247" i="2"/>
  <c r="T247" i="2"/>
  <c r="O247" i="2"/>
  <c r="AA246" i="2"/>
  <c r="Z246" i="2"/>
  <c r="Y246" i="2"/>
  <c r="W246" i="2"/>
  <c r="V246" i="2"/>
  <c r="U246" i="2"/>
  <c r="T246" i="2"/>
  <c r="O246" i="2"/>
  <c r="AA245" i="2"/>
  <c r="Z245" i="2"/>
  <c r="Y245" i="2"/>
  <c r="W245" i="2"/>
  <c r="V245" i="2"/>
  <c r="U245" i="2"/>
  <c r="T245" i="2"/>
  <c r="O245" i="2"/>
  <c r="AA244" i="2"/>
  <c r="Z244" i="2"/>
  <c r="Y244" i="2"/>
  <c r="W244" i="2"/>
  <c r="V244" i="2"/>
  <c r="U244" i="2"/>
  <c r="T244" i="2"/>
  <c r="O244" i="2"/>
  <c r="AA243" i="2"/>
  <c r="Z243" i="2"/>
  <c r="Y243" i="2"/>
  <c r="W243" i="2"/>
  <c r="V243" i="2"/>
  <c r="U243" i="2"/>
  <c r="T243" i="2"/>
  <c r="O243" i="2"/>
  <c r="AA242" i="2"/>
  <c r="Z242" i="2"/>
  <c r="Y242" i="2"/>
  <c r="W242" i="2"/>
  <c r="V242" i="2"/>
  <c r="U242" i="2"/>
  <c r="T242" i="2"/>
  <c r="O242" i="2"/>
  <c r="AA241" i="2"/>
  <c r="Z241" i="2"/>
  <c r="Y241" i="2"/>
  <c r="W241" i="2"/>
  <c r="V241" i="2"/>
  <c r="U241" i="2"/>
  <c r="T241" i="2"/>
  <c r="O241" i="2"/>
  <c r="AA240" i="2"/>
  <c r="Z240" i="2"/>
  <c r="Y240" i="2"/>
  <c r="W240" i="2"/>
  <c r="V240" i="2"/>
  <c r="U240" i="2"/>
  <c r="T240" i="2"/>
  <c r="O240" i="2"/>
  <c r="AA239" i="2"/>
  <c r="Z239" i="2"/>
  <c r="Y239" i="2"/>
  <c r="W239" i="2"/>
  <c r="V239" i="2"/>
  <c r="U239" i="2"/>
  <c r="T239" i="2"/>
  <c r="O239" i="2"/>
  <c r="AA238" i="2"/>
  <c r="Z238" i="2"/>
  <c r="Y238" i="2"/>
  <c r="W238" i="2"/>
  <c r="V238" i="2"/>
  <c r="U238" i="2"/>
  <c r="T238" i="2"/>
  <c r="O238" i="2"/>
  <c r="AA237" i="2"/>
  <c r="Z237" i="2"/>
  <c r="Y237" i="2"/>
  <c r="W237" i="2"/>
  <c r="V237" i="2"/>
  <c r="U237" i="2"/>
  <c r="T237" i="2"/>
  <c r="O237" i="2"/>
  <c r="AA236" i="2"/>
  <c r="Z236" i="2"/>
  <c r="Y236" i="2"/>
  <c r="W236" i="2"/>
  <c r="V236" i="2"/>
  <c r="U236" i="2"/>
  <c r="T236" i="2"/>
  <c r="O236" i="2"/>
  <c r="AA235" i="2"/>
  <c r="Z235" i="2"/>
  <c r="Y235" i="2"/>
  <c r="W235" i="2"/>
  <c r="V235" i="2"/>
  <c r="U235" i="2"/>
  <c r="T235" i="2"/>
  <c r="O235" i="2"/>
  <c r="AA234" i="2"/>
  <c r="Z234" i="2"/>
  <c r="Y234" i="2"/>
  <c r="W234" i="2"/>
  <c r="V234" i="2"/>
  <c r="U234" i="2"/>
  <c r="T234" i="2"/>
  <c r="O234" i="2"/>
  <c r="AA233" i="2"/>
  <c r="Z233" i="2"/>
  <c r="Y233" i="2"/>
  <c r="W233" i="2"/>
  <c r="V233" i="2"/>
  <c r="U233" i="2"/>
  <c r="T233" i="2"/>
  <c r="O233" i="2"/>
  <c r="AA232" i="2"/>
  <c r="Z232" i="2"/>
  <c r="Y232" i="2"/>
  <c r="W232" i="2"/>
  <c r="V232" i="2"/>
  <c r="U232" i="2"/>
  <c r="T232" i="2"/>
  <c r="O232" i="2"/>
  <c r="AA231" i="2"/>
  <c r="Z231" i="2"/>
  <c r="Y231" i="2"/>
  <c r="W231" i="2"/>
  <c r="V231" i="2"/>
  <c r="U231" i="2"/>
  <c r="T231" i="2"/>
  <c r="O231" i="2"/>
  <c r="AA230" i="2"/>
  <c r="Z230" i="2"/>
  <c r="Y230" i="2"/>
  <c r="W230" i="2"/>
  <c r="V230" i="2"/>
  <c r="U230" i="2"/>
  <c r="T230" i="2"/>
  <c r="O230" i="2"/>
  <c r="AA229" i="2"/>
  <c r="Z229" i="2"/>
  <c r="Y229" i="2"/>
  <c r="W229" i="2"/>
  <c r="V229" i="2"/>
  <c r="U229" i="2"/>
  <c r="T229" i="2"/>
  <c r="O229" i="2"/>
  <c r="AA228" i="2"/>
  <c r="Z228" i="2"/>
  <c r="Y228" i="2"/>
  <c r="W228" i="2"/>
  <c r="V228" i="2"/>
  <c r="U228" i="2"/>
  <c r="T228" i="2"/>
  <c r="O228" i="2"/>
  <c r="AA227" i="2"/>
  <c r="Z227" i="2"/>
  <c r="Y227" i="2"/>
  <c r="W227" i="2"/>
  <c r="V227" i="2"/>
  <c r="U227" i="2"/>
  <c r="T227" i="2"/>
  <c r="O227" i="2"/>
  <c r="AA226" i="2"/>
  <c r="Z226" i="2"/>
  <c r="Y226" i="2"/>
  <c r="W226" i="2"/>
  <c r="V226" i="2"/>
  <c r="U226" i="2"/>
  <c r="T226" i="2"/>
  <c r="O226" i="2"/>
  <c r="AA225" i="2"/>
  <c r="Z225" i="2"/>
  <c r="Y225" i="2"/>
  <c r="W225" i="2"/>
  <c r="V225" i="2"/>
  <c r="U225" i="2"/>
  <c r="T225" i="2"/>
  <c r="O225" i="2"/>
  <c r="AA224" i="2"/>
  <c r="Z224" i="2"/>
  <c r="Y224" i="2"/>
  <c r="W224" i="2"/>
  <c r="V224" i="2"/>
  <c r="U224" i="2"/>
  <c r="T224" i="2"/>
  <c r="O224" i="2"/>
  <c r="AA223" i="2"/>
  <c r="Z223" i="2"/>
  <c r="Y223" i="2"/>
  <c r="W223" i="2"/>
  <c r="V223" i="2"/>
  <c r="U223" i="2"/>
  <c r="T223" i="2"/>
  <c r="O223" i="2"/>
  <c r="AA222" i="2"/>
  <c r="Z222" i="2"/>
  <c r="Y222" i="2"/>
  <c r="W222" i="2"/>
  <c r="V222" i="2"/>
  <c r="U222" i="2"/>
  <c r="T222" i="2"/>
  <c r="O222" i="2"/>
  <c r="AA221" i="2"/>
  <c r="Z221" i="2"/>
  <c r="Y221" i="2"/>
  <c r="W221" i="2"/>
  <c r="V221" i="2"/>
  <c r="U221" i="2"/>
  <c r="T221" i="2"/>
  <c r="O221" i="2"/>
  <c r="AA220" i="2"/>
  <c r="Z220" i="2"/>
  <c r="Y220" i="2"/>
  <c r="W220" i="2"/>
  <c r="V220" i="2"/>
  <c r="U220" i="2"/>
  <c r="T220" i="2"/>
  <c r="O220" i="2"/>
  <c r="AA219" i="2"/>
  <c r="Z219" i="2"/>
  <c r="Y219" i="2"/>
  <c r="W219" i="2"/>
  <c r="V219" i="2"/>
  <c r="U219" i="2"/>
  <c r="T219" i="2"/>
  <c r="O219" i="2"/>
  <c r="AA218" i="2"/>
  <c r="Z218" i="2"/>
  <c r="Y218" i="2"/>
  <c r="W218" i="2"/>
  <c r="V218" i="2"/>
  <c r="U218" i="2"/>
  <c r="T218" i="2"/>
  <c r="O218" i="2"/>
  <c r="AA217" i="2"/>
  <c r="Z217" i="2"/>
  <c r="Y217" i="2"/>
  <c r="W217" i="2"/>
  <c r="V217" i="2"/>
  <c r="U217" i="2"/>
  <c r="T217" i="2"/>
  <c r="O217" i="2"/>
  <c r="AA216" i="2"/>
  <c r="Z216" i="2"/>
  <c r="Y216" i="2"/>
  <c r="W216" i="2"/>
  <c r="V216" i="2"/>
  <c r="U216" i="2"/>
  <c r="T216" i="2"/>
  <c r="O216" i="2"/>
  <c r="AA215" i="2"/>
  <c r="Z215" i="2"/>
  <c r="Y215" i="2"/>
  <c r="W215" i="2"/>
  <c r="V215" i="2"/>
  <c r="U215" i="2"/>
  <c r="T215" i="2"/>
  <c r="O215" i="2"/>
  <c r="AA214" i="2"/>
  <c r="Z214" i="2"/>
  <c r="Y214" i="2"/>
  <c r="W214" i="2"/>
  <c r="V214" i="2"/>
  <c r="U214" i="2"/>
  <c r="T214" i="2"/>
  <c r="O214" i="2"/>
  <c r="AA213" i="2"/>
  <c r="Z213" i="2"/>
  <c r="Y213" i="2"/>
  <c r="W213" i="2"/>
  <c r="V213" i="2"/>
  <c r="U213" i="2"/>
  <c r="T213" i="2"/>
  <c r="O213" i="2"/>
  <c r="AA212" i="2"/>
  <c r="Z212" i="2"/>
  <c r="Y212" i="2"/>
  <c r="W212" i="2"/>
  <c r="V212" i="2"/>
  <c r="U212" i="2"/>
  <c r="T212" i="2"/>
  <c r="O212" i="2"/>
  <c r="AA211" i="2"/>
  <c r="Z211" i="2"/>
  <c r="Y211" i="2"/>
  <c r="W211" i="2"/>
  <c r="V211" i="2"/>
  <c r="U211" i="2"/>
  <c r="T211" i="2"/>
  <c r="O211" i="2"/>
  <c r="AA210" i="2"/>
  <c r="Z210" i="2"/>
  <c r="Y210" i="2"/>
  <c r="W210" i="2"/>
  <c r="V210" i="2"/>
  <c r="U210" i="2"/>
  <c r="T210" i="2"/>
  <c r="O210" i="2"/>
  <c r="AA209" i="2"/>
  <c r="Z209" i="2"/>
  <c r="Y209" i="2"/>
  <c r="W209" i="2"/>
  <c r="V209" i="2"/>
  <c r="U209" i="2"/>
  <c r="T209" i="2"/>
  <c r="O209" i="2"/>
  <c r="AA208" i="2"/>
  <c r="Z208" i="2"/>
  <c r="Y208" i="2"/>
  <c r="W208" i="2"/>
  <c r="V208" i="2"/>
  <c r="U208" i="2"/>
  <c r="T208" i="2"/>
  <c r="O208" i="2"/>
  <c r="AA207" i="2"/>
  <c r="Z207" i="2"/>
  <c r="Y207" i="2"/>
  <c r="W207" i="2"/>
  <c r="V207" i="2"/>
  <c r="U207" i="2"/>
  <c r="T207" i="2"/>
  <c r="O207" i="2"/>
  <c r="AA206" i="2"/>
  <c r="Z206" i="2"/>
  <c r="Y206" i="2"/>
  <c r="W206" i="2"/>
  <c r="V206" i="2"/>
  <c r="U206" i="2"/>
  <c r="T206" i="2"/>
  <c r="O206" i="2"/>
  <c r="AA205" i="2"/>
  <c r="Z205" i="2"/>
  <c r="Y205" i="2"/>
  <c r="W205" i="2"/>
  <c r="V205" i="2"/>
  <c r="U205" i="2"/>
  <c r="T205" i="2"/>
  <c r="O205" i="2"/>
  <c r="AA204" i="2"/>
  <c r="Z204" i="2"/>
  <c r="Y204" i="2"/>
  <c r="W204" i="2"/>
  <c r="V204" i="2"/>
  <c r="U204" i="2"/>
  <c r="T204" i="2"/>
  <c r="O204" i="2"/>
  <c r="AA203" i="2"/>
  <c r="Z203" i="2"/>
  <c r="Y203" i="2"/>
  <c r="W203" i="2"/>
  <c r="V203" i="2"/>
  <c r="U203" i="2"/>
  <c r="T203" i="2"/>
  <c r="O203" i="2"/>
  <c r="AA202" i="2"/>
  <c r="Z202" i="2"/>
  <c r="Y202" i="2"/>
  <c r="W202" i="2"/>
  <c r="V202" i="2"/>
  <c r="U202" i="2"/>
  <c r="T202" i="2"/>
  <c r="O202" i="2"/>
  <c r="AA201" i="2"/>
  <c r="Z201" i="2"/>
  <c r="Y201" i="2"/>
  <c r="W201" i="2"/>
  <c r="V201" i="2"/>
  <c r="U201" i="2"/>
  <c r="T201" i="2"/>
  <c r="O201" i="2"/>
  <c r="AA200" i="2"/>
  <c r="Z200" i="2"/>
  <c r="Y200" i="2"/>
  <c r="W200" i="2"/>
  <c r="V200" i="2"/>
  <c r="U200" i="2"/>
  <c r="T200" i="2"/>
  <c r="O200" i="2"/>
  <c r="AA199" i="2"/>
  <c r="Z199" i="2"/>
  <c r="Y199" i="2"/>
  <c r="W199" i="2"/>
  <c r="V199" i="2"/>
  <c r="U199" i="2"/>
  <c r="T199" i="2"/>
  <c r="O199" i="2"/>
  <c r="AA198" i="2"/>
  <c r="Z198" i="2"/>
  <c r="Y198" i="2"/>
  <c r="W198" i="2"/>
  <c r="V198" i="2"/>
  <c r="U198" i="2"/>
  <c r="T198" i="2"/>
  <c r="O198" i="2"/>
  <c r="AA197" i="2"/>
  <c r="Z197" i="2"/>
  <c r="Y197" i="2"/>
  <c r="W197" i="2"/>
  <c r="V197" i="2"/>
  <c r="U197" i="2"/>
  <c r="T197" i="2"/>
  <c r="O197" i="2"/>
  <c r="AA196" i="2"/>
  <c r="Z196" i="2"/>
  <c r="Y196" i="2"/>
  <c r="W196" i="2"/>
  <c r="V196" i="2"/>
  <c r="U196" i="2"/>
  <c r="T196" i="2"/>
  <c r="O196" i="2"/>
  <c r="AA195" i="2"/>
  <c r="Z195" i="2"/>
  <c r="Y195" i="2"/>
  <c r="W195" i="2"/>
  <c r="V195" i="2"/>
  <c r="U195" i="2"/>
  <c r="T195" i="2"/>
  <c r="O195" i="2"/>
  <c r="AA194" i="2"/>
  <c r="Z194" i="2"/>
  <c r="Y194" i="2"/>
  <c r="W194" i="2"/>
  <c r="V194" i="2"/>
  <c r="U194" i="2"/>
  <c r="T194" i="2"/>
  <c r="O194" i="2"/>
  <c r="AA193" i="2"/>
  <c r="Z193" i="2"/>
  <c r="Y193" i="2"/>
  <c r="W193" i="2"/>
  <c r="V193" i="2"/>
  <c r="U193" i="2"/>
  <c r="T193" i="2"/>
  <c r="O193" i="2"/>
  <c r="AA192" i="2"/>
  <c r="Z192" i="2"/>
  <c r="Y192" i="2"/>
  <c r="W192" i="2"/>
  <c r="V192" i="2"/>
  <c r="U192" i="2"/>
  <c r="T192" i="2"/>
  <c r="O192" i="2"/>
  <c r="AA191" i="2"/>
  <c r="Z191" i="2"/>
  <c r="Y191" i="2"/>
  <c r="W191" i="2"/>
  <c r="V191" i="2"/>
  <c r="U191" i="2"/>
  <c r="T191" i="2"/>
  <c r="O191" i="2"/>
  <c r="AA190" i="2"/>
  <c r="Z190" i="2"/>
  <c r="Y190" i="2"/>
  <c r="W190" i="2"/>
  <c r="V190" i="2"/>
  <c r="U190" i="2"/>
  <c r="T190" i="2"/>
  <c r="O190" i="2"/>
  <c r="AA189" i="2"/>
  <c r="Z189" i="2"/>
  <c r="Y189" i="2"/>
  <c r="W189" i="2"/>
  <c r="V189" i="2"/>
  <c r="U189" i="2"/>
  <c r="T189" i="2"/>
  <c r="O189" i="2"/>
  <c r="AA188" i="2"/>
  <c r="Z188" i="2"/>
  <c r="Y188" i="2"/>
  <c r="W188" i="2"/>
  <c r="V188" i="2"/>
  <c r="U188" i="2"/>
  <c r="T188" i="2"/>
  <c r="O188" i="2"/>
  <c r="AA187" i="2"/>
  <c r="Z187" i="2"/>
  <c r="Y187" i="2"/>
  <c r="W187" i="2"/>
  <c r="V187" i="2"/>
  <c r="U187" i="2"/>
  <c r="T187" i="2"/>
  <c r="O187" i="2"/>
  <c r="AA186" i="2"/>
  <c r="Z186" i="2"/>
  <c r="Y186" i="2"/>
  <c r="W186" i="2"/>
  <c r="V186" i="2"/>
  <c r="U186" i="2"/>
  <c r="T186" i="2"/>
  <c r="O186" i="2"/>
  <c r="AA185" i="2"/>
  <c r="Z185" i="2"/>
  <c r="Y185" i="2"/>
  <c r="W185" i="2"/>
  <c r="V185" i="2"/>
  <c r="U185" i="2"/>
  <c r="T185" i="2"/>
  <c r="O185" i="2"/>
  <c r="AA184" i="2"/>
  <c r="Z184" i="2"/>
  <c r="Y184" i="2"/>
  <c r="W184" i="2"/>
  <c r="V184" i="2"/>
  <c r="U184" i="2"/>
  <c r="T184" i="2"/>
  <c r="O184" i="2"/>
  <c r="AA183" i="2"/>
  <c r="Z183" i="2"/>
  <c r="Y183" i="2"/>
  <c r="W183" i="2"/>
  <c r="V183" i="2"/>
  <c r="U183" i="2"/>
  <c r="T183" i="2"/>
  <c r="O183" i="2"/>
  <c r="AA182" i="2"/>
  <c r="Z182" i="2"/>
  <c r="Y182" i="2"/>
  <c r="W182" i="2"/>
  <c r="V182" i="2"/>
  <c r="U182" i="2"/>
  <c r="T182" i="2"/>
  <c r="O182" i="2"/>
  <c r="AA181" i="2"/>
  <c r="Z181" i="2"/>
  <c r="Y181" i="2"/>
  <c r="W181" i="2"/>
  <c r="V181" i="2"/>
  <c r="U181" i="2"/>
  <c r="T181" i="2"/>
  <c r="O181" i="2"/>
  <c r="AA180" i="2"/>
  <c r="Z180" i="2"/>
  <c r="Y180" i="2"/>
  <c r="W180" i="2"/>
  <c r="V180" i="2"/>
  <c r="U180" i="2"/>
  <c r="T180" i="2"/>
  <c r="O180" i="2"/>
  <c r="AA179" i="2"/>
  <c r="Z179" i="2"/>
  <c r="Y179" i="2"/>
  <c r="W179" i="2"/>
  <c r="V179" i="2"/>
  <c r="U179" i="2"/>
  <c r="T179" i="2"/>
  <c r="O179" i="2"/>
  <c r="AA178" i="2"/>
  <c r="Z178" i="2"/>
  <c r="Y178" i="2"/>
  <c r="W178" i="2"/>
  <c r="V178" i="2"/>
  <c r="U178" i="2"/>
  <c r="T178" i="2"/>
  <c r="O178" i="2"/>
  <c r="AA177" i="2"/>
  <c r="Z177" i="2"/>
  <c r="Y177" i="2"/>
  <c r="W177" i="2"/>
  <c r="V177" i="2"/>
  <c r="U177" i="2"/>
  <c r="T177" i="2"/>
  <c r="O177" i="2"/>
  <c r="AA176" i="2"/>
  <c r="Z176" i="2"/>
  <c r="Y176" i="2"/>
  <c r="W176" i="2"/>
  <c r="V176" i="2"/>
  <c r="U176" i="2"/>
  <c r="T176" i="2"/>
  <c r="O176" i="2"/>
  <c r="AA175" i="2"/>
  <c r="Z175" i="2"/>
  <c r="Y175" i="2"/>
  <c r="W175" i="2"/>
  <c r="V175" i="2"/>
  <c r="U175" i="2"/>
  <c r="T175" i="2"/>
  <c r="O175" i="2"/>
  <c r="AA174" i="2"/>
  <c r="Z174" i="2"/>
  <c r="Y174" i="2"/>
  <c r="W174" i="2"/>
  <c r="V174" i="2"/>
  <c r="U174" i="2"/>
  <c r="T174" i="2"/>
  <c r="O174" i="2"/>
  <c r="AA173" i="2"/>
  <c r="Z173" i="2"/>
  <c r="Y173" i="2"/>
  <c r="W173" i="2"/>
  <c r="V173" i="2"/>
  <c r="U173" i="2"/>
  <c r="T173" i="2"/>
  <c r="O173" i="2"/>
  <c r="AA172" i="2"/>
  <c r="Z172" i="2"/>
  <c r="Y172" i="2"/>
  <c r="W172" i="2"/>
  <c r="V172" i="2"/>
  <c r="U172" i="2"/>
  <c r="T172" i="2"/>
  <c r="O172" i="2"/>
  <c r="AA171" i="2"/>
  <c r="Z171" i="2"/>
  <c r="Y171" i="2"/>
  <c r="W171" i="2"/>
  <c r="V171" i="2"/>
  <c r="U171" i="2"/>
  <c r="T171" i="2"/>
  <c r="O171" i="2"/>
  <c r="AA170" i="2"/>
  <c r="Z170" i="2"/>
  <c r="Y170" i="2"/>
  <c r="W170" i="2"/>
  <c r="V170" i="2"/>
  <c r="U170" i="2"/>
  <c r="T170" i="2"/>
  <c r="O170" i="2"/>
  <c r="AA169" i="2"/>
  <c r="Z169" i="2"/>
  <c r="Y169" i="2"/>
  <c r="W169" i="2"/>
  <c r="V169" i="2"/>
  <c r="U169" i="2"/>
  <c r="T169" i="2"/>
  <c r="O169" i="2"/>
  <c r="AA168" i="2"/>
  <c r="Z168" i="2"/>
  <c r="Y168" i="2"/>
  <c r="W168" i="2"/>
  <c r="V168" i="2"/>
  <c r="U168" i="2"/>
  <c r="T168" i="2"/>
  <c r="O168" i="2"/>
  <c r="AA167" i="2"/>
  <c r="Z167" i="2"/>
  <c r="Y167" i="2"/>
  <c r="W167" i="2"/>
  <c r="V167" i="2"/>
  <c r="U167" i="2"/>
  <c r="T167" i="2"/>
  <c r="O167" i="2"/>
  <c r="AA166" i="2"/>
  <c r="Z166" i="2"/>
  <c r="Y166" i="2"/>
  <c r="W166" i="2"/>
  <c r="V166" i="2"/>
  <c r="U166" i="2"/>
  <c r="T166" i="2"/>
  <c r="O166" i="2"/>
  <c r="AA165" i="2"/>
  <c r="Z165" i="2"/>
  <c r="Y165" i="2"/>
  <c r="W165" i="2"/>
  <c r="V165" i="2"/>
  <c r="U165" i="2"/>
  <c r="T165" i="2"/>
  <c r="O165" i="2"/>
  <c r="AA164" i="2"/>
  <c r="Z164" i="2"/>
  <c r="Y164" i="2"/>
  <c r="W164" i="2"/>
  <c r="V164" i="2"/>
  <c r="U164" i="2"/>
  <c r="T164" i="2"/>
  <c r="O164" i="2"/>
  <c r="AA163" i="2"/>
  <c r="Z163" i="2"/>
  <c r="Y163" i="2"/>
  <c r="W163" i="2"/>
  <c r="V163" i="2"/>
  <c r="U163" i="2"/>
  <c r="T163" i="2"/>
  <c r="O163" i="2"/>
  <c r="AA162" i="2"/>
  <c r="Z162" i="2"/>
  <c r="Y162" i="2"/>
  <c r="W162" i="2"/>
  <c r="V162" i="2"/>
  <c r="U162" i="2"/>
  <c r="T162" i="2"/>
  <c r="O162" i="2"/>
  <c r="AA161" i="2"/>
  <c r="Z161" i="2"/>
  <c r="Y161" i="2"/>
  <c r="W161" i="2"/>
  <c r="V161" i="2"/>
  <c r="U161" i="2"/>
  <c r="T161" i="2"/>
  <c r="O161" i="2"/>
  <c r="AA160" i="2"/>
  <c r="Z160" i="2"/>
  <c r="Y160" i="2"/>
  <c r="W160" i="2"/>
  <c r="V160" i="2"/>
  <c r="U160" i="2"/>
  <c r="T160" i="2"/>
  <c r="O160" i="2"/>
  <c r="AA159" i="2"/>
  <c r="Z159" i="2"/>
  <c r="Y159" i="2"/>
  <c r="W159" i="2"/>
  <c r="V159" i="2"/>
  <c r="U159" i="2"/>
  <c r="T159" i="2"/>
  <c r="O159" i="2"/>
  <c r="AA158" i="2"/>
  <c r="Z158" i="2"/>
  <c r="Y158" i="2"/>
  <c r="W158" i="2"/>
  <c r="V158" i="2"/>
  <c r="U158" i="2"/>
  <c r="T158" i="2"/>
  <c r="O158" i="2"/>
  <c r="AA157" i="2"/>
  <c r="Z157" i="2"/>
  <c r="Y157" i="2"/>
  <c r="W157" i="2"/>
  <c r="V157" i="2"/>
  <c r="U157" i="2"/>
  <c r="T157" i="2"/>
  <c r="O157" i="2"/>
  <c r="AA156" i="2"/>
  <c r="Z156" i="2"/>
  <c r="Y156" i="2"/>
  <c r="W156" i="2"/>
  <c r="V156" i="2"/>
  <c r="U156" i="2"/>
  <c r="T156" i="2"/>
  <c r="O156" i="2"/>
  <c r="AA155" i="2"/>
  <c r="Z155" i="2"/>
  <c r="Y155" i="2"/>
  <c r="W155" i="2"/>
  <c r="V155" i="2"/>
  <c r="U155" i="2"/>
  <c r="T155" i="2"/>
  <c r="O155" i="2"/>
  <c r="AA154" i="2"/>
  <c r="Z154" i="2"/>
  <c r="Y154" i="2"/>
  <c r="W154" i="2"/>
  <c r="V154" i="2"/>
  <c r="U154" i="2"/>
  <c r="T154" i="2"/>
  <c r="O154" i="2"/>
  <c r="AA153" i="2"/>
  <c r="Z153" i="2"/>
  <c r="Y153" i="2"/>
  <c r="W153" i="2"/>
  <c r="V153" i="2"/>
  <c r="U153" i="2"/>
  <c r="T153" i="2"/>
  <c r="O153" i="2"/>
  <c r="AA152" i="2"/>
  <c r="Z152" i="2"/>
  <c r="Y152" i="2"/>
  <c r="W152" i="2"/>
  <c r="V152" i="2"/>
  <c r="U152" i="2"/>
  <c r="T152" i="2"/>
  <c r="O152" i="2"/>
  <c r="AA151" i="2"/>
  <c r="Z151" i="2"/>
  <c r="Y151" i="2"/>
  <c r="W151" i="2"/>
  <c r="V151" i="2"/>
  <c r="U151" i="2"/>
  <c r="T151" i="2"/>
  <c r="O151" i="2"/>
  <c r="AA150" i="2"/>
  <c r="Z150" i="2"/>
  <c r="Y150" i="2"/>
  <c r="W150" i="2"/>
  <c r="V150" i="2"/>
  <c r="U150" i="2"/>
  <c r="T150" i="2"/>
  <c r="O150" i="2"/>
  <c r="AA149" i="2"/>
  <c r="Z149" i="2"/>
  <c r="Y149" i="2"/>
  <c r="W149" i="2"/>
  <c r="V149" i="2"/>
  <c r="U149" i="2"/>
  <c r="T149" i="2"/>
  <c r="O149" i="2"/>
  <c r="AA148" i="2"/>
  <c r="Z148" i="2"/>
  <c r="Y148" i="2"/>
  <c r="W148" i="2"/>
  <c r="V148" i="2"/>
  <c r="U148" i="2"/>
  <c r="T148" i="2"/>
  <c r="O148" i="2"/>
  <c r="AA147" i="2"/>
  <c r="Z147" i="2"/>
  <c r="Y147" i="2"/>
  <c r="W147" i="2"/>
  <c r="V147" i="2"/>
  <c r="U147" i="2"/>
  <c r="T147" i="2"/>
  <c r="O147" i="2"/>
  <c r="AA146" i="2"/>
  <c r="Z146" i="2"/>
  <c r="Y146" i="2"/>
  <c r="W146" i="2"/>
  <c r="V146" i="2"/>
  <c r="U146" i="2"/>
  <c r="T146" i="2"/>
  <c r="O146" i="2"/>
  <c r="AA145" i="2"/>
  <c r="Z145" i="2"/>
  <c r="Y145" i="2"/>
  <c r="W145" i="2"/>
  <c r="V145" i="2"/>
  <c r="U145" i="2"/>
  <c r="T145" i="2"/>
  <c r="O145" i="2"/>
  <c r="AA144" i="2"/>
  <c r="Z144" i="2"/>
  <c r="Y144" i="2"/>
  <c r="W144" i="2"/>
  <c r="V144" i="2"/>
  <c r="U144" i="2"/>
  <c r="T144" i="2"/>
  <c r="O144" i="2"/>
  <c r="AA143" i="2"/>
  <c r="Z143" i="2"/>
  <c r="Y143" i="2"/>
  <c r="W143" i="2"/>
  <c r="V143" i="2"/>
  <c r="U143" i="2"/>
  <c r="T143" i="2"/>
  <c r="O143" i="2"/>
  <c r="AA142" i="2"/>
  <c r="Z142" i="2"/>
  <c r="Y142" i="2"/>
  <c r="W142" i="2"/>
  <c r="V142" i="2"/>
  <c r="U142" i="2"/>
  <c r="T142" i="2"/>
  <c r="O142" i="2"/>
  <c r="AA141" i="2"/>
  <c r="Z141" i="2"/>
  <c r="Y141" i="2"/>
  <c r="W141" i="2"/>
  <c r="V141" i="2"/>
  <c r="U141" i="2"/>
  <c r="T141" i="2"/>
  <c r="O141" i="2"/>
  <c r="AA140" i="2"/>
  <c r="Z140" i="2"/>
  <c r="Y140" i="2"/>
  <c r="W140" i="2"/>
  <c r="V140" i="2"/>
  <c r="U140" i="2"/>
  <c r="T140" i="2"/>
  <c r="O140" i="2"/>
  <c r="AA139" i="2"/>
  <c r="Z139" i="2"/>
  <c r="Y139" i="2"/>
  <c r="W139" i="2"/>
  <c r="V139" i="2"/>
  <c r="U139" i="2"/>
  <c r="T139" i="2"/>
  <c r="O139" i="2"/>
  <c r="AA138" i="2"/>
  <c r="Z138" i="2"/>
  <c r="Y138" i="2"/>
  <c r="W138" i="2"/>
  <c r="V138" i="2"/>
  <c r="U138" i="2"/>
  <c r="T138" i="2"/>
  <c r="O138" i="2"/>
  <c r="AA137" i="2"/>
  <c r="Z137" i="2"/>
  <c r="Y137" i="2"/>
  <c r="W137" i="2"/>
  <c r="V137" i="2"/>
  <c r="U137" i="2"/>
  <c r="T137" i="2"/>
  <c r="O137" i="2"/>
  <c r="AA136" i="2"/>
  <c r="Z136" i="2"/>
  <c r="Y136" i="2"/>
  <c r="W136" i="2"/>
  <c r="V136" i="2"/>
  <c r="U136" i="2"/>
  <c r="T136" i="2"/>
  <c r="O136" i="2"/>
  <c r="AA135" i="2"/>
  <c r="Z135" i="2"/>
  <c r="Y135" i="2"/>
  <c r="W135" i="2"/>
  <c r="V135" i="2"/>
  <c r="U135" i="2"/>
  <c r="T135" i="2"/>
  <c r="O135" i="2"/>
  <c r="AA134" i="2"/>
  <c r="Z134" i="2"/>
  <c r="Y134" i="2"/>
  <c r="W134" i="2"/>
  <c r="V134" i="2"/>
  <c r="U134" i="2"/>
  <c r="T134" i="2"/>
  <c r="O134" i="2"/>
  <c r="AA133" i="2"/>
  <c r="Z133" i="2"/>
  <c r="Y133" i="2"/>
  <c r="W133" i="2"/>
  <c r="V133" i="2"/>
  <c r="U133" i="2"/>
  <c r="T133" i="2"/>
  <c r="O133" i="2"/>
  <c r="AA132" i="2"/>
  <c r="Z132" i="2"/>
  <c r="Y132" i="2"/>
  <c r="W132" i="2"/>
  <c r="V132" i="2"/>
  <c r="U132" i="2"/>
  <c r="T132" i="2"/>
  <c r="O132" i="2"/>
  <c r="AA131" i="2"/>
  <c r="Z131" i="2"/>
  <c r="Y131" i="2"/>
  <c r="W131" i="2"/>
  <c r="V131" i="2"/>
  <c r="U131" i="2"/>
  <c r="T131" i="2"/>
  <c r="O131" i="2"/>
  <c r="AA130" i="2"/>
  <c r="Z130" i="2"/>
  <c r="Y130" i="2"/>
  <c r="W130" i="2"/>
  <c r="V130" i="2"/>
  <c r="U130" i="2"/>
  <c r="T130" i="2"/>
  <c r="O130" i="2"/>
  <c r="AA129" i="2"/>
  <c r="Z129" i="2"/>
  <c r="Y129" i="2"/>
  <c r="W129" i="2"/>
  <c r="V129" i="2"/>
  <c r="U129" i="2"/>
  <c r="T129" i="2"/>
  <c r="O129" i="2"/>
  <c r="AA128" i="2"/>
  <c r="Z128" i="2"/>
  <c r="Y128" i="2"/>
  <c r="W128" i="2"/>
  <c r="V128" i="2"/>
  <c r="U128" i="2"/>
  <c r="T128" i="2"/>
  <c r="O128" i="2"/>
  <c r="AA127" i="2"/>
  <c r="Z127" i="2"/>
  <c r="Y127" i="2"/>
  <c r="W127" i="2"/>
  <c r="V127" i="2"/>
  <c r="U127" i="2"/>
  <c r="T127" i="2"/>
  <c r="O127" i="2"/>
  <c r="AA126" i="2"/>
  <c r="Z126" i="2"/>
  <c r="Y126" i="2"/>
  <c r="W126" i="2"/>
  <c r="V126" i="2"/>
  <c r="U126" i="2"/>
  <c r="T126" i="2"/>
  <c r="O126" i="2"/>
  <c r="AA125" i="2"/>
  <c r="Z125" i="2"/>
  <c r="Y125" i="2"/>
  <c r="W125" i="2"/>
  <c r="V125" i="2"/>
  <c r="U125" i="2"/>
  <c r="T125" i="2"/>
  <c r="O125" i="2"/>
  <c r="AA124" i="2"/>
  <c r="Z124" i="2"/>
  <c r="Y124" i="2"/>
  <c r="W124" i="2"/>
  <c r="V124" i="2"/>
  <c r="U124" i="2"/>
  <c r="T124" i="2"/>
  <c r="O124" i="2"/>
  <c r="AA123" i="2"/>
  <c r="Z123" i="2"/>
  <c r="Y123" i="2"/>
  <c r="W123" i="2"/>
  <c r="V123" i="2"/>
  <c r="U123" i="2"/>
  <c r="T123" i="2"/>
  <c r="O123" i="2"/>
  <c r="AA122" i="2"/>
  <c r="Z122" i="2"/>
  <c r="Y122" i="2"/>
  <c r="W122" i="2"/>
  <c r="V122" i="2"/>
  <c r="U122" i="2"/>
  <c r="T122" i="2"/>
  <c r="O122" i="2"/>
  <c r="AA121" i="2"/>
  <c r="Z121" i="2"/>
  <c r="Y121" i="2"/>
  <c r="W121" i="2"/>
  <c r="V121" i="2"/>
  <c r="U121" i="2"/>
  <c r="T121" i="2"/>
  <c r="O121" i="2"/>
  <c r="AA120" i="2"/>
  <c r="Z120" i="2"/>
  <c r="Y120" i="2"/>
  <c r="W120" i="2"/>
  <c r="V120" i="2"/>
  <c r="U120" i="2"/>
  <c r="T120" i="2"/>
  <c r="O120" i="2"/>
  <c r="AA119" i="2"/>
  <c r="Z119" i="2"/>
  <c r="Y119" i="2"/>
  <c r="W119" i="2"/>
  <c r="V119" i="2"/>
  <c r="U119" i="2"/>
  <c r="T119" i="2"/>
  <c r="O119" i="2"/>
  <c r="AA118" i="2"/>
  <c r="Z118" i="2"/>
  <c r="Y118" i="2"/>
  <c r="W118" i="2"/>
  <c r="V118" i="2"/>
  <c r="U118" i="2"/>
  <c r="T118" i="2"/>
  <c r="O118" i="2"/>
  <c r="AA117" i="2"/>
  <c r="Z117" i="2"/>
  <c r="Y117" i="2"/>
  <c r="W117" i="2"/>
  <c r="V117" i="2"/>
  <c r="U117" i="2"/>
  <c r="T117" i="2"/>
  <c r="O117" i="2"/>
  <c r="AA116" i="2"/>
  <c r="Z116" i="2"/>
  <c r="Y116" i="2"/>
  <c r="W116" i="2"/>
  <c r="V116" i="2"/>
  <c r="U116" i="2"/>
  <c r="T116" i="2"/>
  <c r="O116" i="2"/>
  <c r="AA115" i="2"/>
  <c r="Z115" i="2"/>
  <c r="Y115" i="2"/>
  <c r="W115" i="2"/>
  <c r="V115" i="2"/>
  <c r="U115" i="2"/>
  <c r="T115" i="2"/>
  <c r="O115" i="2"/>
  <c r="AA114" i="2"/>
  <c r="Z114" i="2"/>
  <c r="Y114" i="2"/>
  <c r="W114" i="2"/>
  <c r="V114" i="2"/>
  <c r="U114" i="2"/>
  <c r="T114" i="2"/>
  <c r="O114" i="2"/>
  <c r="AA113" i="2"/>
  <c r="Z113" i="2"/>
  <c r="Y113" i="2"/>
  <c r="W113" i="2"/>
  <c r="V113" i="2"/>
  <c r="U113" i="2"/>
  <c r="T113" i="2"/>
  <c r="O113" i="2"/>
  <c r="AA112" i="2"/>
  <c r="Z112" i="2"/>
  <c r="Y112" i="2"/>
  <c r="W112" i="2"/>
  <c r="V112" i="2"/>
  <c r="U112" i="2"/>
  <c r="T112" i="2"/>
  <c r="O112" i="2"/>
  <c r="AA111" i="2"/>
  <c r="Z111" i="2"/>
  <c r="Y111" i="2"/>
  <c r="W111" i="2"/>
  <c r="V111" i="2"/>
  <c r="U111" i="2"/>
  <c r="T111" i="2"/>
  <c r="O111" i="2"/>
  <c r="AA110" i="2"/>
  <c r="Z110" i="2"/>
  <c r="Y110" i="2"/>
  <c r="W110" i="2"/>
  <c r="V110" i="2"/>
  <c r="U110" i="2"/>
  <c r="T110" i="2"/>
  <c r="O110" i="2"/>
  <c r="AA109" i="2"/>
  <c r="Z109" i="2"/>
  <c r="Y109" i="2"/>
  <c r="W109" i="2"/>
  <c r="V109" i="2"/>
  <c r="U109" i="2"/>
  <c r="T109" i="2"/>
  <c r="O109" i="2"/>
  <c r="AA108" i="2"/>
  <c r="Z108" i="2"/>
  <c r="Y108" i="2"/>
  <c r="W108" i="2"/>
  <c r="V108" i="2"/>
  <c r="U108" i="2"/>
  <c r="T108" i="2"/>
  <c r="O108" i="2"/>
  <c r="AA107" i="2"/>
  <c r="Z107" i="2"/>
  <c r="Y107" i="2"/>
  <c r="W107" i="2"/>
  <c r="V107" i="2"/>
  <c r="U107" i="2"/>
  <c r="T107" i="2"/>
  <c r="O107" i="2"/>
  <c r="AA106" i="2"/>
  <c r="Z106" i="2"/>
  <c r="Y106" i="2"/>
  <c r="W106" i="2"/>
  <c r="V106" i="2"/>
  <c r="U106" i="2"/>
  <c r="T106" i="2"/>
  <c r="O106" i="2"/>
  <c r="AA105" i="2"/>
  <c r="Z105" i="2"/>
  <c r="Y105" i="2"/>
  <c r="W105" i="2"/>
  <c r="V105" i="2"/>
  <c r="U105" i="2"/>
  <c r="T105" i="2"/>
  <c r="O105" i="2"/>
  <c r="AA104" i="2"/>
  <c r="Z104" i="2"/>
  <c r="Y104" i="2"/>
  <c r="W104" i="2"/>
  <c r="V104" i="2"/>
  <c r="U104" i="2"/>
  <c r="T104" i="2"/>
  <c r="O104" i="2"/>
  <c r="AA103" i="2"/>
  <c r="Z103" i="2"/>
  <c r="Y103" i="2"/>
  <c r="W103" i="2"/>
  <c r="V103" i="2"/>
  <c r="U103" i="2"/>
  <c r="T103" i="2"/>
  <c r="O103" i="2"/>
  <c r="AA102" i="2"/>
  <c r="Z102" i="2"/>
  <c r="Y102" i="2"/>
  <c r="W102" i="2"/>
  <c r="V102" i="2"/>
  <c r="U102" i="2"/>
  <c r="T102" i="2"/>
  <c r="O102" i="2"/>
  <c r="AA101" i="2"/>
  <c r="Z101" i="2"/>
  <c r="Y101" i="2"/>
  <c r="W101" i="2"/>
  <c r="V101" i="2"/>
  <c r="U101" i="2"/>
  <c r="T101" i="2"/>
  <c r="O101" i="2"/>
  <c r="AA100" i="2"/>
  <c r="Z100" i="2"/>
  <c r="Y100" i="2"/>
  <c r="W100" i="2"/>
  <c r="V100" i="2"/>
  <c r="U100" i="2"/>
  <c r="T100" i="2"/>
  <c r="O100" i="2"/>
  <c r="AA99" i="2"/>
  <c r="Z99" i="2"/>
  <c r="Y99" i="2"/>
  <c r="W99" i="2"/>
  <c r="V99" i="2"/>
  <c r="U99" i="2"/>
  <c r="T99" i="2"/>
  <c r="O99" i="2"/>
  <c r="AA98" i="2"/>
  <c r="Z98" i="2"/>
  <c r="Y98" i="2"/>
  <c r="W98" i="2"/>
  <c r="V98" i="2"/>
  <c r="U98" i="2"/>
  <c r="T98" i="2"/>
  <c r="O98" i="2"/>
  <c r="AA97" i="2"/>
  <c r="Z97" i="2"/>
  <c r="Y97" i="2"/>
  <c r="W97" i="2"/>
  <c r="V97" i="2"/>
  <c r="U97" i="2"/>
  <c r="T97" i="2"/>
  <c r="O97" i="2"/>
  <c r="AA96" i="2"/>
  <c r="Z96" i="2"/>
  <c r="Y96" i="2"/>
  <c r="W96" i="2"/>
  <c r="V96" i="2"/>
  <c r="U96" i="2"/>
  <c r="T96" i="2"/>
  <c r="O96" i="2"/>
  <c r="AA95" i="2"/>
  <c r="Z95" i="2"/>
  <c r="Y95" i="2"/>
  <c r="W95" i="2"/>
  <c r="V95" i="2"/>
  <c r="U95" i="2"/>
  <c r="T95" i="2"/>
  <c r="O95" i="2"/>
  <c r="AA94" i="2"/>
  <c r="Z94" i="2"/>
  <c r="Y94" i="2"/>
  <c r="W94" i="2"/>
  <c r="V94" i="2"/>
  <c r="U94" i="2"/>
  <c r="T94" i="2"/>
  <c r="O94" i="2"/>
  <c r="AA93" i="2"/>
  <c r="Z93" i="2"/>
  <c r="Y93" i="2"/>
  <c r="W93" i="2"/>
  <c r="V93" i="2"/>
  <c r="U93" i="2"/>
  <c r="T93" i="2"/>
  <c r="O93" i="2"/>
  <c r="AA92" i="2"/>
  <c r="Z92" i="2"/>
  <c r="Y92" i="2"/>
  <c r="W92" i="2"/>
  <c r="V92" i="2"/>
  <c r="U92" i="2"/>
  <c r="T92" i="2"/>
  <c r="O92" i="2"/>
  <c r="AA91" i="2"/>
  <c r="Z91" i="2"/>
  <c r="Y91" i="2"/>
  <c r="W91" i="2"/>
  <c r="V91" i="2"/>
  <c r="U91" i="2"/>
  <c r="T91" i="2"/>
  <c r="O91" i="2"/>
  <c r="AA90" i="2"/>
  <c r="Z90" i="2"/>
  <c r="Y90" i="2"/>
  <c r="W90" i="2"/>
  <c r="V90" i="2"/>
  <c r="U90" i="2"/>
  <c r="T90" i="2"/>
  <c r="O90" i="2"/>
  <c r="AA89" i="2"/>
  <c r="Z89" i="2"/>
  <c r="Y89" i="2"/>
  <c r="W89" i="2"/>
  <c r="V89" i="2"/>
  <c r="U89" i="2"/>
  <c r="T89" i="2"/>
  <c r="O89" i="2"/>
  <c r="AA88" i="2"/>
  <c r="Z88" i="2"/>
  <c r="Y88" i="2"/>
  <c r="W88" i="2"/>
  <c r="V88" i="2"/>
  <c r="U88" i="2"/>
  <c r="T88" i="2"/>
  <c r="O88" i="2"/>
  <c r="AA87" i="2"/>
  <c r="Z87" i="2"/>
  <c r="Y87" i="2"/>
  <c r="W87" i="2"/>
  <c r="V87" i="2"/>
  <c r="U87" i="2"/>
  <c r="T87" i="2"/>
  <c r="O87" i="2"/>
  <c r="AA86" i="2"/>
  <c r="Z86" i="2"/>
  <c r="Y86" i="2"/>
  <c r="W86" i="2"/>
  <c r="V86" i="2"/>
  <c r="U86" i="2"/>
  <c r="T86" i="2"/>
  <c r="O86" i="2"/>
  <c r="AA85" i="2"/>
  <c r="Z85" i="2"/>
  <c r="Y85" i="2"/>
  <c r="W85" i="2"/>
  <c r="V85" i="2"/>
  <c r="U85" i="2"/>
  <c r="T85" i="2"/>
  <c r="O85" i="2"/>
  <c r="AA84" i="2"/>
  <c r="Z84" i="2"/>
  <c r="Y84" i="2"/>
  <c r="W84" i="2"/>
  <c r="V84" i="2"/>
  <c r="U84" i="2"/>
  <c r="T84" i="2"/>
  <c r="O84" i="2"/>
  <c r="AA83" i="2"/>
  <c r="Z83" i="2"/>
  <c r="Y83" i="2"/>
  <c r="W83" i="2"/>
  <c r="V83" i="2"/>
  <c r="U83" i="2"/>
  <c r="T83" i="2"/>
  <c r="O83" i="2"/>
  <c r="AA82" i="2"/>
  <c r="Z82" i="2"/>
  <c r="Y82" i="2"/>
  <c r="W82" i="2"/>
  <c r="V82" i="2"/>
  <c r="U82" i="2"/>
  <c r="T82" i="2"/>
  <c r="O82" i="2"/>
  <c r="AA81" i="2"/>
  <c r="Z81" i="2"/>
  <c r="Y81" i="2"/>
  <c r="W81" i="2"/>
  <c r="V81" i="2"/>
  <c r="U81" i="2"/>
  <c r="T81" i="2"/>
  <c r="O81" i="2"/>
  <c r="AA80" i="2"/>
  <c r="Z80" i="2"/>
  <c r="Y80" i="2"/>
  <c r="W80" i="2"/>
  <c r="V80" i="2"/>
  <c r="U80" i="2"/>
  <c r="T80" i="2"/>
  <c r="O80" i="2"/>
  <c r="AA79" i="2"/>
  <c r="Z79" i="2"/>
  <c r="Y79" i="2"/>
  <c r="W79" i="2"/>
  <c r="V79" i="2"/>
  <c r="U79" i="2"/>
  <c r="T79" i="2"/>
  <c r="O79" i="2"/>
  <c r="AA78" i="2"/>
  <c r="Z78" i="2"/>
  <c r="Y78" i="2"/>
  <c r="W78" i="2"/>
  <c r="V78" i="2"/>
  <c r="U78" i="2"/>
  <c r="T78" i="2"/>
  <c r="O78" i="2"/>
  <c r="AA77" i="2"/>
  <c r="Z77" i="2"/>
  <c r="Y77" i="2"/>
  <c r="W77" i="2"/>
  <c r="V77" i="2"/>
  <c r="U77" i="2"/>
  <c r="T77" i="2"/>
  <c r="O77" i="2"/>
  <c r="AA76" i="2"/>
  <c r="Z76" i="2"/>
  <c r="Y76" i="2"/>
  <c r="W76" i="2"/>
  <c r="V76" i="2"/>
  <c r="U76" i="2"/>
  <c r="T76" i="2"/>
  <c r="O76" i="2"/>
  <c r="AA75" i="2"/>
  <c r="Z75" i="2"/>
  <c r="Y75" i="2"/>
  <c r="W75" i="2"/>
  <c r="V75" i="2"/>
  <c r="U75" i="2"/>
  <c r="T75" i="2"/>
  <c r="O75" i="2"/>
  <c r="AA74" i="2"/>
  <c r="Z74" i="2"/>
  <c r="Y74" i="2"/>
  <c r="W74" i="2"/>
  <c r="V74" i="2"/>
  <c r="U74" i="2"/>
  <c r="T74" i="2"/>
  <c r="O74" i="2"/>
  <c r="AA73" i="2"/>
  <c r="Z73" i="2"/>
  <c r="Y73" i="2"/>
  <c r="W73" i="2"/>
  <c r="V73" i="2"/>
  <c r="U73" i="2"/>
  <c r="T73" i="2"/>
  <c r="O73" i="2"/>
  <c r="AA72" i="2"/>
  <c r="Z72" i="2"/>
  <c r="Y72" i="2"/>
  <c r="W72" i="2"/>
  <c r="V72" i="2"/>
  <c r="U72" i="2"/>
  <c r="T72" i="2"/>
  <c r="O72" i="2"/>
  <c r="AA71" i="2"/>
  <c r="Z71" i="2"/>
  <c r="Y71" i="2"/>
  <c r="W71" i="2"/>
  <c r="V71" i="2"/>
  <c r="U71" i="2"/>
  <c r="T71" i="2"/>
  <c r="O71" i="2"/>
  <c r="AA70" i="2"/>
  <c r="Z70" i="2"/>
  <c r="Y70" i="2"/>
  <c r="W70" i="2"/>
  <c r="V70" i="2"/>
  <c r="U70" i="2"/>
  <c r="T70" i="2"/>
  <c r="O70" i="2"/>
  <c r="AA69" i="2"/>
  <c r="Z69" i="2"/>
  <c r="Y69" i="2"/>
  <c r="W69" i="2"/>
  <c r="V69" i="2"/>
  <c r="U69" i="2"/>
  <c r="T69" i="2"/>
  <c r="O69" i="2"/>
  <c r="AA68" i="2"/>
  <c r="Z68" i="2"/>
  <c r="Y68" i="2"/>
  <c r="W68" i="2"/>
  <c r="V68" i="2"/>
  <c r="U68" i="2"/>
  <c r="T68" i="2"/>
  <c r="O68" i="2"/>
  <c r="AA67" i="2"/>
  <c r="Z67" i="2"/>
  <c r="Y67" i="2"/>
  <c r="W67" i="2"/>
  <c r="V67" i="2"/>
  <c r="U67" i="2"/>
  <c r="T67" i="2"/>
  <c r="O67" i="2"/>
  <c r="AA66" i="2"/>
  <c r="Z66" i="2"/>
  <c r="Y66" i="2"/>
  <c r="W66" i="2"/>
  <c r="V66" i="2"/>
  <c r="U66" i="2"/>
  <c r="T66" i="2"/>
  <c r="O66" i="2"/>
  <c r="AA65" i="2"/>
  <c r="Z65" i="2"/>
  <c r="Y65" i="2"/>
  <c r="W65" i="2"/>
  <c r="V65" i="2"/>
  <c r="U65" i="2"/>
  <c r="T65" i="2"/>
  <c r="O65" i="2"/>
  <c r="AA64" i="2"/>
  <c r="Z64" i="2"/>
  <c r="Y64" i="2"/>
  <c r="W64" i="2"/>
  <c r="V64" i="2"/>
  <c r="U64" i="2"/>
  <c r="T64" i="2"/>
  <c r="O64" i="2"/>
  <c r="AA63" i="2"/>
  <c r="Z63" i="2"/>
  <c r="Y63" i="2"/>
  <c r="W63" i="2"/>
  <c r="V63" i="2"/>
  <c r="U63" i="2"/>
  <c r="T63" i="2"/>
  <c r="O63" i="2"/>
  <c r="AA62" i="2"/>
  <c r="Z62" i="2"/>
  <c r="Y62" i="2"/>
  <c r="W62" i="2"/>
  <c r="V62" i="2"/>
  <c r="U62" i="2"/>
  <c r="T62" i="2"/>
  <c r="O62" i="2"/>
  <c r="AA61" i="2"/>
  <c r="Z61" i="2"/>
  <c r="Y61" i="2"/>
  <c r="W61" i="2"/>
  <c r="V61" i="2"/>
  <c r="U61" i="2"/>
  <c r="T61" i="2"/>
  <c r="O61" i="2"/>
  <c r="AA60" i="2"/>
  <c r="Z60" i="2"/>
  <c r="Y60" i="2"/>
  <c r="W60" i="2"/>
  <c r="V60" i="2"/>
  <c r="U60" i="2"/>
  <c r="T60" i="2"/>
  <c r="O60" i="2"/>
  <c r="AA59" i="2"/>
  <c r="Z59" i="2"/>
  <c r="Y59" i="2"/>
  <c r="W59" i="2"/>
  <c r="V59" i="2"/>
  <c r="U59" i="2"/>
  <c r="T59" i="2"/>
  <c r="O59" i="2"/>
  <c r="AA58" i="2"/>
  <c r="Z58" i="2"/>
  <c r="Y58" i="2"/>
  <c r="W58" i="2"/>
  <c r="V58" i="2"/>
  <c r="U58" i="2"/>
  <c r="T58" i="2"/>
  <c r="O58" i="2"/>
  <c r="AA57" i="2"/>
  <c r="Z57" i="2"/>
  <c r="Y57" i="2"/>
  <c r="W57" i="2"/>
  <c r="V57" i="2"/>
  <c r="U57" i="2"/>
  <c r="T57" i="2"/>
  <c r="O57" i="2"/>
  <c r="AA56" i="2"/>
  <c r="Z56" i="2"/>
  <c r="Y56" i="2"/>
  <c r="W56" i="2"/>
  <c r="V56" i="2"/>
  <c r="U56" i="2"/>
  <c r="T56" i="2"/>
  <c r="O56" i="2"/>
  <c r="AA55" i="2"/>
  <c r="Z55" i="2"/>
  <c r="Y55" i="2"/>
  <c r="W55" i="2"/>
  <c r="V55" i="2"/>
  <c r="U55" i="2"/>
  <c r="T55" i="2"/>
  <c r="O55" i="2"/>
  <c r="AA54" i="2"/>
  <c r="Z54" i="2"/>
  <c r="Y54" i="2"/>
  <c r="W54" i="2"/>
  <c r="V54" i="2"/>
  <c r="U54" i="2"/>
  <c r="T54" i="2"/>
  <c r="O54" i="2"/>
  <c r="AA53" i="2"/>
  <c r="Z53" i="2"/>
  <c r="Y53" i="2"/>
  <c r="W53" i="2"/>
  <c r="V53" i="2"/>
  <c r="U53" i="2"/>
  <c r="T53" i="2"/>
  <c r="O53" i="2"/>
  <c r="AA52" i="2"/>
  <c r="Z52" i="2"/>
  <c r="Y52" i="2"/>
  <c r="W52" i="2"/>
  <c r="V52" i="2"/>
  <c r="U52" i="2"/>
  <c r="T52" i="2"/>
  <c r="O52" i="2"/>
  <c r="AA51" i="2"/>
  <c r="Z51" i="2"/>
  <c r="Y51" i="2"/>
  <c r="W51" i="2"/>
  <c r="V51" i="2"/>
  <c r="U51" i="2"/>
  <c r="T51" i="2"/>
  <c r="O51" i="2"/>
  <c r="AA50" i="2"/>
  <c r="Z50" i="2"/>
  <c r="Y50" i="2"/>
  <c r="W50" i="2"/>
  <c r="V50" i="2"/>
  <c r="U50" i="2"/>
  <c r="T50" i="2"/>
  <c r="O50" i="2"/>
  <c r="AA49" i="2"/>
  <c r="Z49" i="2"/>
  <c r="Y49" i="2"/>
  <c r="W49" i="2"/>
  <c r="V49" i="2"/>
  <c r="U49" i="2"/>
  <c r="T49" i="2"/>
  <c r="O49" i="2"/>
  <c r="AA48" i="2"/>
  <c r="Z48" i="2"/>
  <c r="Y48" i="2"/>
  <c r="W48" i="2"/>
  <c r="V48" i="2"/>
  <c r="U48" i="2"/>
  <c r="T48" i="2"/>
  <c r="O48" i="2"/>
  <c r="AA47" i="2"/>
  <c r="Z47" i="2"/>
  <c r="Y47" i="2"/>
  <c r="W47" i="2"/>
  <c r="V47" i="2"/>
  <c r="U47" i="2"/>
  <c r="T47" i="2"/>
  <c r="O47" i="2"/>
  <c r="AA46" i="2"/>
  <c r="Z46" i="2"/>
  <c r="Y46" i="2"/>
  <c r="W46" i="2"/>
  <c r="V46" i="2"/>
  <c r="U46" i="2"/>
  <c r="T46" i="2"/>
  <c r="O46" i="2"/>
  <c r="AA45" i="2"/>
  <c r="Z45" i="2"/>
  <c r="Y45" i="2"/>
  <c r="W45" i="2"/>
  <c r="V45" i="2"/>
  <c r="U45" i="2"/>
  <c r="T45" i="2"/>
  <c r="O45" i="2"/>
  <c r="AA44" i="2"/>
  <c r="Z44" i="2"/>
  <c r="Y44" i="2"/>
  <c r="W44" i="2"/>
  <c r="V44" i="2"/>
  <c r="U44" i="2"/>
  <c r="T44" i="2"/>
  <c r="O44" i="2"/>
  <c r="AA43" i="2"/>
  <c r="Z43" i="2"/>
  <c r="Y43" i="2"/>
  <c r="W43" i="2"/>
  <c r="V43" i="2"/>
  <c r="U43" i="2"/>
  <c r="T43" i="2"/>
  <c r="O43" i="2"/>
  <c r="AA42" i="2"/>
  <c r="Z42" i="2"/>
  <c r="Y42" i="2"/>
  <c r="W42" i="2"/>
  <c r="V42" i="2"/>
  <c r="U42" i="2"/>
  <c r="T42" i="2"/>
  <c r="O42" i="2"/>
  <c r="AA41" i="2"/>
  <c r="Z41" i="2"/>
  <c r="Y41" i="2"/>
  <c r="W41" i="2"/>
  <c r="V41" i="2"/>
  <c r="U41" i="2"/>
  <c r="T41" i="2"/>
  <c r="O41" i="2"/>
  <c r="AA40" i="2"/>
  <c r="Z40" i="2"/>
  <c r="Y40" i="2"/>
  <c r="W40" i="2"/>
  <c r="V40" i="2"/>
  <c r="U40" i="2"/>
  <c r="T40" i="2"/>
  <c r="O40" i="2"/>
  <c r="AA39" i="2"/>
  <c r="Z39" i="2"/>
  <c r="Y39" i="2"/>
  <c r="W39" i="2"/>
  <c r="V39" i="2"/>
  <c r="U39" i="2"/>
  <c r="T39" i="2"/>
  <c r="O39" i="2"/>
  <c r="AA38" i="2"/>
  <c r="Z38" i="2"/>
  <c r="Y38" i="2"/>
  <c r="W38" i="2"/>
  <c r="V38" i="2"/>
  <c r="U38" i="2"/>
  <c r="T38" i="2"/>
  <c r="O38" i="2"/>
  <c r="AA37" i="2"/>
  <c r="Z37" i="2"/>
  <c r="Y37" i="2"/>
  <c r="W37" i="2"/>
  <c r="V37" i="2"/>
  <c r="U37" i="2"/>
  <c r="T37" i="2"/>
  <c r="O37" i="2"/>
  <c r="AA36" i="2"/>
  <c r="Z36" i="2"/>
  <c r="Y36" i="2"/>
  <c r="W36" i="2"/>
  <c r="V36" i="2"/>
  <c r="U36" i="2"/>
  <c r="T36" i="2"/>
  <c r="O36" i="2"/>
  <c r="AA35" i="2"/>
  <c r="Z35" i="2"/>
  <c r="Y35" i="2"/>
  <c r="W35" i="2"/>
  <c r="V35" i="2"/>
  <c r="U35" i="2"/>
  <c r="T35" i="2"/>
  <c r="O35" i="2"/>
  <c r="AA34" i="2"/>
  <c r="Z34" i="2"/>
  <c r="Y34" i="2"/>
  <c r="W34" i="2"/>
  <c r="V34" i="2"/>
  <c r="U34" i="2"/>
  <c r="T34" i="2"/>
  <c r="O34" i="2"/>
  <c r="AA33" i="2"/>
  <c r="Z33" i="2"/>
  <c r="Y33" i="2"/>
  <c r="W33" i="2"/>
  <c r="V33" i="2"/>
  <c r="U33" i="2"/>
  <c r="T33" i="2"/>
  <c r="O33" i="2"/>
  <c r="AA32" i="2"/>
  <c r="Z32" i="2"/>
  <c r="Y32" i="2"/>
  <c r="W32" i="2"/>
  <c r="V32" i="2"/>
  <c r="U32" i="2"/>
  <c r="T32" i="2"/>
  <c r="O32" i="2"/>
  <c r="AA31" i="2"/>
  <c r="Z31" i="2"/>
  <c r="Y31" i="2"/>
  <c r="W31" i="2"/>
  <c r="V31" i="2"/>
  <c r="U31" i="2"/>
  <c r="T31" i="2"/>
  <c r="O31" i="2"/>
  <c r="AA30" i="2"/>
  <c r="Z30" i="2"/>
  <c r="Y30" i="2"/>
  <c r="W30" i="2"/>
  <c r="V30" i="2"/>
  <c r="U30" i="2"/>
  <c r="T30" i="2"/>
  <c r="O30" i="2"/>
  <c r="AA29" i="2"/>
  <c r="Z29" i="2"/>
  <c r="Y29" i="2"/>
  <c r="W29" i="2"/>
  <c r="V29" i="2"/>
  <c r="U29" i="2"/>
  <c r="T29" i="2"/>
  <c r="O29" i="2"/>
  <c r="AA28" i="2"/>
  <c r="Z28" i="2"/>
  <c r="Y28" i="2"/>
  <c r="W28" i="2"/>
  <c r="V28" i="2"/>
  <c r="U28" i="2"/>
  <c r="T28" i="2"/>
  <c r="O28" i="2"/>
  <c r="AA27" i="2"/>
  <c r="Z27" i="2"/>
  <c r="Y27" i="2"/>
  <c r="W27" i="2"/>
  <c r="V27" i="2"/>
  <c r="U27" i="2"/>
  <c r="T27" i="2"/>
  <c r="O27" i="2"/>
  <c r="AA26" i="2"/>
  <c r="Z26" i="2"/>
  <c r="Y26" i="2"/>
  <c r="W26" i="2"/>
  <c r="V26" i="2"/>
  <c r="U26" i="2"/>
  <c r="T26" i="2"/>
  <c r="O26" i="2"/>
  <c r="AA25" i="2"/>
  <c r="Z25" i="2"/>
  <c r="Y25" i="2"/>
  <c r="W25" i="2"/>
  <c r="V25" i="2"/>
  <c r="U25" i="2"/>
  <c r="T25" i="2"/>
  <c r="O25" i="2"/>
  <c r="AA24" i="2"/>
  <c r="Z24" i="2"/>
  <c r="Y24" i="2"/>
  <c r="W24" i="2"/>
  <c r="V24" i="2"/>
  <c r="U24" i="2"/>
  <c r="T24" i="2"/>
  <c r="O24" i="2"/>
  <c r="AA23" i="2"/>
  <c r="Z23" i="2"/>
  <c r="Y23" i="2"/>
  <c r="W23" i="2"/>
  <c r="V23" i="2"/>
  <c r="U23" i="2"/>
  <c r="T23" i="2"/>
  <c r="O23" i="2"/>
  <c r="AA22" i="2"/>
  <c r="Z22" i="2"/>
  <c r="Y22" i="2"/>
  <c r="W22" i="2"/>
  <c r="V22" i="2"/>
  <c r="U22" i="2"/>
  <c r="T22" i="2"/>
  <c r="O22" i="2"/>
  <c r="AA21" i="2"/>
  <c r="Z21" i="2"/>
  <c r="Y21" i="2"/>
  <c r="W21" i="2"/>
  <c r="V21" i="2"/>
  <c r="U21" i="2"/>
  <c r="T21" i="2"/>
  <c r="O21" i="2"/>
  <c r="AA20" i="2"/>
  <c r="Z20" i="2"/>
  <c r="Y20" i="2"/>
  <c r="W20" i="2"/>
  <c r="V20" i="2"/>
  <c r="U20" i="2"/>
  <c r="T20" i="2"/>
  <c r="O20" i="2"/>
  <c r="AA19" i="2"/>
  <c r="Z19" i="2"/>
  <c r="Y19" i="2"/>
  <c r="W19" i="2"/>
  <c r="V19" i="2"/>
  <c r="U19" i="2"/>
  <c r="T19" i="2"/>
  <c r="O19" i="2"/>
  <c r="AA18" i="2"/>
  <c r="Z18" i="2"/>
  <c r="Y18" i="2"/>
  <c r="W18" i="2"/>
  <c r="V18" i="2"/>
  <c r="U18" i="2"/>
  <c r="T18" i="2"/>
  <c r="O18" i="2"/>
  <c r="AA17" i="2"/>
  <c r="Z17" i="2"/>
  <c r="Y17" i="2"/>
  <c r="W17" i="2"/>
  <c r="V17" i="2"/>
  <c r="U17" i="2"/>
  <c r="T17" i="2"/>
  <c r="O17" i="2"/>
  <c r="AA16" i="2"/>
  <c r="Z16" i="2"/>
  <c r="Y16" i="2"/>
  <c r="W16" i="2"/>
  <c r="V16" i="2"/>
  <c r="U16" i="2"/>
  <c r="T16" i="2"/>
  <c r="O16" i="2"/>
  <c r="AA15" i="2"/>
  <c r="Z15" i="2"/>
  <c r="Y15" i="2"/>
  <c r="W15" i="2"/>
  <c r="V15" i="2"/>
  <c r="U15" i="2"/>
  <c r="T15" i="2"/>
  <c r="O15" i="2"/>
  <c r="AA14" i="2"/>
  <c r="Z14" i="2"/>
  <c r="Y14" i="2"/>
  <c r="W14" i="2"/>
  <c r="V14" i="2"/>
  <c r="U14" i="2"/>
  <c r="T14" i="2"/>
  <c r="O14" i="2"/>
  <c r="AA13" i="2"/>
  <c r="Z13" i="2"/>
  <c r="Y13" i="2"/>
  <c r="W13" i="2"/>
  <c r="V13" i="2"/>
  <c r="U13" i="2"/>
  <c r="T13" i="2"/>
  <c r="O13" i="2"/>
  <c r="AA12" i="2"/>
  <c r="Z12" i="2"/>
  <c r="Y12" i="2"/>
  <c r="W12" i="2"/>
  <c r="V12" i="2"/>
  <c r="U12" i="2"/>
  <c r="T12" i="2"/>
  <c r="O12" i="2"/>
  <c r="AA11" i="2"/>
  <c r="Z11" i="2"/>
  <c r="Y11" i="2"/>
  <c r="W11" i="2"/>
  <c r="V11" i="2"/>
  <c r="U11" i="2"/>
  <c r="T11" i="2"/>
  <c r="O11" i="2"/>
  <c r="AA10" i="2"/>
  <c r="Z10" i="2"/>
  <c r="Y10" i="2"/>
  <c r="W10" i="2"/>
  <c r="V10" i="2"/>
  <c r="U10" i="2"/>
  <c r="T10" i="2"/>
  <c r="O10" i="2"/>
  <c r="AA9" i="2"/>
  <c r="Z9" i="2"/>
  <c r="Y9" i="2"/>
  <c r="W9" i="2"/>
  <c r="V9" i="2"/>
  <c r="U9" i="2"/>
  <c r="T9" i="2"/>
  <c r="O9" i="2"/>
  <c r="AA8" i="2"/>
  <c r="Z8" i="2"/>
  <c r="Y8" i="2"/>
  <c r="W8" i="2"/>
  <c r="V8" i="2"/>
  <c r="U8" i="2"/>
  <c r="T8" i="2"/>
  <c r="O8" i="2"/>
  <c r="AA7" i="2"/>
  <c r="Z7" i="2"/>
  <c r="Y7" i="2"/>
  <c r="W7" i="2"/>
  <c r="V7" i="2"/>
  <c r="U7" i="2"/>
  <c r="T7" i="2"/>
  <c r="O7" i="2"/>
  <c r="AA6" i="2"/>
  <c r="Z6" i="2"/>
  <c r="Y6" i="2"/>
  <c r="W6" i="2"/>
  <c r="V6" i="2"/>
  <c r="U6" i="2"/>
  <c r="T6" i="2"/>
  <c r="O6" i="2"/>
  <c r="AA5" i="2"/>
  <c r="Z5" i="2"/>
  <c r="Y5" i="2"/>
  <c r="W5" i="2"/>
  <c r="V5" i="2"/>
  <c r="U5" i="2"/>
  <c r="T5" i="2"/>
  <c r="O5" i="2"/>
  <c r="AA4" i="2"/>
  <c r="Z4" i="2"/>
  <c r="Y4" i="2"/>
  <c r="W4" i="2"/>
  <c r="V4" i="2"/>
  <c r="U4" i="2"/>
  <c r="T4" i="2"/>
  <c r="O4" i="2"/>
  <c r="AA3" i="2"/>
  <c r="Z3" i="2"/>
  <c r="Y3" i="2"/>
  <c r="W3" i="2"/>
  <c r="V3" i="2"/>
  <c r="U3" i="2"/>
  <c r="T3" i="2"/>
  <c r="O3" i="2"/>
  <c r="AA2" i="2"/>
  <c r="Z2" i="2"/>
  <c r="Y2" i="2"/>
  <c r="W2" i="2"/>
  <c r="V2" i="2"/>
  <c r="U2" i="2"/>
  <c r="T2" i="2"/>
  <c r="O2" i="2"/>
  <c r="AA311" i="1" l="1"/>
  <c r="Z311" i="1"/>
  <c r="Y311" i="1"/>
  <c r="W311" i="1"/>
  <c r="V311" i="1"/>
  <c r="U311" i="1"/>
  <c r="T311" i="1"/>
  <c r="O311" i="1"/>
  <c r="AA310" i="1"/>
  <c r="Z310" i="1"/>
  <c r="Y310" i="1"/>
  <c r="W310" i="1"/>
  <c r="V310" i="1"/>
  <c r="U310" i="1"/>
  <c r="T310" i="1"/>
  <c r="O310" i="1"/>
  <c r="AA309" i="1"/>
  <c r="Z309" i="1"/>
  <c r="Y309" i="1"/>
  <c r="W309" i="1"/>
  <c r="V309" i="1"/>
  <c r="U309" i="1"/>
  <c r="T309" i="1"/>
  <c r="O309" i="1"/>
  <c r="AA308" i="1"/>
  <c r="Z308" i="1"/>
  <c r="Y308" i="1"/>
  <c r="W308" i="1"/>
  <c r="V308" i="1"/>
  <c r="U308" i="1"/>
  <c r="T308" i="1"/>
  <c r="O308" i="1"/>
  <c r="AA307" i="1"/>
  <c r="Z307" i="1"/>
  <c r="Y307" i="1"/>
  <c r="W307" i="1"/>
  <c r="V307" i="1"/>
  <c r="U307" i="1"/>
  <c r="T307" i="1"/>
  <c r="O307" i="1"/>
  <c r="AA306" i="1"/>
  <c r="Z306" i="1"/>
  <c r="Y306" i="1"/>
  <c r="W306" i="1"/>
  <c r="V306" i="1"/>
  <c r="U306" i="1"/>
  <c r="T306" i="1"/>
  <c r="O306" i="1"/>
  <c r="AA305" i="1"/>
  <c r="Z305" i="1"/>
  <c r="Y305" i="1"/>
  <c r="W305" i="1"/>
  <c r="V305" i="1"/>
  <c r="U305" i="1"/>
  <c r="T305" i="1"/>
  <c r="O305" i="1"/>
  <c r="AA304" i="1"/>
  <c r="Z304" i="1"/>
  <c r="Y304" i="1"/>
  <c r="W304" i="1"/>
  <c r="V304" i="1"/>
  <c r="U304" i="1"/>
  <c r="T304" i="1"/>
  <c r="O304" i="1"/>
  <c r="AA303" i="1"/>
  <c r="Z303" i="1"/>
  <c r="Y303" i="1"/>
  <c r="W303" i="1"/>
  <c r="V303" i="1"/>
  <c r="U303" i="1"/>
  <c r="T303" i="1"/>
  <c r="O303" i="1"/>
  <c r="AA302" i="1"/>
  <c r="Z302" i="1"/>
  <c r="Y302" i="1"/>
  <c r="W302" i="1"/>
  <c r="V302" i="1"/>
  <c r="U302" i="1"/>
  <c r="T302" i="1"/>
  <c r="O302" i="1"/>
  <c r="AA301" i="1"/>
  <c r="Z301" i="1"/>
  <c r="Y301" i="1"/>
  <c r="W301" i="1"/>
  <c r="V301" i="1"/>
  <c r="U301" i="1"/>
  <c r="T301" i="1"/>
  <c r="O301" i="1"/>
  <c r="AA300" i="1"/>
  <c r="Z300" i="1"/>
  <c r="Y300" i="1"/>
  <c r="W300" i="1"/>
  <c r="V300" i="1"/>
  <c r="U300" i="1"/>
  <c r="T300" i="1"/>
  <c r="O300" i="1"/>
  <c r="AA299" i="1"/>
  <c r="Z299" i="1"/>
  <c r="Y299" i="1"/>
  <c r="W299" i="1"/>
  <c r="V299" i="1"/>
  <c r="U299" i="1"/>
  <c r="T299" i="1"/>
  <c r="O299" i="1"/>
  <c r="AA298" i="1"/>
  <c r="Z298" i="1"/>
  <c r="Y298" i="1"/>
  <c r="W298" i="1"/>
  <c r="V298" i="1"/>
  <c r="U298" i="1"/>
  <c r="T298" i="1"/>
  <c r="O298" i="1"/>
  <c r="AA297" i="1"/>
  <c r="Z297" i="1"/>
  <c r="Y297" i="1"/>
  <c r="W297" i="1"/>
  <c r="V297" i="1"/>
  <c r="U297" i="1"/>
  <c r="T297" i="1"/>
  <c r="O297" i="1"/>
  <c r="AA296" i="1"/>
  <c r="Z296" i="1"/>
  <c r="Y296" i="1"/>
  <c r="W296" i="1"/>
  <c r="V296" i="1"/>
  <c r="U296" i="1"/>
  <c r="T296" i="1"/>
  <c r="O296" i="1"/>
  <c r="AA295" i="1"/>
  <c r="Z295" i="1"/>
  <c r="Y295" i="1"/>
  <c r="W295" i="1"/>
  <c r="V295" i="1"/>
  <c r="U295" i="1"/>
  <c r="T295" i="1"/>
  <c r="O295" i="1"/>
  <c r="AA294" i="1"/>
  <c r="Z294" i="1"/>
  <c r="Y294" i="1"/>
  <c r="W294" i="1"/>
  <c r="V294" i="1"/>
  <c r="U294" i="1"/>
  <c r="T294" i="1"/>
  <c r="O294" i="1"/>
  <c r="AA293" i="1"/>
  <c r="Z293" i="1"/>
  <c r="Y293" i="1"/>
  <c r="W293" i="1"/>
  <c r="V293" i="1"/>
  <c r="U293" i="1"/>
  <c r="T293" i="1"/>
  <c r="O293" i="1"/>
  <c r="AA292" i="1"/>
  <c r="Z292" i="1"/>
  <c r="Y292" i="1"/>
  <c r="W292" i="1"/>
  <c r="V292" i="1"/>
  <c r="U292" i="1"/>
  <c r="T292" i="1"/>
  <c r="O292" i="1"/>
  <c r="AA291" i="1"/>
  <c r="Z291" i="1"/>
  <c r="Y291" i="1"/>
  <c r="W291" i="1"/>
  <c r="V291" i="1"/>
  <c r="U291" i="1"/>
  <c r="T291" i="1"/>
  <c r="O291" i="1"/>
  <c r="AA290" i="1"/>
  <c r="Z290" i="1"/>
  <c r="Y290" i="1"/>
  <c r="W290" i="1"/>
  <c r="V290" i="1"/>
  <c r="U290" i="1"/>
  <c r="T290" i="1"/>
  <c r="O290" i="1"/>
  <c r="AA289" i="1"/>
  <c r="Z289" i="1"/>
  <c r="Y289" i="1"/>
  <c r="W289" i="1"/>
  <c r="V289" i="1"/>
  <c r="U289" i="1"/>
  <c r="T289" i="1"/>
  <c r="O289" i="1"/>
  <c r="AA288" i="1"/>
  <c r="Z288" i="1"/>
  <c r="Y288" i="1"/>
  <c r="W288" i="1"/>
  <c r="V288" i="1"/>
  <c r="U288" i="1"/>
  <c r="T288" i="1"/>
  <c r="O288" i="1"/>
  <c r="AA287" i="1"/>
  <c r="Z287" i="1"/>
  <c r="Y287" i="1"/>
  <c r="W287" i="1"/>
  <c r="V287" i="1"/>
  <c r="U287" i="1"/>
  <c r="T287" i="1"/>
  <c r="O287" i="1"/>
  <c r="AA286" i="1"/>
  <c r="Z286" i="1"/>
  <c r="Y286" i="1"/>
  <c r="W286" i="1"/>
  <c r="V286" i="1"/>
  <c r="U286" i="1"/>
  <c r="T286" i="1"/>
  <c r="O286" i="1"/>
  <c r="AA285" i="1"/>
  <c r="Z285" i="1"/>
  <c r="Y285" i="1"/>
  <c r="W285" i="1"/>
  <c r="V285" i="1"/>
  <c r="U285" i="1"/>
  <c r="T285" i="1"/>
  <c r="O285" i="1"/>
  <c r="AA284" i="1"/>
  <c r="Z284" i="1"/>
  <c r="Y284" i="1"/>
  <c r="W284" i="1"/>
  <c r="V284" i="1"/>
  <c r="U284" i="1"/>
  <c r="T284" i="1"/>
  <c r="O284" i="1"/>
  <c r="AA283" i="1"/>
  <c r="Z283" i="1"/>
  <c r="Y283" i="1"/>
  <c r="W283" i="1"/>
  <c r="V283" i="1"/>
  <c r="U283" i="1"/>
  <c r="T283" i="1"/>
  <c r="O283" i="1"/>
  <c r="AA282" i="1"/>
  <c r="Z282" i="1"/>
  <c r="Y282" i="1"/>
  <c r="W282" i="1"/>
  <c r="V282" i="1"/>
  <c r="U282" i="1"/>
  <c r="T282" i="1"/>
  <c r="O282" i="1"/>
  <c r="AA281" i="1"/>
  <c r="Z281" i="1"/>
  <c r="Y281" i="1"/>
  <c r="W281" i="1"/>
  <c r="V281" i="1"/>
  <c r="U281" i="1"/>
  <c r="T281" i="1"/>
  <c r="O281" i="1"/>
  <c r="AA280" i="1"/>
  <c r="Z280" i="1"/>
  <c r="Y280" i="1"/>
  <c r="W280" i="1"/>
  <c r="V280" i="1"/>
  <c r="U280" i="1"/>
  <c r="T280" i="1"/>
  <c r="O280" i="1"/>
  <c r="AA279" i="1"/>
  <c r="Z279" i="1"/>
  <c r="Y279" i="1"/>
  <c r="W279" i="1"/>
  <c r="V279" i="1"/>
  <c r="U279" i="1"/>
  <c r="T279" i="1"/>
  <c r="O279" i="1"/>
  <c r="AA278" i="1"/>
  <c r="Z278" i="1"/>
  <c r="Y278" i="1"/>
  <c r="W278" i="1"/>
  <c r="V278" i="1"/>
  <c r="U278" i="1"/>
  <c r="T278" i="1"/>
  <c r="O278" i="1"/>
  <c r="AA277" i="1"/>
  <c r="Z277" i="1"/>
  <c r="Y277" i="1"/>
  <c r="W277" i="1"/>
  <c r="V277" i="1"/>
  <c r="U277" i="1"/>
  <c r="T277" i="1"/>
  <c r="O277" i="1"/>
  <c r="AA276" i="1"/>
  <c r="Z276" i="1"/>
  <c r="Y276" i="1"/>
  <c r="W276" i="1"/>
  <c r="V276" i="1"/>
  <c r="U276" i="1"/>
  <c r="T276" i="1"/>
  <c r="O276" i="1"/>
  <c r="AA275" i="1"/>
  <c r="Z275" i="1"/>
  <c r="Y275" i="1"/>
  <c r="W275" i="1"/>
  <c r="V275" i="1"/>
  <c r="U275" i="1"/>
  <c r="T275" i="1"/>
  <c r="O275" i="1"/>
  <c r="AA274" i="1"/>
  <c r="Z274" i="1"/>
  <c r="Y274" i="1"/>
  <c r="W274" i="1"/>
  <c r="V274" i="1"/>
  <c r="U274" i="1"/>
  <c r="T274" i="1"/>
  <c r="O274" i="1"/>
  <c r="AA273" i="1"/>
  <c r="Z273" i="1"/>
  <c r="Y273" i="1"/>
  <c r="W273" i="1"/>
  <c r="V273" i="1"/>
  <c r="U273" i="1"/>
  <c r="T273" i="1"/>
  <c r="O273" i="1"/>
  <c r="AA272" i="1"/>
  <c r="Z272" i="1"/>
  <c r="Y272" i="1"/>
  <c r="W272" i="1"/>
  <c r="V272" i="1"/>
  <c r="U272" i="1"/>
  <c r="T272" i="1"/>
  <c r="O272" i="1"/>
  <c r="AA271" i="1"/>
  <c r="Z271" i="1"/>
  <c r="Y271" i="1"/>
  <c r="W271" i="1"/>
  <c r="V271" i="1"/>
  <c r="U271" i="1"/>
  <c r="T271" i="1"/>
  <c r="O271" i="1"/>
  <c r="AA270" i="1"/>
  <c r="Z270" i="1"/>
  <c r="Y270" i="1"/>
  <c r="W270" i="1"/>
  <c r="V270" i="1"/>
  <c r="U270" i="1"/>
  <c r="T270" i="1"/>
  <c r="O270" i="1"/>
  <c r="AA269" i="1"/>
  <c r="Z269" i="1"/>
  <c r="Y269" i="1"/>
  <c r="W269" i="1"/>
  <c r="V269" i="1"/>
  <c r="U269" i="1"/>
  <c r="T269" i="1"/>
  <c r="O269" i="1"/>
  <c r="AA268" i="1"/>
  <c r="Z268" i="1"/>
  <c r="Y268" i="1"/>
  <c r="W268" i="1"/>
  <c r="V268" i="1"/>
  <c r="U268" i="1"/>
  <c r="T268" i="1"/>
  <c r="O268" i="1"/>
  <c r="AA267" i="1"/>
  <c r="Z267" i="1"/>
  <c r="Y267" i="1"/>
  <c r="W267" i="1"/>
  <c r="V267" i="1"/>
  <c r="U267" i="1"/>
  <c r="T267" i="1"/>
  <c r="O267" i="1"/>
  <c r="AA266" i="1"/>
  <c r="Z266" i="1"/>
  <c r="Y266" i="1"/>
  <c r="W266" i="1"/>
  <c r="V266" i="1"/>
  <c r="U266" i="1"/>
  <c r="T266" i="1"/>
  <c r="O266" i="1"/>
  <c r="AA265" i="1"/>
  <c r="Z265" i="1"/>
  <c r="Y265" i="1"/>
  <c r="W265" i="1"/>
  <c r="V265" i="1"/>
  <c r="U265" i="1"/>
  <c r="T265" i="1"/>
  <c r="O265" i="1"/>
  <c r="AA264" i="1"/>
  <c r="Z264" i="1"/>
  <c r="Y264" i="1"/>
  <c r="W264" i="1"/>
  <c r="V264" i="1"/>
  <c r="U264" i="1"/>
  <c r="T264" i="1"/>
  <c r="O264" i="1"/>
  <c r="AA263" i="1"/>
  <c r="Z263" i="1"/>
  <c r="Y263" i="1"/>
  <c r="W263" i="1"/>
  <c r="V263" i="1"/>
  <c r="U263" i="1"/>
  <c r="T263" i="1"/>
  <c r="O263" i="1"/>
  <c r="AA262" i="1"/>
  <c r="Z262" i="1"/>
  <c r="Y262" i="1"/>
  <c r="W262" i="1"/>
  <c r="V262" i="1"/>
  <c r="U262" i="1"/>
  <c r="T262" i="1"/>
  <c r="O262" i="1"/>
  <c r="AA261" i="1"/>
  <c r="Z261" i="1"/>
  <c r="Y261" i="1"/>
  <c r="W261" i="1"/>
  <c r="V261" i="1"/>
  <c r="U261" i="1"/>
  <c r="T261" i="1"/>
  <c r="O261" i="1"/>
  <c r="AA260" i="1"/>
  <c r="Z260" i="1"/>
  <c r="Y260" i="1"/>
  <c r="W260" i="1"/>
  <c r="V260" i="1"/>
  <c r="U260" i="1"/>
  <c r="T260" i="1"/>
  <c r="O260" i="1"/>
  <c r="AA259" i="1"/>
  <c r="Z259" i="1"/>
  <c r="Y259" i="1"/>
  <c r="W259" i="1"/>
  <c r="V259" i="1"/>
  <c r="U259" i="1"/>
  <c r="T259" i="1"/>
  <c r="O259" i="1"/>
  <c r="AA258" i="1"/>
  <c r="Z258" i="1"/>
  <c r="Y258" i="1"/>
  <c r="W258" i="1"/>
  <c r="V258" i="1"/>
  <c r="U258" i="1"/>
  <c r="T258" i="1"/>
  <c r="O258" i="1"/>
  <c r="AA257" i="1"/>
  <c r="Z257" i="1"/>
  <c r="Y257" i="1"/>
  <c r="W257" i="1"/>
  <c r="V257" i="1"/>
  <c r="U257" i="1"/>
  <c r="T257" i="1"/>
  <c r="O257" i="1"/>
  <c r="AA256" i="1"/>
  <c r="Z256" i="1"/>
  <c r="Y256" i="1"/>
  <c r="W256" i="1"/>
  <c r="V256" i="1"/>
  <c r="U256" i="1"/>
  <c r="T256" i="1"/>
  <c r="O256" i="1"/>
  <c r="AA255" i="1"/>
  <c r="Z255" i="1"/>
  <c r="Y255" i="1"/>
  <c r="W255" i="1"/>
  <c r="V255" i="1"/>
  <c r="U255" i="1"/>
  <c r="T255" i="1"/>
  <c r="O255" i="1"/>
  <c r="AA254" i="1"/>
  <c r="Z254" i="1"/>
  <c r="Y254" i="1"/>
  <c r="W254" i="1"/>
  <c r="V254" i="1"/>
  <c r="U254" i="1"/>
  <c r="T254" i="1"/>
  <c r="O254" i="1"/>
  <c r="AA253" i="1"/>
  <c r="Z253" i="1"/>
  <c r="Y253" i="1"/>
  <c r="W253" i="1"/>
  <c r="V253" i="1"/>
  <c r="U253" i="1"/>
  <c r="T253" i="1"/>
  <c r="O253" i="1"/>
  <c r="AA252" i="1"/>
  <c r="Z252" i="1"/>
  <c r="Y252" i="1"/>
  <c r="W252" i="1"/>
  <c r="V252" i="1"/>
  <c r="U252" i="1"/>
  <c r="T252" i="1"/>
  <c r="O252" i="1"/>
  <c r="AA251" i="1"/>
  <c r="Z251" i="1"/>
  <c r="Y251" i="1"/>
  <c r="W251" i="1"/>
  <c r="V251" i="1"/>
  <c r="U251" i="1"/>
  <c r="T251" i="1"/>
  <c r="O251" i="1"/>
  <c r="AA250" i="1"/>
  <c r="Z250" i="1"/>
  <c r="Y250" i="1"/>
  <c r="W250" i="1"/>
  <c r="V250" i="1"/>
  <c r="U250" i="1"/>
  <c r="T250" i="1"/>
  <c r="O250" i="1"/>
  <c r="AA249" i="1"/>
  <c r="Z249" i="1"/>
  <c r="Y249" i="1"/>
  <c r="W249" i="1"/>
  <c r="V249" i="1"/>
  <c r="U249" i="1"/>
  <c r="T249" i="1"/>
  <c r="O249" i="1"/>
  <c r="AA248" i="1"/>
  <c r="Z248" i="1"/>
  <c r="Y248" i="1"/>
  <c r="W248" i="1"/>
  <c r="V248" i="1"/>
  <c r="U248" i="1"/>
  <c r="T248" i="1"/>
  <c r="O248" i="1"/>
  <c r="AA247" i="1"/>
  <c r="Z247" i="1"/>
  <c r="Y247" i="1"/>
  <c r="W247" i="1"/>
  <c r="V247" i="1"/>
  <c r="U247" i="1"/>
  <c r="T247" i="1"/>
  <c r="O247" i="1"/>
  <c r="AA246" i="1"/>
  <c r="Z246" i="1"/>
  <c r="Y246" i="1"/>
  <c r="W246" i="1"/>
  <c r="V246" i="1"/>
  <c r="U246" i="1"/>
  <c r="T246" i="1"/>
  <c r="O246" i="1"/>
  <c r="AA245" i="1"/>
  <c r="Z245" i="1"/>
  <c r="Y245" i="1"/>
  <c r="W245" i="1"/>
  <c r="V245" i="1"/>
  <c r="U245" i="1"/>
  <c r="T245" i="1"/>
  <c r="O245" i="1"/>
  <c r="AA244" i="1"/>
  <c r="Z244" i="1"/>
  <c r="Y244" i="1"/>
  <c r="W244" i="1"/>
  <c r="V244" i="1"/>
  <c r="U244" i="1"/>
  <c r="T244" i="1"/>
  <c r="O244" i="1"/>
  <c r="AA243" i="1"/>
  <c r="Z243" i="1"/>
  <c r="Y243" i="1"/>
  <c r="W243" i="1"/>
  <c r="V243" i="1"/>
  <c r="U243" i="1"/>
  <c r="T243" i="1"/>
  <c r="O243" i="1"/>
  <c r="AA242" i="1"/>
  <c r="Z242" i="1"/>
  <c r="Y242" i="1"/>
  <c r="W242" i="1"/>
  <c r="V242" i="1"/>
  <c r="U242" i="1"/>
  <c r="T242" i="1"/>
  <c r="O242" i="1"/>
  <c r="AA241" i="1"/>
  <c r="Z241" i="1"/>
  <c r="Y241" i="1"/>
  <c r="W241" i="1"/>
  <c r="V241" i="1"/>
  <c r="U241" i="1"/>
  <c r="T241" i="1"/>
  <c r="O241" i="1"/>
  <c r="AA240" i="1"/>
  <c r="Z240" i="1"/>
  <c r="Y240" i="1"/>
  <c r="W240" i="1"/>
  <c r="V240" i="1"/>
  <c r="U240" i="1"/>
  <c r="T240" i="1"/>
  <c r="O240" i="1"/>
  <c r="AA239" i="1"/>
  <c r="Z239" i="1"/>
  <c r="Y239" i="1"/>
  <c r="W239" i="1"/>
  <c r="V239" i="1"/>
  <c r="U239" i="1"/>
  <c r="T239" i="1"/>
  <c r="O239" i="1"/>
  <c r="AA238" i="1"/>
  <c r="Z238" i="1"/>
  <c r="Y238" i="1"/>
  <c r="W238" i="1"/>
  <c r="V238" i="1"/>
  <c r="U238" i="1"/>
  <c r="T238" i="1"/>
  <c r="O238" i="1"/>
  <c r="AA237" i="1"/>
  <c r="Z237" i="1"/>
  <c r="Y237" i="1"/>
  <c r="W237" i="1"/>
  <c r="V237" i="1"/>
  <c r="U237" i="1"/>
  <c r="T237" i="1"/>
  <c r="O237" i="1"/>
  <c r="AA236" i="1"/>
  <c r="Z236" i="1"/>
  <c r="Y236" i="1"/>
  <c r="W236" i="1"/>
  <c r="V236" i="1"/>
  <c r="U236" i="1"/>
  <c r="T236" i="1"/>
  <c r="O236" i="1"/>
  <c r="AA235" i="1"/>
  <c r="Z235" i="1"/>
  <c r="Y235" i="1"/>
  <c r="W235" i="1"/>
  <c r="V235" i="1"/>
  <c r="U235" i="1"/>
  <c r="T235" i="1"/>
  <c r="O235" i="1"/>
  <c r="AA234" i="1"/>
  <c r="Z234" i="1"/>
  <c r="Y234" i="1"/>
  <c r="W234" i="1"/>
  <c r="V234" i="1"/>
  <c r="U234" i="1"/>
  <c r="T234" i="1"/>
  <c r="O234" i="1"/>
  <c r="AA233" i="1"/>
  <c r="Z233" i="1"/>
  <c r="Y233" i="1"/>
  <c r="W233" i="1"/>
  <c r="V233" i="1"/>
  <c r="U233" i="1"/>
  <c r="T233" i="1"/>
  <c r="O233" i="1"/>
  <c r="AA232" i="1"/>
  <c r="Z232" i="1"/>
  <c r="Y232" i="1"/>
  <c r="W232" i="1"/>
  <c r="V232" i="1"/>
  <c r="U232" i="1"/>
  <c r="T232" i="1"/>
  <c r="O232" i="1"/>
  <c r="AA231" i="1"/>
  <c r="Z231" i="1"/>
  <c r="Y231" i="1"/>
  <c r="W231" i="1"/>
  <c r="V231" i="1"/>
  <c r="U231" i="1"/>
  <c r="T231" i="1"/>
  <c r="O231" i="1"/>
  <c r="AA230" i="1"/>
  <c r="Z230" i="1"/>
  <c r="Y230" i="1"/>
  <c r="W230" i="1"/>
  <c r="V230" i="1"/>
  <c r="U230" i="1"/>
  <c r="T230" i="1"/>
  <c r="O230" i="1"/>
  <c r="AA229" i="1"/>
  <c r="Z229" i="1"/>
  <c r="Y229" i="1"/>
  <c r="W229" i="1"/>
  <c r="V229" i="1"/>
  <c r="U229" i="1"/>
  <c r="T229" i="1"/>
  <c r="O229" i="1"/>
  <c r="AA228" i="1"/>
  <c r="Z228" i="1"/>
  <c r="Y228" i="1"/>
  <c r="W228" i="1"/>
  <c r="V228" i="1"/>
  <c r="U228" i="1"/>
  <c r="T228" i="1"/>
  <c r="O228" i="1"/>
  <c r="AA227" i="1"/>
  <c r="Z227" i="1"/>
  <c r="Y227" i="1"/>
  <c r="W227" i="1"/>
  <c r="V227" i="1"/>
  <c r="U227" i="1"/>
  <c r="T227" i="1"/>
  <c r="O227" i="1"/>
  <c r="AA226" i="1"/>
  <c r="Z226" i="1"/>
  <c r="Y226" i="1"/>
  <c r="W226" i="1"/>
  <c r="V226" i="1"/>
  <c r="U226" i="1"/>
  <c r="T226" i="1"/>
  <c r="O226" i="1"/>
  <c r="AA225" i="1"/>
  <c r="Z225" i="1"/>
  <c r="Y225" i="1"/>
  <c r="W225" i="1"/>
  <c r="V225" i="1"/>
  <c r="U225" i="1"/>
  <c r="T225" i="1"/>
  <c r="O225" i="1"/>
  <c r="AA224" i="1"/>
  <c r="Z224" i="1"/>
  <c r="Y224" i="1"/>
  <c r="W224" i="1"/>
  <c r="V224" i="1"/>
  <c r="U224" i="1"/>
  <c r="T224" i="1"/>
  <c r="O224" i="1"/>
  <c r="AA223" i="1"/>
  <c r="Z223" i="1"/>
  <c r="Y223" i="1"/>
  <c r="W223" i="1"/>
  <c r="V223" i="1"/>
  <c r="U223" i="1"/>
  <c r="T223" i="1"/>
  <c r="O223" i="1"/>
  <c r="AA222" i="1"/>
  <c r="Z222" i="1"/>
  <c r="Y222" i="1"/>
  <c r="W222" i="1"/>
  <c r="V222" i="1"/>
  <c r="U222" i="1"/>
  <c r="T222" i="1"/>
  <c r="O222" i="1"/>
  <c r="AA221" i="1"/>
  <c r="Z221" i="1"/>
  <c r="Y221" i="1"/>
  <c r="W221" i="1"/>
  <c r="V221" i="1"/>
  <c r="U221" i="1"/>
  <c r="T221" i="1"/>
  <c r="O221" i="1"/>
  <c r="AA220" i="1"/>
  <c r="Z220" i="1"/>
  <c r="Y220" i="1"/>
  <c r="W220" i="1"/>
  <c r="V220" i="1"/>
  <c r="U220" i="1"/>
  <c r="T220" i="1"/>
  <c r="O220" i="1"/>
  <c r="AA219" i="1"/>
  <c r="Z219" i="1"/>
  <c r="Y219" i="1"/>
  <c r="W219" i="1"/>
  <c r="V219" i="1"/>
  <c r="U219" i="1"/>
  <c r="T219" i="1"/>
  <c r="O219" i="1"/>
  <c r="AA218" i="1"/>
  <c r="Z218" i="1"/>
  <c r="Y218" i="1"/>
  <c r="W218" i="1"/>
  <c r="V218" i="1"/>
  <c r="U218" i="1"/>
  <c r="T218" i="1"/>
  <c r="O218" i="1"/>
  <c r="AA217" i="1"/>
  <c r="Z217" i="1"/>
  <c r="Y217" i="1"/>
  <c r="W217" i="1"/>
  <c r="V217" i="1"/>
  <c r="U217" i="1"/>
  <c r="T217" i="1"/>
  <c r="O217" i="1"/>
  <c r="AA216" i="1"/>
  <c r="Z216" i="1"/>
  <c r="Y216" i="1"/>
  <c r="W216" i="1"/>
  <c r="V216" i="1"/>
  <c r="U216" i="1"/>
  <c r="T216" i="1"/>
  <c r="O216" i="1"/>
  <c r="AA215" i="1"/>
  <c r="Z215" i="1"/>
  <c r="Y215" i="1"/>
  <c r="W215" i="1"/>
  <c r="V215" i="1"/>
  <c r="U215" i="1"/>
  <c r="T215" i="1"/>
  <c r="O215" i="1"/>
  <c r="AA214" i="1"/>
  <c r="Z214" i="1"/>
  <c r="Y214" i="1"/>
  <c r="W214" i="1"/>
  <c r="V214" i="1"/>
  <c r="U214" i="1"/>
  <c r="T214" i="1"/>
  <c r="O214" i="1"/>
  <c r="AA213" i="1"/>
  <c r="Z213" i="1"/>
  <c r="Y213" i="1"/>
  <c r="W213" i="1"/>
  <c r="V213" i="1"/>
  <c r="U213" i="1"/>
  <c r="T213" i="1"/>
  <c r="O213" i="1"/>
  <c r="AA212" i="1"/>
  <c r="Z212" i="1"/>
  <c r="Y212" i="1"/>
  <c r="W212" i="1"/>
  <c r="V212" i="1"/>
  <c r="U212" i="1"/>
  <c r="T212" i="1"/>
  <c r="O212" i="1"/>
  <c r="AA211" i="1"/>
  <c r="Z211" i="1"/>
  <c r="Y211" i="1"/>
  <c r="W211" i="1"/>
  <c r="V211" i="1"/>
  <c r="U211" i="1"/>
  <c r="T211" i="1"/>
  <c r="O211" i="1"/>
  <c r="AA210" i="1"/>
  <c r="Z210" i="1"/>
  <c r="Y210" i="1"/>
  <c r="W210" i="1"/>
  <c r="V210" i="1"/>
  <c r="U210" i="1"/>
  <c r="T210" i="1"/>
  <c r="O210" i="1"/>
  <c r="AA209" i="1"/>
  <c r="Z209" i="1"/>
  <c r="Y209" i="1"/>
  <c r="W209" i="1"/>
  <c r="V209" i="1"/>
  <c r="U209" i="1"/>
  <c r="T209" i="1"/>
  <c r="O209" i="1"/>
  <c r="AA208" i="1"/>
  <c r="Z208" i="1"/>
  <c r="Y208" i="1"/>
  <c r="W208" i="1"/>
  <c r="V208" i="1"/>
  <c r="U208" i="1"/>
  <c r="T208" i="1"/>
  <c r="O208" i="1"/>
  <c r="AA207" i="1"/>
  <c r="Z207" i="1"/>
  <c r="Y207" i="1"/>
  <c r="W207" i="1"/>
  <c r="V207" i="1"/>
  <c r="U207" i="1"/>
  <c r="T207" i="1"/>
  <c r="O207" i="1"/>
  <c r="AA206" i="1"/>
  <c r="Z206" i="1"/>
  <c r="Y206" i="1"/>
  <c r="W206" i="1"/>
  <c r="V206" i="1"/>
  <c r="U206" i="1"/>
  <c r="T206" i="1"/>
  <c r="O206" i="1"/>
  <c r="AA205" i="1"/>
  <c r="Z205" i="1"/>
  <c r="Y205" i="1"/>
  <c r="W205" i="1"/>
  <c r="V205" i="1"/>
  <c r="U205" i="1"/>
  <c r="T205" i="1"/>
  <c r="O205" i="1"/>
  <c r="AA204" i="1"/>
  <c r="Z204" i="1"/>
  <c r="Y204" i="1"/>
  <c r="W204" i="1"/>
  <c r="V204" i="1"/>
  <c r="U204" i="1"/>
  <c r="T204" i="1"/>
  <c r="O204" i="1"/>
  <c r="AA203" i="1"/>
  <c r="Z203" i="1"/>
  <c r="Y203" i="1"/>
  <c r="W203" i="1"/>
  <c r="V203" i="1"/>
  <c r="U203" i="1"/>
  <c r="T203" i="1"/>
  <c r="O203" i="1"/>
  <c r="AA202" i="1"/>
  <c r="Z202" i="1"/>
  <c r="Y202" i="1"/>
  <c r="W202" i="1"/>
  <c r="V202" i="1"/>
  <c r="U202" i="1"/>
  <c r="T202" i="1"/>
  <c r="O202" i="1"/>
  <c r="AA201" i="1"/>
  <c r="Z201" i="1"/>
  <c r="Y201" i="1"/>
  <c r="W201" i="1"/>
  <c r="V201" i="1"/>
  <c r="U201" i="1"/>
  <c r="T201" i="1"/>
  <c r="O201" i="1"/>
  <c r="AA200" i="1"/>
  <c r="Z200" i="1"/>
  <c r="Y200" i="1"/>
  <c r="W200" i="1"/>
  <c r="V200" i="1"/>
  <c r="U200" i="1"/>
  <c r="T200" i="1"/>
  <c r="O200" i="1"/>
  <c r="AA199" i="1"/>
  <c r="Z199" i="1"/>
  <c r="Y199" i="1"/>
  <c r="W199" i="1"/>
  <c r="V199" i="1"/>
  <c r="U199" i="1"/>
  <c r="T199" i="1"/>
  <c r="O199" i="1"/>
  <c r="AA198" i="1"/>
  <c r="Z198" i="1"/>
  <c r="Y198" i="1"/>
  <c r="W198" i="1"/>
  <c r="V198" i="1"/>
  <c r="U198" i="1"/>
  <c r="T198" i="1"/>
  <c r="O198" i="1"/>
  <c r="AA197" i="1"/>
  <c r="Z197" i="1"/>
  <c r="Y197" i="1"/>
  <c r="W197" i="1"/>
  <c r="V197" i="1"/>
  <c r="U197" i="1"/>
  <c r="T197" i="1"/>
  <c r="O197" i="1"/>
  <c r="AA196" i="1"/>
  <c r="Z196" i="1"/>
  <c r="Y196" i="1"/>
  <c r="W196" i="1"/>
  <c r="V196" i="1"/>
  <c r="U196" i="1"/>
  <c r="T196" i="1"/>
  <c r="O196" i="1"/>
  <c r="AA195" i="1"/>
  <c r="Z195" i="1"/>
  <c r="Y195" i="1"/>
  <c r="W195" i="1"/>
  <c r="V195" i="1"/>
  <c r="U195" i="1"/>
  <c r="T195" i="1"/>
  <c r="O195" i="1"/>
  <c r="AA194" i="1"/>
  <c r="Z194" i="1"/>
  <c r="Y194" i="1"/>
  <c r="W194" i="1"/>
  <c r="V194" i="1"/>
  <c r="U194" i="1"/>
  <c r="T194" i="1"/>
  <c r="O194" i="1"/>
  <c r="AA193" i="1"/>
  <c r="Z193" i="1"/>
  <c r="Y193" i="1"/>
  <c r="W193" i="1"/>
  <c r="V193" i="1"/>
  <c r="U193" i="1"/>
  <c r="T193" i="1"/>
  <c r="O193" i="1"/>
  <c r="AA192" i="1"/>
  <c r="Z192" i="1"/>
  <c r="Y192" i="1"/>
  <c r="W192" i="1"/>
  <c r="V192" i="1"/>
  <c r="U192" i="1"/>
  <c r="T192" i="1"/>
  <c r="O192" i="1"/>
  <c r="AA191" i="1"/>
  <c r="Z191" i="1"/>
  <c r="Y191" i="1"/>
  <c r="W191" i="1"/>
  <c r="V191" i="1"/>
  <c r="U191" i="1"/>
  <c r="T191" i="1"/>
  <c r="O191" i="1"/>
  <c r="AA190" i="1"/>
  <c r="Z190" i="1"/>
  <c r="Y190" i="1"/>
  <c r="W190" i="1"/>
  <c r="V190" i="1"/>
  <c r="U190" i="1"/>
  <c r="T190" i="1"/>
  <c r="O190" i="1"/>
  <c r="AA189" i="1"/>
  <c r="Z189" i="1"/>
  <c r="Y189" i="1"/>
  <c r="W189" i="1"/>
  <c r="V189" i="1"/>
  <c r="U189" i="1"/>
  <c r="T189" i="1"/>
  <c r="O189" i="1"/>
  <c r="AA188" i="1"/>
  <c r="Z188" i="1"/>
  <c r="Y188" i="1"/>
  <c r="W188" i="1"/>
  <c r="V188" i="1"/>
  <c r="U188" i="1"/>
  <c r="T188" i="1"/>
  <c r="O188" i="1"/>
  <c r="AA187" i="1"/>
  <c r="Z187" i="1"/>
  <c r="Y187" i="1"/>
  <c r="W187" i="1"/>
  <c r="V187" i="1"/>
  <c r="U187" i="1"/>
  <c r="T187" i="1"/>
  <c r="O187" i="1"/>
  <c r="AA186" i="1"/>
  <c r="Z186" i="1"/>
  <c r="Y186" i="1"/>
  <c r="W186" i="1"/>
  <c r="V186" i="1"/>
  <c r="U186" i="1"/>
  <c r="T186" i="1"/>
  <c r="O186" i="1"/>
  <c r="AA185" i="1"/>
  <c r="Z185" i="1"/>
  <c r="Y185" i="1"/>
  <c r="W185" i="1"/>
  <c r="V185" i="1"/>
  <c r="U185" i="1"/>
  <c r="T185" i="1"/>
  <c r="O185" i="1"/>
  <c r="AA184" i="1"/>
  <c r="Z184" i="1"/>
  <c r="Y184" i="1"/>
  <c r="W184" i="1"/>
  <c r="V184" i="1"/>
  <c r="U184" i="1"/>
  <c r="T184" i="1"/>
  <c r="O184" i="1"/>
  <c r="AA183" i="1"/>
  <c r="Z183" i="1"/>
  <c r="Y183" i="1"/>
  <c r="W183" i="1"/>
  <c r="V183" i="1"/>
  <c r="U183" i="1"/>
  <c r="T183" i="1"/>
  <c r="O183" i="1"/>
  <c r="AA182" i="1"/>
  <c r="Z182" i="1"/>
  <c r="Y182" i="1"/>
  <c r="W182" i="1"/>
  <c r="V182" i="1"/>
  <c r="U182" i="1"/>
  <c r="T182" i="1"/>
  <c r="O182" i="1"/>
  <c r="AA181" i="1"/>
  <c r="Z181" i="1"/>
  <c r="Y181" i="1"/>
  <c r="W181" i="1"/>
  <c r="V181" i="1"/>
  <c r="U181" i="1"/>
  <c r="T181" i="1"/>
  <c r="O181" i="1"/>
  <c r="AA180" i="1"/>
  <c r="Z180" i="1"/>
  <c r="Y180" i="1"/>
  <c r="W180" i="1"/>
  <c r="V180" i="1"/>
  <c r="U180" i="1"/>
  <c r="T180" i="1"/>
  <c r="O180" i="1"/>
  <c r="AA179" i="1"/>
  <c r="Z179" i="1"/>
  <c r="Y179" i="1"/>
  <c r="W179" i="1"/>
  <c r="V179" i="1"/>
  <c r="U179" i="1"/>
  <c r="T179" i="1"/>
  <c r="O179" i="1"/>
  <c r="AA178" i="1"/>
  <c r="Z178" i="1"/>
  <c r="Y178" i="1"/>
  <c r="W178" i="1"/>
  <c r="V178" i="1"/>
  <c r="U178" i="1"/>
  <c r="T178" i="1"/>
  <c r="O178" i="1"/>
  <c r="AA177" i="1"/>
  <c r="Z177" i="1"/>
  <c r="Y177" i="1"/>
  <c r="W177" i="1"/>
  <c r="V177" i="1"/>
  <c r="U177" i="1"/>
  <c r="T177" i="1"/>
  <c r="O177" i="1"/>
  <c r="AA176" i="1"/>
  <c r="Z176" i="1"/>
  <c r="Y176" i="1"/>
  <c r="W176" i="1"/>
  <c r="V176" i="1"/>
  <c r="U176" i="1"/>
  <c r="T176" i="1"/>
  <c r="O176" i="1"/>
  <c r="AA175" i="1"/>
  <c r="Z175" i="1"/>
  <c r="Y175" i="1"/>
  <c r="W175" i="1"/>
  <c r="V175" i="1"/>
  <c r="U175" i="1"/>
  <c r="T175" i="1"/>
  <c r="O175" i="1"/>
  <c r="AA174" i="1"/>
  <c r="Z174" i="1"/>
  <c r="Y174" i="1"/>
  <c r="W174" i="1"/>
  <c r="V174" i="1"/>
  <c r="U174" i="1"/>
  <c r="T174" i="1"/>
  <c r="O174" i="1"/>
  <c r="AA173" i="1"/>
  <c r="Z173" i="1"/>
  <c r="Y173" i="1"/>
  <c r="W173" i="1"/>
  <c r="V173" i="1"/>
  <c r="U173" i="1"/>
  <c r="T173" i="1"/>
  <c r="O173" i="1"/>
  <c r="AA172" i="1"/>
  <c r="Z172" i="1"/>
  <c r="Y172" i="1"/>
  <c r="W172" i="1"/>
  <c r="V172" i="1"/>
  <c r="U172" i="1"/>
  <c r="T172" i="1"/>
  <c r="O172" i="1"/>
  <c r="AA171" i="1"/>
  <c r="Z171" i="1"/>
  <c r="Y171" i="1"/>
  <c r="W171" i="1"/>
  <c r="V171" i="1"/>
  <c r="U171" i="1"/>
  <c r="T171" i="1"/>
  <c r="O171" i="1"/>
  <c r="AA170" i="1"/>
  <c r="Z170" i="1"/>
  <c r="Y170" i="1"/>
  <c r="W170" i="1"/>
  <c r="V170" i="1"/>
  <c r="U170" i="1"/>
  <c r="T170" i="1"/>
  <c r="O170" i="1"/>
  <c r="AA169" i="1"/>
  <c r="Z169" i="1"/>
  <c r="Y169" i="1"/>
  <c r="W169" i="1"/>
  <c r="V169" i="1"/>
  <c r="U169" i="1"/>
  <c r="T169" i="1"/>
  <c r="O169" i="1"/>
  <c r="AA168" i="1"/>
  <c r="Z168" i="1"/>
  <c r="Y168" i="1"/>
  <c r="W168" i="1"/>
  <c r="V168" i="1"/>
  <c r="U168" i="1"/>
  <c r="T168" i="1"/>
  <c r="O168" i="1"/>
  <c r="AA167" i="1"/>
  <c r="Z167" i="1"/>
  <c r="Y167" i="1"/>
  <c r="W167" i="1"/>
  <c r="V167" i="1"/>
  <c r="U167" i="1"/>
  <c r="T167" i="1"/>
  <c r="O167" i="1"/>
  <c r="AA166" i="1"/>
  <c r="Z166" i="1"/>
  <c r="Y166" i="1"/>
  <c r="W166" i="1"/>
  <c r="V166" i="1"/>
  <c r="U166" i="1"/>
  <c r="T166" i="1"/>
  <c r="O166" i="1"/>
  <c r="AA165" i="1"/>
  <c r="Z165" i="1"/>
  <c r="Y165" i="1"/>
  <c r="W165" i="1"/>
  <c r="V165" i="1"/>
  <c r="U165" i="1"/>
  <c r="T165" i="1"/>
  <c r="O165" i="1"/>
  <c r="AA164" i="1"/>
  <c r="Z164" i="1"/>
  <c r="Y164" i="1"/>
  <c r="W164" i="1"/>
  <c r="V164" i="1"/>
  <c r="U164" i="1"/>
  <c r="T164" i="1"/>
  <c r="O164" i="1"/>
  <c r="AA163" i="1"/>
  <c r="Z163" i="1"/>
  <c r="Y163" i="1"/>
  <c r="W163" i="1"/>
  <c r="V163" i="1"/>
  <c r="U163" i="1"/>
  <c r="T163" i="1"/>
  <c r="O163" i="1"/>
  <c r="AA162" i="1"/>
  <c r="Z162" i="1"/>
  <c r="Y162" i="1"/>
  <c r="W162" i="1"/>
  <c r="V162" i="1"/>
  <c r="U162" i="1"/>
  <c r="T162" i="1"/>
  <c r="O162" i="1"/>
  <c r="AA161" i="1"/>
  <c r="Z161" i="1"/>
  <c r="Y161" i="1"/>
  <c r="W161" i="1"/>
  <c r="V161" i="1"/>
  <c r="U161" i="1"/>
  <c r="T161" i="1"/>
  <c r="O161" i="1"/>
  <c r="AA160" i="1"/>
  <c r="Z160" i="1"/>
  <c r="Y160" i="1"/>
  <c r="W160" i="1"/>
  <c r="V160" i="1"/>
  <c r="U160" i="1"/>
  <c r="T160" i="1"/>
  <c r="O160" i="1"/>
  <c r="AA159" i="1"/>
  <c r="Z159" i="1"/>
  <c r="Y159" i="1"/>
  <c r="W159" i="1"/>
  <c r="V159" i="1"/>
  <c r="U159" i="1"/>
  <c r="T159" i="1"/>
  <c r="O159" i="1"/>
  <c r="AA158" i="1"/>
  <c r="Z158" i="1"/>
  <c r="Y158" i="1"/>
  <c r="W158" i="1"/>
  <c r="V158" i="1"/>
  <c r="U158" i="1"/>
  <c r="T158" i="1"/>
  <c r="O158" i="1"/>
  <c r="AA157" i="1"/>
  <c r="Z157" i="1"/>
  <c r="Y157" i="1"/>
  <c r="W157" i="1"/>
  <c r="V157" i="1"/>
  <c r="U157" i="1"/>
  <c r="T157" i="1"/>
  <c r="O157" i="1"/>
  <c r="AA156" i="1"/>
  <c r="Z156" i="1"/>
  <c r="Y156" i="1"/>
  <c r="W156" i="1"/>
  <c r="V156" i="1"/>
  <c r="U156" i="1"/>
  <c r="T156" i="1"/>
  <c r="O156" i="1"/>
  <c r="AA155" i="1"/>
  <c r="Z155" i="1"/>
  <c r="Y155" i="1"/>
  <c r="W155" i="1"/>
  <c r="V155" i="1"/>
  <c r="U155" i="1"/>
  <c r="T155" i="1"/>
  <c r="O155" i="1"/>
  <c r="AA154" i="1"/>
  <c r="Z154" i="1"/>
  <c r="Y154" i="1"/>
  <c r="W154" i="1"/>
  <c r="V154" i="1"/>
  <c r="U154" i="1"/>
  <c r="T154" i="1"/>
  <c r="O154" i="1"/>
  <c r="AA153" i="1"/>
  <c r="Z153" i="1"/>
  <c r="Y153" i="1"/>
  <c r="W153" i="1"/>
  <c r="V153" i="1"/>
  <c r="U153" i="1"/>
  <c r="T153" i="1"/>
  <c r="O153" i="1"/>
  <c r="AA152" i="1"/>
  <c r="Z152" i="1"/>
  <c r="Y152" i="1"/>
  <c r="W152" i="1"/>
  <c r="V152" i="1"/>
  <c r="U152" i="1"/>
  <c r="T152" i="1"/>
  <c r="O152" i="1"/>
  <c r="AA151" i="1"/>
  <c r="Z151" i="1"/>
  <c r="Y151" i="1"/>
  <c r="W151" i="1"/>
  <c r="V151" i="1"/>
  <c r="U151" i="1"/>
  <c r="T151" i="1"/>
  <c r="O151" i="1"/>
  <c r="AA150" i="1"/>
  <c r="Z150" i="1"/>
  <c r="Y150" i="1"/>
  <c r="W150" i="1"/>
  <c r="V150" i="1"/>
  <c r="U150" i="1"/>
  <c r="T150" i="1"/>
  <c r="O150" i="1"/>
  <c r="AA149" i="1"/>
  <c r="Z149" i="1"/>
  <c r="Y149" i="1"/>
  <c r="W149" i="1"/>
  <c r="V149" i="1"/>
  <c r="U149" i="1"/>
  <c r="T149" i="1"/>
  <c r="O149" i="1"/>
  <c r="AA148" i="1"/>
  <c r="Z148" i="1"/>
  <c r="Y148" i="1"/>
  <c r="W148" i="1"/>
  <c r="V148" i="1"/>
  <c r="U148" i="1"/>
  <c r="T148" i="1"/>
  <c r="O148" i="1"/>
  <c r="AA147" i="1"/>
  <c r="Z147" i="1"/>
  <c r="Y147" i="1"/>
  <c r="W147" i="1"/>
  <c r="V147" i="1"/>
  <c r="U147" i="1"/>
  <c r="T147" i="1"/>
  <c r="O147" i="1"/>
  <c r="AA146" i="1"/>
  <c r="Z146" i="1"/>
  <c r="Y146" i="1"/>
  <c r="W146" i="1"/>
  <c r="V146" i="1"/>
  <c r="U146" i="1"/>
  <c r="T146" i="1"/>
  <c r="O146" i="1"/>
  <c r="AA145" i="1"/>
  <c r="Z145" i="1"/>
  <c r="Y145" i="1"/>
  <c r="W145" i="1"/>
  <c r="V145" i="1"/>
  <c r="U145" i="1"/>
  <c r="T145" i="1"/>
  <c r="O145" i="1"/>
  <c r="AA144" i="1"/>
  <c r="Z144" i="1"/>
  <c r="Y144" i="1"/>
  <c r="W144" i="1"/>
  <c r="V144" i="1"/>
  <c r="U144" i="1"/>
  <c r="T144" i="1"/>
  <c r="O144" i="1"/>
  <c r="AA143" i="1"/>
  <c r="Z143" i="1"/>
  <c r="Y143" i="1"/>
  <c r="W143" i="1"/>
  <c r="V143" i="1"/>
  <c r="U143" i="1"/>
  <c r="T143" i="1"/>
  <c r="O143" i="1"/>
  <c r="AA142" i="1"/>
  <c r="Z142" i="1"/>
  <c r="Y142" i="1"/>
  <c r="W142" i="1"/>
  <c r="V142" i="1"/>
  <c r="U142" i="1"/>
  <c r="T142" i="1"/>
  <c r="O142" i="1"/>
  <c r="AA141" i="1"/>
  <c r="Z141" i="1"/>
  <c r="Y141" i="1"/>
  <c r="W141" i="1"/>
  <c r="V141" i="1"/>
  <c r="U141" i="1"/>
  <c r="T141" i="1"/>
  <c r="O141" i="1"/>
  <c r="AA140" i="1"/>
  <c r="Z140" i="1"/>
  <c r="Y140" i="1"/>
  <c r="W140" i="1"/>
  <c r="V140" i="1"/>
  <c r="U140" i="1"/>
  <c r="T140" i="1"/>
  <c r="O140" i="1"/>
  <c r="AA139" i="1"/>
  <c r="Z139" i="1"/>
  <c r="Y139" i="1"/>
  <c r="W139" i="1"/>
  <c r="V139" i="1"/>
  <c r="U139" i="1"/>
  <c r="T139" i="1"/>
  <c r="O139" i="1"/>
  <c r="AA138" i="1"/>
  <c r="Z138" i="1"/>
  <c r="Y138" i="1"/>
  <c r="W138" i="1"/>
  <c r="V138" i="1"/>
  <c r="U138" i="1"/>
  <c r="T138" i="1"/>
  <c r="O138" i="1"/>
  <c r="AA137" i="1"/>
  <c r="Z137" i="1"/>
  <c r="Y137" i="1"/>
  <c r="W137" i="1"/>
  <c r="V137" i="1"/>
  <c r="U137" i="1"/>
  <c r="T137" i="1"/>
  <c r="O137" i="1"/>
  <c r="AA136" i="1"/>
  <c r="Z136" i="1"/>
  <c r="Y136" i="1"/>
  <c r="W136" i="1"/>
  <c r="V136" i="1"/>
  <c r="U136" i="1"/>
  <c r="T136" i="1"/>
  <c r="O136" i="1"/>
  <c r="AA135" i="1"/>
  <c r="Z135" i="1"/>
  <c r="Y135" i="1"/>
  <c r="W135" i="1"/>
  <c r="V135" i="1"/>
  <c r="U135" i="1"/>
  <c r="T135" i="1"/>
  <c r="O135" i="1"/>
  <c r="AA134" i="1"/>
  <c r="Z134" i="1"/>
  <c r="Y134" i="1"/>
  <c r="W134" i="1"/>
  <c r="V134" i="1"/>
  <c r="U134" i="1"/>
  <c r="T134" i="1"/>
  <c r="O134" i="1"/>
  <c r="AA133" i="1"/>
  <c r="Z133" i="1"/>
  <c r="Y133" i="1"/>
  <c r="W133" i="1"/>
  <c r="V133" i="1"/>
  <c r="U133" i="1"/>
  <c r="T133" i="1"/>
  <c r="O133" i="1"/>
  <c r="AA132" i="1"/>
  <c r="Z132" i="1"/>
  <c r="Y132" i="1"/>
  <c r="W132" i="1"/>
  <c r="V132" i="1"/>
  <c r="U132" i="1"/>
  <c r="T132" i="1"/>
  <c r="O132" i="1"/>
  <c r="AA131" i="1"/>
  <c r="Z131" i="1"/>
  <c r="Y131" i="1"/>
  <c r="W131" i="1"/>
  <c r="V131" i="1"/>
  <c r="U131" i="1"/>
  <c r="T131" i="1"/>
  <c r="O131" i="1"/>
  <c r="AA130" i="1"/>
  <c r="Z130" i="1"/>
  <c r="Y130" i="1"/>
  <c r="W130" i="1"/>
  <c r="V130" i="1"/>
  <c r="U130" i="1"/>
  <c r="T130" i="1"/>
  <c r="O130" i="1"/>
  <c r="AA129" i="1"/>
  <c r="Z129" i="1"/>
  <c r="Y129" i="1"/>
  <c r="W129" i="1"/>
  <c r="V129" i="1"/>
  <c r="U129" i="1"/>
  <c r="T129" i="1"/>
  <c r="O129" i="1"/>
  <c r="AA128" i="1"/>
  <c r="Z128" i="1"/>
  <c r="Y128" i="1"/>
  <c r="W128" i="1"/>
  <c r="V128" i="1"/>
  <c r="U128" i="1"/>
  <c r="T128" i="1"/>
  <c r="O128" i="1"/>
  <c r="AA127" i="1"/>
  <c r="Z127" i="1"/>
  <c r="Y127" i="1"/>
  <c r="W127" i="1"/>
  <c r="V127" i="1"/>
  <c r="U127" i="1"/>
  <c r="T127" i="1"/>
  <c r="O127" i="1"/>
  <c r="AA126" i="1"/>
  <c r="Z126" i="1"/>
  <c r="Y126" i="1"/>
  <c r="W126" i="1"/>
  <c r="V126" i="1"/>
  <c r="U126" i="1"/>
  <c r="T126" i="1"/>
  <c r="O126" i="1"/>
  <c r="AA125" i="1"/>
  <c r="Z125" i="1"/>
  <c r="Y125" i="1"/>
  <c r="W125" i="1"/>
  <c r="V125" i="1"/>
  <c r="U125" i="1"/>
  <c r="T125" i="1"/>
  <c r="O125" i="1"/>
  <c r="AA124" i="1"/>
  <c r="Z124" i="1"/>
  <c r="Y124" i="1"/>
  <c r="W124" i="1"/>
  <c r="V124" i="1"/>
  <c r="U124" i="1"/>
  <c r="T124" i="1"/>
  <c r="O124" i="1"/>
  <c r="AA123" i="1"/>
  <c r="Z123" i="1"/>
  <c r="Y123" i="1"/>
  <c r="W123" i="1"/>
  <c r="V123" i="1"/>
  <c r="U123" i="1"/>
  <c r="T123" i="1"/>
  <c r="O123" i="1"/>
  <c r="AA122" i="1"/>
  <c r="Z122" i="1"/>
  <c r="Y122" i="1"/>
  <c r="W122" i="1"/>
  <c r="V122" i="1"/>
  <c r="U122" i="1"/>
  <c r="T122" i="1"/>
  <c r="O122" i="1"/>
  <c r="AA121" i="1"/>
  <c r="Z121" i="1"/>
  <c r="Y121" i="1"/>
  <c r="W121" i="1"/>
  <c r="V121" i="1"/>
  <c r="U121" i="1"/>
  <c r="T121" i="1"/>
  <c r="O121" i="1"/>
  <c r="AA120" i="1"/>
  <c r="Z120" i="1"/>
  <c r="Y120" i="1"/>
  <c r="W120" i="1"/>
  <c r="V120" i="1"/>
  <c r="U120" i="1"/>
  <c r="T120" i="1"/>
  <c r="O120" i="1"/>
  <c r="AA119" i="1"/>
  <c r="Z119" i="1"/>
  <c r="Y119" i="1"/>
  <c r="W119" i="1"/>
  <c r="V119" i="1"/>
  <c r="U119" i="1"/>
  <c r="T119" i="1"/>
  <c r="O119" i="1"/>
  <c r="AA118" i="1"/>
  <c r="Z118" i="1"/>
  <c r="Y118" i="1"/>
  <c r="W118" i="1"/>
  <c r="V118" i="1"/>
  <c r="U118" i="1"/>
  <c r="T118" i="1"/>
  <c r="O118" i="1"/>
  <c r="AA117" i="1"/>
  <c r="Z117" i="1"/>
  <c r="Y117" i="1"/>
  <c r="W117" i="1"/>
  <c r="V117" i="1"/>
  <c r="U117" i="1"/>
  <c r="T117" i="1"/>
  <c r="O117" i="1"/>
  <c r="AA116" i="1"/>
  <c r="Z116" i="1"/>
  <c r="Y116" i="1"/>
  <c r="W116" i="1"/>
  <c r="V116" i="1"/>
  <c r="U116" i="1"/>
  <c r="T116" i="1"/>
  <c r="O116" i="1"/>
  <c r="AA115" i="1"/>
  <c r="Z115" i="1"/>
  <c r="Y115" i="1"/>
  <c r="W115" i="1"/>
  <c r="V115" i="1"/>
  <c r="U115" i="1"/>
  <c r="T115" i="1"/>
  <c r="O115" i="1"/>
  <c r="AA114" i="1"/>
  <c r="Z114" i="1"/>
  <c r="Y114" i="1"/>
  <c r="W114" i="1"/>
  <c r="V114" i="1"/>
  <c r="U114" i="1"/>
  <c r="T114" i="1"/>
  <c r="O114" i="1"/>
  <c r="AA113" i="1"/>
  <c r="Z113" i="1"/>
  <c r="Y113" i="1"/>
  <c r="W113" i="1"/>
  <c r="V113" i="1"/>
  <c r="U113" i="1"/>
  <c r="T113" i="1"/>
  <c r="O113" i="1"/>
  <c r="AA112" i="1"/>
  <c r="Z112" i="1"/>
  <c r="Y112" i="1"/>
  <c r="W112" i="1"/>
  <c r="V112" i="1"/>
  <c r="U112" i="1"/>
  <c r="T112" i="1"/>
  <c r="O112" i="1"/>
  <c r="AA111" i="1"/>
  <c r="Z111" i="1"/>
  <c r="Y111" i="1"/>
  <c r="W111" i="1"/>
  <c r="V111" i="1"/>
  <c r="U111" i="1"/>
  <c r="T111" i="1"/>
  <c r="O111" i="1"/>
  <c r="AA110" i="1"/>
  <c r="Z110" i="1"/>
  <c r="Y110" i="1"/>
  <c r="W110" i="1"/>
  <c r="V110" i="1"/>
  <c r="U110" i="1"/>
  <c r="T110" i="1"/>
  <c r="O110" i="1"/>
  <c r="AA109" i="1"/>
  <c r="Z109" i="1"/>
  <c r="Y109" i="1"/>
  <c r="W109" i="1"/>
  <c r="V109" i="1"/>
  <c r="U109" i="1"/>
  <c r="T109" i="1"/>
  <c r="O109" i="1"/>
  <c r="AA108" i="1"/>
  <c r="Z108" i="1"/>
  <c r="Y108" i="1"/>
  <c r="W108" i="1"/>
  <c r="V108" i="1"/>
  <c r="U108" i="1"/>
  <c r="T108" i="1"/>
  <c r="O108" i="1"/>
  <c r="AA107" i="1"/>
  <c r="Z107" i="1"/>
  <c r="Y107" i="1"/>
  <c r="W107" i="1"/>
  <c r="V107" i="1"/>
  <c r="U107" i="1"/>
  <c r="T107" i="1"/>
  <c r="O107" i="1"/>
  <c r="AA106" i="1"/>
  <c r="Z106" i="1"/>
  <c r="Y106" i="1"/>
  <c r="W106" i="1"/>
  <c r="V106" i="1"/>
  <c r="U106" i="1"/>
  <c r="T106" i="1"/>
  <c r="O106" i="1"/>
  <c r="AA105" i="1"/>
  <c r="Z105" i="1"/>
  <c r="Y105" i="1"/>
  <c r="W105" i="1"/>
  <c r="V105" i="1"/>
  <c r="U105" i="1"/>
  <c r="T105" i="1"/>
  <c r="O105" i="1"/>
  <c r="AA104" i="1"/>
  <c r="Z104" i="1"/>
  <c r="Y104" i="1"/>
  <c r="W104" i="1"/>
  <c r="V104" i="1"/>
  <c r="U104" i="1"/>
  <c r="T104" i="1"/>
  <c r="O104" i="1"/>
  <c r="AA103" i="1"/>
  <c r="Z103" i="1"/>
  <c r="Y103" i="1"/>
  <c r="W103" i="1"/>
  <c r="V103" i="1"/>
  <c r="U103" i="1"/>
  <c r="T103" i="1"/>
  <c r="O103" i="1"/>
  <c r="AA102" i="1"/>
  <c r="Z102" i="1"/>
  <c r="Y102" i="1"/>
  <c r="W102" i="1"/>
  <c r="V102" i="1"/>
  <c r="U102" i="1"/>
  <c r="T102" i="1"/>
  <c r="O102" i="1"/>
  <c r="AA101" i="1"/>
  <c r="Z101" i="1"/>
  <c r="Y101" i="1"/>
  <c r="W101" i="1"/>
  <c r="V101" i="1"/>
  <c r="U101" i="1"/>
  <c r="T101" i="1"/>
  <c r="O101" i="1"/>
  <c r="AA100" i="1"/>
  <c r="Z100" i="1"/>
  <c r="Y100" i="1"/>
  <c r="W100" i="1"/>
  <c r="V100" i="1"/>
  <c r="U100" i="1"/>
  <c r="T100" i="1"/>
  <c r="O100" i="1"/>
  <c r="AA99" i="1"/>
  <c r="Z99" i="1"/>
  <c r="Y99" i="1"/>
  <c r="W99" i="1"/>
  <c r="V99" i="1"/>
  <c r="U99" i="1"/>
  <c r="T99" i="1"/>
  <c r="O99" i="1"/>
  <c r="AA98" i="1"/>
  <c r="Z98" i="1"/>
  <c r="Y98" i="1"/>
  <c r="W98" i="1"/>
  <c r="V98" i="1"/>
  <c r="U98" i="1"/>
  <c r="T98" i="1"/>
  <c r="O98" i="1"/>
  <c r="AA97" i="1"/>
  <c r="Z97" i="1"/>
  <c r="Y97" i="1"/>
  <c r="W97" i="1"/>
  <c r="V97" i="1"/>
  <c r="U97" i="1"/>
  <c r="T97" i="1"/>
  <c r="O97" i="1"/>
  <c r="AA96" i="1"/>
  <c r="Z96" i="1"/>
  <c r="Y96" i="1"/>
  <c r="W96" i="1"/>
  <c r="V96" i="1"/>
  <c r="U96" i="1"/>
  <c r="T96" i="1"/>
  <c r="O96" i="1"/>
  <c r="AA95" i="1"/>
  <c r="Z95" i="1"/>
  <c r="Y95" i="1"/>
  <c r="W95" i="1"/>
  <c r="V95" i="1"/>
  <c r="U95" i="1"/>
  <c r="T95" i="1"/>
  <c r="O95" i="1"/>
  <c r="AA94" i="1"/>
  <c r="Z94" i="1"/>
  <c r="Y94" i="1"/>
  <c r="W94" i="1"/>
  <c r="V94" i="1"/>
  <c r="U94" i="1"/>
  <c r="T94" i="1"/>
  <c r="O94" i="1"/>
  <c r="AA93" i="1"/>
  <c r="Z93" i="1"/>
  <c r="Y93" i="1"/>
  <c r="W93" i="1"/>
  <c r="V93" i="1"/>
  <c r="U93" i="1"/>
  <c r="T93" i="1"/>
  <c r="O93" i="1"/>
  <c r="AA92" i="1"/>
  <c r="Z92" i="1"/>
  <c r="Y92" i="1"/>
  <c r="W92" i="1"/>
  <c r="V92" i="1"/>
  <c r="U92" i="1"/>
  <c r="T92" i="1"/>
  <c r="O92" i="1"/>
  <c r="AA91" i="1"/>
  <c r="Z91" i="1"/>
  <c r="Y91" i="1"/>
  <c r="W91" i="1"/>
  <c r="V91" i="1"/>
  <c r="U91" i="1"/>
  <c r="T91" i="1"/>
  <c r="O91" i="1"/>
  <c r="AA90" i="1"/>
  <c r="Z90" i="1"/>
  <c r="Y90" i="1"/>
  <c r="W90" i="1"/>
  <c r="V90" i="1"/>
  <c r="U90" i="1"/>
  <c r="T90" i="1"/>
  <c r="O90" i="1"/>
  <c r="AA89" i="1"/>
  <c r="Z89" i="1"/>
  <c r="Y89" i="1"/>
  <c r="W89" i="1"/>
  <c r="V89" i="1"/>
  <c r="U89" i="1"/>
  <c r="T89" i="1"/>
  <c r="O89" i="1"/>
  <c r="AA88" i="1"/>
  <c r="Z88" i="1"/>
  <c r="Y88" i="1"/>
  <c r="W88" i="1"/>
  <c r="V88" i="1"/>
  <c r="U88" i="1"/>
  <c r="T88" i="1"/>
  <c r="O88" i="1"/>
  <c r="AA87" i="1"/>
  <c r="Z87" i="1"/>
  <c r="Y87" i="1"/>
  <c r="W87" i="1"/>
  <c r="V87" i="1"/>
  <c r="U87" i="1"/>
  <c r="T87" i="1"/>
  <c r="O87" i="1"/>
  <c r="AA86" i="1"/>
  <c r="Z86" i="1"/>
  <c r="Y86" i="1"/>
  <c r="W86" i="1"/>
  <c r="V86" i="1"/>
  <c r="U86" i="1"/>
  <c r="T86" i="1"/>
  <c r="O86" i="1"/>
  <c r="AA85" i="1"/>
  <c r="Z85" i="1"/>
  <c r="Y85" i="1"/>
  <c r="W85" i="1"/>
  <c r="V85" i="1"/>
  <c r="U85" i="1"/>
  <c r="T85" i="1"/>
  <c r="O85" i="1"/>
  <c r="AA84" i="1"/>
  <c r="Z84" i="1"/>
  <c r="Y84" i="1"/>
  <c r="W84" i="1"/>
  <c r="V84" i="1"/>
  <c r="U84" i="1"/>
  <c r="T84" i="1"/>
  <c r="O84" i="1"/>
  <c r="AA83" i="1"/>
  <c r="Z83" i="1"/>
  <c r="Y83" i="1"/>
  <c r="W83" i="1"/>
  <c r="V83" i="1"/>
  <c r="U83" i="1"/>
  <c r="T83" i="1"/>
  <c r="O83" i="1"/>
  <c r="AA82" i="1"/>
  <c r="Z82" i="1"/>
  <c r="Y82" i="1"/>
  <c r="W82" i="1"/>
  <c r="V82" i="1"/>
  <c r="U82" i="1"/>
  <c r="T82" i="1"/>
  <c r="O82" i="1"/>
  <c r="AA81" i="1"/>
  <c r="Z81" i="1"/>
  <c r="Y81" i="1"/>
  <c r="W81" i="1"/>
  <c r="V81" i="1"/>
  <c r="U81" i="1"/>
  <c r="T81" i="1"/>
  <c r="O81" i="1"/>
  <c r="AA80" i="1"/>
  <c r="Z80" i="1"/>
  <c r="Y80" i="1"/>
  <c r="W80" i="1"/>
  <c r="V80" i="1"/>
  <c r="U80" i="1"/>
  <c r="T80" i="1"/>
  <c r="O80" i="1"/>
  <c r="AA79" i="1"/>
  <c r="Z79" i="1"/>
  <c r="Y79" i="1"/>
  <c r="W79" i="1"/>
  <c r="V79" i="1"/>
  <c r="U79" i="1"/>
  <c r="T79" i="1"/>
  <c r="O79" i="1"/>
  <c r="AA78" i="1"/>
  <c r="Z78" i="1"/>
  <c r="Y78" i="1"/>
  <c r="W78" i="1"/>
  <c r="V78" i="1"/>
  <c r="U78" i="1"/>
  <c r="T78" i="1"/>
  <c r="O78" i="1"/>
  <c r="AA77" i="1"/>
  <c r="Z77" i="1"/>
  <c r="Y77" i="1"/>
  <c r="W77" i="1"/>
  <c r="V77" i="1"/>
  <c r="U77" i="1"/>
  <c r="T77" i="1"/>
  <c r="O77" i="1"/>
  <c r="AA76" i="1"/>
  <c r="Z76" i="1"/>
  <c r="Y76" i="1"/>
  <c r="W76" i="1"/>
  <c r="V76" i="1"/>
  <c r="U76" i="1"/>
  <c r="T76" i="1"/>
  <c r="O76" i="1"/>
  <c r="AA75" i="1"/>
  <c r="Z75" i="1"/>
  <c r="Y75" i="1"/>
  <c r="W75" i="1"/>
  <c r="V75" i="1"/>
  <c r="U75" i="1"/>
  <c r="T75" i="1"/>
  <c r="O75" i="1"/>
  <c r="AA74" i="1"/>
  <c r="Z74" i="1"/>
  <c r="Y74" i="1"/>
  <c r="W74" i="1"/>
  <c r="V74" i="1"/>
  <c r="U74" i="1"/>
  <c r="T74" i="1"/>
  <c r="O74" i="1"/>
  <c r="AA73" i="1"/>
  <c r="Z73" i="1"/>
  <c r="Y73" i="1"/>
  <c r="W73" i="1"/>
  <c r="V73" i="1"/>
  <c r="U73" i="1"/>
  <c r="T73" i="1"/>
  <c r="O73" i="1"/>
  <c r="AA72" i="1"/>
  <c r="Z72" i="1"/>
  <c r="Y72" i="1"/>
  <c r="W72" i="1"/>
  <c r="V72" i="1"/>
  <c r="U72" i="1"/>
  <c r="T72" i="1"/>
  <c r="O72" i="1"/>
  <c r="AA71" i="1"/>
  <c r="Z71" i="1"/>
  <c r="Y71" i="1"/>
  <c r="W71" i="1"/>
  <c r="V71" i="1"/>
  <c r="U71" i="1"/>
  <c r="T71" i="1"/>
  <c r="O71" i="1"/>
  <c r="AA70" i="1"/>
  <c r="Z70" i="1"/>
  <c r="Y70" i="1"/>
  <c r="W70" i="1"/>
  <c r="V70" i="1"/>
  <c r="U70" i="1"/>
  <c r="T70" i="1"/>
  <c r="O70" i="1"/>
  <c r="AA69" i="1"/>
  <c r="Z69" i="1"/>
  <c r="Y69" i="1"/>
  <c r="W69" i="1"/>
  <c r="V69" i="1"/>
  <c r="U69" i="1"/>
  <c r="T69" i="1"/>
  <c r="O69" i="1"/>
  <c r="AA68" i="1"/>
  <c r="Z68" i="1"/>
  <c r="Y68" i="1"/>
  <c r="W68" i="1"/>
  <c r="V68" i="1"/>
  <c r="U68" i="1"/>
  <c r="T68" i="1"/>
  <c r="O68" i="1"/>
  <c r="AA67" i="1"/>
  <c r="Z67" i="1"/>
  <c r="Y67" i="1"/>
  <c r="W67" i="1"/>
  <c r="V67" i="1"/>
  <c r="U67" i="1"/>
  <c r="T67" i="1"/>
  <c r="O67" i="1"/>
  <c r="AA66" i="1"/>
  <c r="Z66" i="1"/>
  <c r="Y66" i="1"/>
  <c r="W66" i="1"/>
  <c r="V66" i="1"/>
  <c r="U66" i="1"/>
  <c r="T66" i="1"/>
  <c r="O66" i="1"/>
  <c r="AA65" i="1"/>
  <c r="Z65" i="1"/>
  <c r="Y65" i="1"/>
  <c r="W65" i="1"/>
  <c r="V65" i="1"/>
  <c r="U65" i="1"/>
  <c r="T65" i="1"/>
  <c r="O65" i="1"/>
  <c r="AA64" i="1"/>
  <c r="Z64" i="1"/>
  <c r="Y64" i="1"/>
  <c r="W64" i="1"/>
  <c r="V64" i="1"/>
  <c r="U64" i="1"/>
  <c r="T64" i="1"/>
  <c r="O64" i="1"/>
  <c r="AA63" i="1"/>
  <c r="Z63" i="1"/>
  <c r="Y63" i="1"/>
  <c r="W63" i="1"/>
  <c r="V63" i="1"/>
  <c r="U63" i="1"/>
  <c r="T63" i="1"/>
  <c r="O63" i="1"/>
  <c r="AA62" i="1"/>
  <c r="Z62" i="1"/>
  <c r="Y62" i="1"/>
  <c r="W62" i="1"/>
  <c r="V62" i="1"/>
  <c r="U62" i="1"/>
  <c r="T62" i="1"/>
  <c r="O62" i="1"/>
  <c r="AA61" i="1"/>
  <c r="Z61" i="1"/>
  <c r="Y61" i="1"/>
  <c r="W61" i="1"/>
  <c r="V61" i="1"/>
  <c r="U61" i="1"/>
  <c r="T61" i="1"/>
  <c r="O61" i="1"/>
  <c r="AA60" i="1"/>
  <c r="Z60" i="1"/>
  <c r="Y60" i="1"/>
  <c r="W60" i="1"/>
  <c r="V60" i="1"/>
  <c r="U60" i="1"/>
  <c r="T60" i="1"/>
  <c r="O60" i="1"/>
  <c r="AA59" i="1"/>
  <c r="Z59" i="1"/>
  <c r="Y59" i="1"/>
  <c r="W59" i="1"/>
  <c r="V59" i="1"/>
  <c r="U59" i="1"/>
  <c r="T59" i="1"/>
  <c r="O59" i="1"/>
  <c r="AA58" i="1"/>
  <c r="Z58" i="1"/>
  <c r="Y58" i="1"/>
  <c r="W58" i="1"/>
  <c r="V58" i="1"/>
  <c r="U58" i="1"/>
  <c r="T58" i="1"/>
  <c r="O58" i="1"/>
  <c r="AA57" i="1"/>
  <c r="Z57" i="1"/>
  <c r="Y57" i="1"/>
  <c r="W57" i="1"/>
  <c r="V57" i="1"/>
  <c r="U57" i="1"/>
  <c r="T57" i="1"/>
  <c r="O57" i="1"/>
  <c r="AA56" i="1"/>
  <c r="Z56" i="1"/>
  <c r="Y56" i="1"/>
  <c r="W56" i="1"/>
  <c r="V56" i="1"/>
  <c r="U56" i="1"/>
  <c r="T56" i="1"/>
  <c r="O56" i="1"/>
  <c r="AA55" i="1"/>
  <c r="Z55" i="1"/>
  <c r="Y55" i="1"/>
  <c r="W55" i="1"/>
  <c r="V55" i="1"/>
  <c r="U55" i="1"/>
  <c r="T55" i="1"/>
  <c r="O55" i="1"/>
  <c r="AA54" i="1"/>
  <c r="Z54" i="1"/>
  <c r="Y54" i="1"/>
  <c r="W54" i="1"/>
  <c r="V54" i="1"/>
  <c r="U54" i="1"/>
  <c r="T54" i="1"/>
  <c r="O54" i="1"/>
  <c r="AA53" i="1"/>
  <c r="Z53" i="1"/>
  <c r="Y53" i="1"/>
  <c r="W53" i="1"/>
  <c r="V53" i="1"/>
  <c r="U53" i="1"/>
  <c r="T53" i="1"/>
  <c r="O53" i="1"/>
  <c r="AA52" i="1"/>
  <c r="Z52" i="1"/>
  <c r="Y52" i="1"/>
  <c r="W52" i="1"/>
  <c r="V52" i="1"/>
  <c r="U52" i="1"/>
  <c r="T52" i="1"/>
  <c r="O52" i="1"/>
  <c r="AA51" i="1"/>
  <c r="Z51" i="1"/>
  <c r="Y51" i="1"/>
  <c r="W51" i="1"/>
  <c r="V51" i="1"/>
  <c r="U51" i="1"/>
  <c r="T51" i="1"/>
  <c r="O51" i="1"/>
  <c r="AA50" i="1"/>
  <c r="Z50" i="1"/>
  <c r="Y50" i="1"/>
  <c r="W50" i="1"/>
  <c r="V50" i="1"/>
  <c r="U50" i="1"/>
  <c r="T50" i="1"/>
  <c r="O50" i="1"/>
  <c r="AA49" i="1"/>
  <c r="Z49" i="1"/>
  <c r="Y49" i="1"/>
  <c r="W49" i="1"/>
  <c r="V49" i="1"/>
  <c r="U49" i="1"/>
  <c r="T49" i="1"/>
  <c r="O49" i="1"/>
  <c r="AA48" i="1"/>
  <c r="Z48" i="1"/>
  <c r="Y48" i="1"/>
  <c r="W48" i="1"/>
  <c r="V48" i="1"/>
  <c r="U48" i="1"/>
  <c r="T48" i="1"/>
  <c r="O48" i="1"/>
  <c r="AA47" i="1"/>
  <c r="Z47" i="1"/>
  <c r="Y47" i="1"/>
  <c r="W47" i="1"/>
  <c r="V47" i="1"/>
  <c r="U47" i="1"/>
  <c r="T47" i="1"/>
  <c r="O47" i="1"/>
  <c r="AA46" i="1"/>
  <c r="Z46" i="1"/>
  <c r="Y46" i="1"/>
  <c r="W46" i="1"/>
  <c r="V46" i="1"/>
  <c r="U46" i="1"/>
  <c r="T46" i="1"/>
  <c r="O46" i="1"/>
  <c r="AA45" i="1"/>
  <c r="Z45" i="1"/>
  <c r="Y45" i="1"/>
  <c r="W45" i="1"/>
  <c r="V45" i="1"/>
  <c r="U45" i="1"/>
  <c r="T45" i="1"/>
  <c r="O45" i="1"/>
  <c r="AA44" i="1"/>
  <c r="Z44" i="1"/>
  <c r="Y44" i="1"/>
  <c r="W44" i="1"/>
  <c r="V44" i="1"/>
  <c r="U44" i="1"/>
  <c r="T44" i="1"/>
  <c r="O44" i="1"/>
  <c r="AA43" i="1"/>
  <c r="Z43" i="1"/>
  <c r="Y43" i="1"/>
  <c r="W43" i="1"/>
  <c r="V43" i="1"/>
  <c r="U43" i="1"/>
  <c r="T43" i="1"/>
  <c r="O43" i="1"/>
  <c r="AA42" i="1"/>
  <c r="Z42" i="1"/>
  <c r="Y42" i="1"/>
  <c r="W42" i="1"/>
  <c r="V42" i="1"/>
  <c r="U42" i="1"/>
  <c r="T42" i="1"/>
  <c r="O42" i="1"/>
  <c r="AA41" i="1"/>
  <c r="Z41" i="1"/>
  <c r="Y41" i="1"/>
  <c r="W41" i="1"/>
  <c r="V41" i="1"/>
  <c r="U41" i="1"/>
  <c r="T41" i="1"/>
  <c r="O41" i="1"/>
  <c r="AA40" i="1"/>
  <c r="Z40" i="1"/>
  <c r="Y40" i="1"/>
  <c r="W40" i="1"/>
  <c r="V40" i="1"/>
  <c r="U40" i="1"/>
  <c r="T40" i="1"/>
  <c r="O40" i="1"/>
  <c r="AA39" i="1"/>
  <c r="Z39" i="1"/>
  <c r="Y39" i="1"/>
  <c r="W39" i="1"/>
  <c r="V39" i="1"/>
  <c r="U39" i="1"/>
  <c r="T39" i="1"/>
  <c r="O39" i="1"/>
  <c r="AA38" i="1"/>
  <c r="Z38" i="1"/>
  <c r="Y38" i="1"/>
  <c r="W38" i="1"/>
  <c r="V38" i="1"/>
  <c r="U38" i="1"/>
  <c r="T38" i="1"/>
  <c r="O38" i="1"/>
  <c r="AA37" i="1"/>
  <c r="Z37" i="1"/>
  <c r="Y37" i="1"/>
  <c r="W37" i="1"/>
  <c r="V37" i="1"/>
  <c r="U37" i="1"/>
  <c r="T37" i="1"/>
  <c r="O37" i="1"/>
  <c r="AA36" i="1"/>
  <c r="Z36" i="1"/>
  <c r="Y36" i="1"/>
  <c r="W36" i="1"/>
  <c r="V36" i="1"/>
  <c r="U36" i="1"/>
  <c r="T36" i="1"/>
  <c r="O36" i="1"/>
  <c r="AA35" i="1"/>
  <c r="Z35" i="1"/>
  <c r="Y35" i="1"/>
  <c r="W35" i="1"/>
  <c r="V35" i="1"/>
  <c r="U35" i="1"/>
  <c r="T35" i="1"/>
  <c r="O35" i="1"/>
  <c r="AA34" i="1"/>
  <c r="Z34" i="1"/>
  <c r="Y34" i="1"/>
  <c r="W34" i="1"/>
  <c r="V34" i="1"/>
  <c r="U34" i="1"/>
  <c r="T34" i="1"/>
  <c r="O34" i="1"/>
  <c r="AA33" i="1"/>
  <c r="Z33" i="1"/>
  <c r="Y33" i="1"/>
  <c r="W33" i="1"/>
  <c r="V33" i="1"/>
  <c r="U33" i="1"/>
  <c r="T33" i="1"/>
  <c r="O33" i="1"/>
  <c r="AA32" i="1"/>
  <c r="Z32" i="1"/>
  <c r="Y32" i="1"/>
  <c r="W32" i="1"/>
  <c r="V32" i="1"/>
  <c r="U32" i="1"/>
  <c r="T32" i="1"/>
  <c r="O32" i="1"/>
  <c r="AA31" i="1"/>
  <c r="Z31" i="1"/>
  <c r="Y31" i="1"/>
  <c r="W31" i="1"/>
  <c r="V31" i="1"/>
  <c r="U31" i="1"/>
  <c r="T31" i="1"/>
  <c r="O31" i="1"/>
  <c r="AA30" i="1"/>
  <c r="Z30" i="1"/>
  <c r="Y30" i="1"/>
  <c r="W30" i="1"/>
  <c r="V30" i="1"/>
  <c r="U30" i="1"/>
  <c r="T30" i="1"/>
  <c r="O30" i="1"/>
  <c r="AA29" i="1"/>
  <c r="Z29" i="1"/>
  <c r="Y29" i="1"/>
  <c r="W29" i="1"/>
  <c r="V29" i="1"/>
  <c r="U29" i="1"/>
  <c r="T29" i="1"/>
  <c r="O29" i="1"/>
  <c r="AA28" i="1"/>
  <c r="Z28" i="1"/>
  <c r="Y28" i="1"/>
  <c r="W28" i="1"/>
  <c r="V28" i="1"/>
  <c r="U28" i="1"/>
  <c r="T28" i="1"/>
  <c r="O28" i="1"/>
  <c r="AA27" i="1"/>
  <c r="Z27" i="1"/>
  <c r="Y27" i="1"/>
  <c r="W27" i="1"/>
  <c r="V27" i="1"/>
  <c r="U27" i="1"/>
  <c r="T27" i="1"/>
  <c r="O27" i="1"/>
  <c r="AA26" i="1"/>
  <c r="Z26" i="1"/>
  <c r="Y26" i="1"/>
  <c r="W26" i="1"/>
  <c r="V26" i="1"/>
  <c r="U26" i="1"/>
  <c r="T26" i="1"/>
  <c r="O26" i="1"/>
  <c r="AA25" i="1"/>
  <c r="Z25" i="1"/>
  <c r="Y25" i="1"/>
  <c r="W25" i="1"/>
  <c r="V25" i="1"/>
  <c r="U25" i="1"/>
  <c r="T25" i="1"/>
  <c r="O25" i="1"/>
  <c r="AA24" i="1"/>
  <c r="Z24" i="1"/>
  <c r="Y24" i="1"/>
  <c r="W24" i="1"/>
  <c r="V24" i="1"/>
  <c r="U24" i="1"/>
  <c r="T24" i="1"/>
  <c r="O24" i="1"/>
  <c r="AA23" i="1"/>
  <c r="Z23" i="1"/>
  <c r="Y23" i="1"/>
  <c r="W23" i="1"/>
  <c r="V23" i="1"/>
  <c r="U23" i="1"/>
  <c r="T23" i="1"/>
  <c r="O23" i="1"/>
  <c r="AA22" i="1"/>
  <c r="Z22" i="1"/>
  <c r="Y22" i="1"/>
  <c r="W22" i="1"/>
  <c r="V22" i="1"/>
  <c r="U22" i="1"/>
  <c r="T22" i="1"/>
  <c r="O22" i="1"/>
  <c r="AA21" i="1"/>
  <c r="Z21" i="1"/>
  <c r="Y21" i="1"/>
  <c r="W21" i="1"/>
  <c r="V21" i="1"/>
  <c r="U21" i="1"/>
  <c r="T21" i="1"/>
  <c r="O21" i="1"/>
  <c r="AA20" i="1"/>
  <c r="Z20" i="1"/>
  <c r="Y20" i="1"/>
  <c r="W20" i="1"/>
  <c r="V20" i="1"/>
  <c r="U20" i="1"/>
  <c r="T20" i="1"/>
  <c r="O20" i="1"/>
  <c r="AA19" i="1"/>
  <c r="Z19" i="1"/>
  <c r="Y19" i="1"/>
  <c r="W19" i="1"/>
  <c r="V19" i="1"/>
  <c r="U19" i="1"/>
  <c r="T19" i="1"/>
  <c r="O19" i="1"/>
  <c r="AA18" i="1"/>
  <c r="Z18" i="1"/>
  <c r="Y18" i="1"/>
  <c r="W18" i="1"/>
  <c r="V18" i="1"/>
  <c r="U18" i="1"/>
  <c r="T18" i="1"/>
  <c r="O18" i="1"/>
  <c r="AA17" i="1"/>
  <c r="Z17" i="1"/>
  <c r="Y17" i="1"/>
  <c r="W17" i="1"/>
  <c r="V17" i="1"/>
  <c r="U17" i="1"/>
  <c r="T17" i="1"/>
  <c r="O17" i="1"/>
  <c r="AA16" i="1"/>
  <c r="Z16" i="1"/>
  <c r="Y16" i="1"/>
  <c r="W16" i="1"/>
  <c r="V16" i="1"/>
  <c r="U16" i="1"/>
  <c r="T16" i="1"/>
  <c r="O16" i="1"/>
  <c r="AA15" i="1"/>
  <c r="Z15" i="1"/>
  <c r="Y15" i="1"/>
  <c r="W15" i="1"/>
  <c r="V15" i="1"/>
  <c r="U15" i="1"/>
  <c r="T15" i="1"/>
  <c r="O15" i="1"/>
  <c r="AA14" i="1"/>
  <c r="Z14" i="1"/>
  <c r="Y14" i="1"/>
  <c r="W14" i="1"/>
  <c r="V14" i="1"/>
  <c r="U14" i="1"/>
  <c r="T14" i="1"/>
  <c r="O14" i="1"/>
  <c r="AA13" i="1"/>
  <c r="Z13" i="1"/>
  <c r="Y13" i="1"/>
  <c r="W13" i="1"/>
  <c r="V13" i="1"/>
  <c r="U13" i="1"/>
  <c r="T13" i="1"/>
  <c r="O13" i="1"/>
  <c r="AA12" i="1"/>
  <c r="Z12" i="1"/>
  <c r="Y12" i="1"/>
  <c r="W12" i="1"/>
  <c r="V12" i="1"/>
  <c r="U12" i="1"/>
  <c r="T12" i="1"/>
  <c r="O12" i="1"/>
  <c r="AA11" i="1"/>
  <c r="Z11" i="1"/>
  <c r="Y11" i="1"/>
  <c r="W11" i="1"/>
  <c r="V11" i="1"/>
  <c r="U11" i="1"/>
  <c r="T11" i="1"/>
  <c r="O11" i="1"/>
  <c r="AA10" i="1"/>
  <c r="Z10" i="1"/>
  <c r="Y10" i="1"/>
  <c r="W10" i="1"/>
  <c r="V10" i="1"/>
  <c r="U10" i="1"/>
  <c r="T10" i="1"/>
  <c r="O10" i="1"/>
  <c r="AA9" i="1"/>
  <c r="Z9" i="1"/>
  <c r="Y9" i="1"/>
  <c r="W9" i="1"/>
  <c r="V9" i="1"/>
  <c r="U9" i="1"/>
  <c r="T9" i="1"/>
  <c r="O9" i="1"/>
  <c r="AA8" i="1"/>
  <c r="Z8" i="1"/>
  <c r="Y8" i="1"/>
  <c r="W8" i="1"/>
  <c r="V8" i="1"/>
  <c r="U8" i="1"/>
  <c r="T8" i="1"/>
  <c r="O8" i="1"/>
  <c r="AA7" i="1"/>
  <c r="Z7" i="1"/>
  <c r="Y7" i="1"/>
  <c r="W7" i="1"/>
  <c r="V7" i="1"/>
  <c r="U7" i="1"/>
  <c r="T7" i="1"/>
  <c r="O7" i="1"/>
  <c r="AA6" i="1"/>
  <c r="Z6" i="1"/>
  <c r="Y6" i="1"/>
  <c r="W6" i="1"/>
  <c r="V6" i="1"/>
  <c r="U6" i="1"/>
  <c r="T6" i="1"/>
  <c r="O6" i="1"/>
  <c r="AA5" i="1"/>
  <c r="Z5" i="1"/>
  <c r="Y5" i="1"/>
  <c r="W5" i="1"/>
  <c r="V5" i="1"/>
  <c r="U5" i="1"/>
  <c r="T5" i="1"/>
  <c r="O5" i="1"/>
  <c r="AA4" i="1"/>
  <c r="Z4" i="1"/>
  <c r="Y4" i="1"/>
  <c r="W4" i="1"/>
  <c r="V4" i="1"/>
  <c r="U4" i="1"/>
  <c r="T4" i="1"/>
  <c r="O4" i="1"/>
  <c r="AA3" i="1"/>
  <c r="Z3" i="1"/>
  <c r="Y3" i="1"/>
  <c r="W3" i="1"/>
  <c r="V3" i="1"/>
  <c r="U3" i="1"/>
  <c r="T3" i="1"/>
  <c r="O3" i="1"/>
  <c r="AA2" i="1"/>
  <c r="Z2" i="1"/>
  <c r="Y2" i="1"/>
  <c r="W2" i="1"/>
  <c r="V2" i="1"/>
  <c r="U2" i="1"/>
  <c r="T2" i="1"/>
  <c r="O2" i="1"/>
</calcChain>
</file>

<file path=xl/sharedStrings.xml><?xml version="1.0" encoding="utf-8"?>
<sst xmlns="http://schemas.openxmlformats.org/spreadsheetml/2006/main" count="1084" uniqueCount="103">
  <si>
    <t>Chỉ tiêu</t>
  </si>
  <si>
    <t>Năm</t>
  </si>
  <si>
    <t>Lợi nhuận sau thuế</t>
  </si>
  <si>
    <t>Tổng tài sản ngắn hạn</t>
  </si>
  <si>
    <t>Tài sản dài hạn</t>
  </si>
  <si>
    <t>Tài sản cố định</t>
  </si>
  <si>
    <t>Tổng tài sản</t>
  </si>
  <si>
    <t>Tổng nợ</t>
  </si>
  <si>
    <t>Vốn chủ sở hữu</t>
  </si>
  <si>
    <t>Nợ ngắn hạn</t>
  </si>
  <si>
    <t>Lạm phát</t>
  </si>
  <si>
    <t xml:space="preserve">Tăng trưởng </t>
  </si>
  <si>
    <t>Lãi suất danh nghĩa</t>
  </si>
  <si>
    <t>Tỷ giá hối đoái danh nghĩa</t>
  </si>
  <si>
    <t>Age</t>
  </si>
  <si>
    <t>Năm thành lập</t>
  </si>
  <si>
    <t>us cpi</t>
  </si>
  <si>
    <t>vn cpi</t>
  </si>
  <si>
    <t>Tỷ giá hối đoái thực</t>
  </si>
  <si>
    <t>ROE</t>
  </si>
  <si>
    <t>ROA</t>
  </si>
  <si>
    <t>LEV</t>
  </si>
  <si>
    <t>CR</t>
  </si>
  <si>
    <t>SIZE</t>
  </si>
  <si>
    <t>AST</t>
  </si>
  <si>
    <t>Lãi suất thực</t>
  </si>
  <si>
    <t>Lãi suất thực công thức rút gọn</t>
  </si>
  <si>
    <t>AAM</t>
  </si>
  <si>
    <t>AAT</t>
  </si>
  <si>
    <t>ABS</t>
  </si>
  <si>
    <t>ABT</t>
  </si>
  <si>
    <t>ACL</t>
  </si>
  <si>
    <t>ADS</t>
  </si>
  <si>
    <t>AGM</t>
  </si>
  <si>
    <t>ANV</t>
  </si>
  <si>
    <t>ASM</t>
  </si>
  <si>
    <t>BAF</t>
  </si>
  <si>
    <t>BBC</t>
  </si>
  <si>
    <t>BHN</t>
  </si>
  <si>
    <t>BKG</t>
  </si>
  <si>
    <t>CLC</t>
  </si>
  <si>
    <t>CMX</t>
  </si>
  <si>
    <t>CSM</t>
  </si>
  <si>
    <t>CTF</t>
  </si>
  <si>
    <t>DAT</t>
  </si>
  <si>
    <t>DBC</t>
  </si>
  <si>
    <t>DQC</t>
  </si>
  <si>
    <t>DRC</t>
  </si>
  <si>
    <t>EVE</t>
  </si>
  <si>
    <t>FMC</t>
  </si>
  <si>
    <t>GDT</t>
  </si>
  <si>
    <t>GIL</t>
  </si>
  <si>
    <t>GMC</t>
  </si>
  <si>
    <t>HAG</t>
  </si>
  <si>
    <t>HAX</t>
  </si>
  <si>
    <t>HHS</t>
  </si>
  <si>
    <t>HNG</t>
  </si>
  <si>
    <t>HSL</t>
  </si>
  <si>
    <t>HTG</t>
  </si>
  <si>
    <t>HTL</t>
  </si>
  <si>
    <t>IDI</t>
  </si>
  <si>
    <t>KDC</t>
  </si>
  <si>
    <t>KMR</t>
  </si>
  <si>
    <t>LAF</t>
  </si>
  <si>
    <t>LIX</t>
  </si>
  <si>
    <t>LSS</t>
  </si>
  <si>
    <t>MCM</t>
  </si>
  <si>
    <t>MSH</t>
  </si>
  <si>
    <t>MSN</t>
  </si>
  <si>
    <t>NAF</t>
  </si>
  <si>
    <t>NHT</t>
  </si>
  <si>
    <t>NSC</t>
  </si>
  <si>
    <t>PAN</t>
  </si>
  <si>
    <t>PNJ</t>
  </si>
  <si>
    <t>RAL</t>
  </si>
  <si>
    <t>SAB</t>
  </si>
  <si>
    <t>SBT</t>
  </si>
  <si>
    <t>SMB</t>
  </si>
  <si>
    <t>SRC</t>
  </si>
  <si>
    <t>SSC</t>
  </si>
  <si>
    <t>STK</t>
  </si>
  <si>
    <t>SVC</t>
  </si>
  <si>
    <t>TCM</t>
  </si>
  <si>
    <t>TLG</t>
  </si>
  <si>
    <t>TMT</t>
  </si>
  <si>
    <t>TVT</t>
  </si>
  <si>
    <t>VCF</t>
  </si>
  <si>
    <t>VHC</t>
  </si>
  <si>
    <t>VNM</t>
  </si>
  <si>
    <t>Doanh thu</t>
  </si>
  <si>
    <t>Doanh thu năm trước</t>
  </si>
  <si>
    <t>Tăng trưởng doanh thu</t>
  </si>
  <si>
    <t>ls</t>
  </si>
  <si>
    <t>tghddn</t>
  </si>
  <si>
    <t>E</t>
  </si>
  <si>
    <t>CPI</t>
  </si>
  <si>
    <t>GDP</t>
  </si>
  <si>
    <t>I</t>
  </si>
  <si>
    <t>PAC</t>
  </si>
  <si>
    <t>L1.ROA</t>
  </si>
  <si>
    <t>L1.ROE</t>
  </si>
  <si>
    <t>LnSIZE</t>
  </si>
  <si>
    <t>LnAGE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</si>
</sst>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10" fontId="0" fillId="3" borderId="0" xfId="1" applyNumberFormat="1" applyFont="1" applyFill="1"/>
    <xf numFmtId="1" fontId="0" fillId="3" borderId="0" xfId="0" applyNumberFormat="1" applyFont="1" applyFill="1" applyBorder="1" applyProtection="1"/>
    <xf numFmtId="2" fontId="0" fillId="3" borderId="0" xfId="0" applyNumberFormat="1" applyFont="1" applyFill="1" applyBorder="1" applyProtection="1"/>
    <xf numFmtId="10" fontId="0" fillId="0" borderId="0" xfId="1" applyNumberFormat="1" applyFont="1"/>
    <xf numFmtId="164" fontId="0" fillId="0" borderId="0" xfId="1" applyNumberFormat="1" applyFont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" fontId="0" fillId="0" borderId="0" xfId="0" applyNumberFormat="1" applyFont="1" applyFill="1" applyBorder="1" applyProtection="1"/>
    <xf numFmtId="2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3" fillId="2" borderId="0" xfId="0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0" fillId="0" borderId="0" xfId="1" applyNumberFormat="1" applyFont="1"/>
    <xf numFmtId="2" fontId="0" fillId="3" borderId="0" xfId="1" applyNumberFormat="1" applyFont="1" applyFill="1"/>
    <xf numFmtId="0" fontId="0" fillId="3" borderId="0" xfId="0" applyNumberFormat="1" applyFont="1" applyFill="1" applyBorder="1" applyProtection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10" fontId="0" fillId="4" borderId="0" xfId="1" applyNumberFormat="1" applyFont="1" applyFill="1"/>
    <xf numFmtId="2" fontId="0" fillId="4" borderId="0" xfId="1" applyNumberFormat="1" applyFont="1" applyFill="1"/>
    <xf numFmtId="1" fontId="0" fillId="4" borderId="0" xfId="0" applyNumberFormat="1" applyFont="1" applyFill="1" applyBorder="1" applyProtection="1"/>
    <xf numFmtId="2" fontId="0" fillId="4" borderId="0" xfId="0" applyNumberFormat="1" applyFont="1" applyFill="1" applyBorder="1" applyProtection="1"/>
  </cellXfs>
  <cellStyles count="2">
    <cellStyle name="Normal" xfId="0" builtinId="0"/>
    <cellStyle name="Percent" xfId="1" builtinId="5"/>
  </cellStyles>
  <dxfs count="16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0" formatCode="General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1" formatCode="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8"/>
          <c:order val="18"/>
          <c:tx>
            <c:strRef>
              <c:f>'Sheet1 (2)'!$T$1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'Sheet1 (2)'!$A$2:$A$311</c:f>
              <c:strCache>
                <c:ptCount val="290"/>
                <c:pt idx="0">
                  <c:v>AAM</c:v>
                </c:pt>
                <c:pt idx="1">
                  <c:v>AAT</c:v>
                </c:pt>
                <c:pt idx="2">
                  <c:v>ABS</c:v>
                </c:pt>
                <c:pt idx="3">
                  <c:v>ABT</c:v>
                </c:pt>
                <c:pt idx="4">
                  <c:v>ACL</c:v>
                </c:pt>
                <c:pt idx="5">
                  <c:v>ADS</c:v>
                </c:pt>
                <c:pt idx="6">
                  <c:v>ANV</c:v>
                </c:pt>
                <c:pt idx="7">
                  <c:v>ASM</c:v>
                </c:pt>
                <c:pt idx="8">
                  <c:v>BAF</c:v>
                </c:pt>
                <c:pt idx="9">
                  <c:v>BBC</c:v>
                </c:pt>
                <c:pt idx="10">
                  <c:v>BHN</c:v>
                </c:pt>
                <c:pt idx="11">
                  <c:v>BKG</c:v>
                </c:pt>
                <c:pt idx="12">
                  <c:v>CLC</c:v>
                </c:pt>
                <c:pt idx="13">
                  <c:v>CMX</c:v>
                </c:pt>
                <c:pt idx="14">
                  <c:v>CSM</c:v>
                </c:pt>
                <c:pt idx="15">
                  <c:v>CTF</c:v>
                </c:pt>
                <c:pt idx="16">
                  <c:v>DAT</c:v>
                </c:pt>
                <c:pt idx="17">
                  <c:v>DBC</c:v>
                </c:pt>
                <c:pt idx="18">
                  <c:v>DQC</c:v>
                </c:pt>
                <c:pt idx="19">
                  <c:v>DRC</c:v>
                </c:pt>
                <c:pt idx="20">
                  <c:v>EVE</c:v>
                </c:pt>
                <c:pt idx="21">
                  <c:v>FMC</c:v>
                </c:pt>
                <c:pt idx="22">
                  <c:v>GDT</c:v>
                </c:pt>
                <c:pt idx="23">
                  <c:v>GIL</c:v>
                </c:pt>
                <c:pt idx="24">
                  <c:v>GMC</c:v>
                </c:pt>
                <c:pt idx="25">
                  <c:v>HAG</c:v>
                </c:pt>
                <c:pt idx="26">
                  <c:v>HAX</c:v>
                </c:pt>
                <c:pt idx="27">
                  <c:v>HHS</c:v>
                </c:pt>
                <c:pt idx="28">
                  <c:v>HSL</c:v>
                </c:pt>
                <c:pt idx="29">
                  <c:v>HTG</c:v>
                </c:pt>
                <c:pt idx="30">
                  <c:v>HTL</c:v>
                </c:pt>
                <c:pt idx="31">
                  <c:v>IDI</c:v>
                </c:pt>
                <c:pt idx="32">
                  <c:v>KDC</c:v>
                </c:pt>
                <c:pt idx="33">
                  <c:v>KMR</c:v>
                </c:pt>
                <c:pt idx="34">
                  <c:v>LAF</c:v>
                </c:pt>
                <c:pt idx="35">
                  <c:v>LIX</c:v>
                </c:pt>
                <c:pt idx="36">
                  <c:v>LSS</c:v>
                </c:pt>
                <c:pt idx="37">
                  <c:v>MCM</c:v>
                </c:pt>
                <c:pt idx="38">
                  <c:v>MSN</c:v>
                </c:pt>
                <c:pt idx="39">
                  <c:v>NAF</c:v>
                </c:pt>
                <c:pt idx="40">
                  <c:v>NHT</c:v>
                </c:pt>
                <c:pt idx="41">
                  <c:v>NSC</c:v>
                </c:pt>
                <c:pt idx="42">
                  <c:v>PAN</c:v>
                </c:pt>
                <c:pt idx="43">
                  <c:v>PNJ</c:v>
                </c:pt>
                <c:pt idx="44">
                  <c:v>RAL</c:v>
                </c:pt>
                <c:pt idx="45">
                  <c:v>SAB</c:v>
                </c:pt>
                <c:pt idx="46">
                  <c:v>SBT</c:v>
                </c:pt>
                <c:pt idx="47">
                  <c:v>SMB</c:v>
                </c:pt>
                <c:pt idx="48">
                  <c:v>SRC</c:v>
                </c:pt>
                <c:pt idx="49">
                  <c:v>SSC</c:v>
                </c:pt>
                <c:pt idx="50">
                  <c:v>STK</c:v>
                </c:pt>
                <c:pt idx="51">
                  <c:v>SVC</c:v>
                </c:pt>
                <c:pt idx="52">
                  <c:v>TCM</c:v>
                </c:pt>
                <c:pt idx="53">
                  <c:v>TLG</c:v>
                </c:pt>
                <c:pt idx="54">
                  <c:v>TMT</c:v>
                </c:pt>
                <c:pt idx="55">
                  <c:v>TVT</c:v>
                </c:pt>
                <c:pt idx="56">
                  <c:v>VHC</c:v>
                </c:pt>
                <c:pt idx="57">
                  <c:v>VNM</c:v>
                </c:pt>
                <c:pt idx="58">
                  <c:v>AAM</c:v>
                </c:pt>
                <c:pt idx="59">
                  <c:v>AAT</c:v>
                </c:pt>
                <c:pt idx="60">
                  <c:v>ABS</c:v>
                </c:pt>
                <c:pt idx="61">
                  <c:v>ABT</c:v>
                </c:pt>
                <c:pt idx="62">
                  <c:v>ACL</c:v>
                </c:pt>
                <c:pt idx="63">
                  <c:v>ADS</c:v>
                </c:pt>
                <c:pt idx="64">
                  <c:v>ANV</c:v>
                </c:pt>
                <c:pt idx="65">
                  <c:v>ASM</c:v>
                </c:pt>
                <c:pt idx="66">
                  <c:v>BAF</c:v>
                </c:pt>
                <c:pt idx="67">
                  <c:v>BBC</c:v>
                </c:pt>
                <c:pt idx="68">
                  <c:v>BHN</c:v>
                </c:pt>
                <c:pt idx="69">
                  <c:v>BKG</c:v>
                </c:pt>
                <c:pt idx="70">
                  <c:v>CLC</c:v>
                </c:pt>
                <c:pt idx="71">
                  <c:v>CMX</c:v>
                </c:pt>
                <c:pt idx="72">
                  <c:v>CSM</c:v>
                </c:pt>
                <c:pt idx="73">
                  <c:v>CTF</c:v>
                </c:pt>
                <c:pt idx="74">
                  <c:v>DAT</c:v>
                </c:pt>
                <c:pt idx="75">
                  <c:v>DBC</c:v>
                </c:pt>
                <c:pt idx="76">
                  <c:v>DQC</c:v>
                </c:pt>
                <c:pt idx="77">
                  <c:v>DRC</c:v>
                </c:pt>
                <c:pt idx="78">
                  <c:v>EVE</c:v>
                </c:pt>
                <c:pt idx="79">
                  <c:v>FMC</c:v>
                </c:pt>
                <c:pt idx="80">
                  <c:v>GDT</c:v>
                </c:pt>
                <c:pt idx="81">
                  <c:v>GIL</c:v>
                </c:pt>
                <c:pt idx="82">
                  <c:v>GMC</c:v>
                </c:pt>
                <c:pt idx="83">
                  <c:v>HAG</c:v>
                </c:pt>
                <c:pt idx="84">
                  <c:v>HAX</c:v>
                </c:pt>
                <c:pt idx="85">
                  <c:v>HHS</c:v>
                </c:pt>
                <c:pt idx="86">
                  <c:v>HSL</c:v>
                </c:pt>
                <c:pt idx="87">
                  <c:v>HTG</c:v>
                </c:pt>
                <c:pt idx="88">
                  <c:v>HTL</c:v>
                </c:pt>
                <c:pt idx="89">
                  <c:v>IDI</c:v>
                </c:pt>
                <c:pt idx="90">
                  <c:v>KDC</c:v>
                </c:pt>
                <c:pt idx="91">
                  <c:v>KMR</c:v>
                </c:pt>
                <c:pt idx="92">
                  <c:v>LAF</c:v>
                </c:pt>
                <c:pt idx="93">
                  <c:v>LIX</c:v>
                </c:pt>
                <c:pt idx="94">
                  <c:v>LSS</c:v>
                </c:pt>
                <c:pt idx="95">
                  <c:v>MCM</c:v>
                </c:pt>
                <c:pt idx="96">
                  <c:v>MSN</c:v>
                </c:pt>
                <c:pt idx="97">
                  <c:v>NAF</c:v>
                </c:pt>
                <c:pt idx="98">
                  <c:v>NHT</c:v>
                </c:pt>
                <c:pt idx="99">
                  <c:v>NSC</c:v>
                </c:pt>
                <c:pt idx="100">
                  <c:v>PAN</c:v>
                </c:pt>
                <c:pt idx="101">
                  <c:v>PNJ</c:v>
                </c:pt>
                <c:pt idx="102">
                  <c:v>RAL</c:v>
                </c:pt>
                <c:pt idx="103">
                  <c:v>SAB</c:v>
                </c:pt>
                <c:pt idx="104">
                  <c:v>SBT</c:v>
                </c:pt>
                <c:pt idx="105">
                  <c:v>SMB</c:v>
                </c:pt>
                <c:pt idx="106">
                  <c:v>SRC</c:v>
                </c:pt>
                <c:pt idx="107">
                  <c:v>SSC</c:v>
                </c:pt>
                <c:pt idx="108">
                  <c:v>STK</c:v>
                </c:pt>
                <c:pt idx="109">
                  <c:v>SVC</c:v>
                </c:pt>
                <c:pt idx="110">
                  <c:v>TCM</c:v>
                </c:pt>
                <c:pt idx="111">
                  <c:v>TLG</c:v>
                </c:pt>
                <c:pt idx="112">
                  <c:v>TMT</c:v>
                </c:pt>
                <c:pt idx="113">
                  <c:v>TVT</c:v>
                </c:pt>
                <c:pt idx="114">
                  <c:v>VHC</c:v>
                </c:pt>
                <c:pt idx="115">
                  <c:v>VNM</c:v>
                </c:pt>
                <c:pt idx="116">
                  <c:v>AAM</c:v>
                </c:pt>
                <c:pt idx="117">
                  <c:v>AAT</c:v>
                </c:pt>
                <c:pt idx="118">
                  <c:v>ABS</c:v>
                </c:pt>
                <c:pt idx="119">
                  <c:v>ABT</c:v>
                </c:pt>
                <c:pt idx="120">
                  <c:v>ACL</c:v>
                </c:pt>
                <c:pt idx="121">
                  <c:v>ADS</c:v>
                </c:pt>
                <c:pt idx="122">
                  <c:v>ANV</c:v>
                </c:pt>
                <c:pt idx="123">
                  <c:v>ASM</c:v>
                </c:pt>
                <c:pt idx="124">
                  <c:v>BAF</c:v>
                </c:pt>
                <c:pt idx="125">
                  <c:v>BBC</c:v>
                </c:pt>
                <c:pt idx="126">
                  <c:v>BHN</c:v>
                </c:pt>
                <c:pt idx="127">
                  <c:v>BKG</c:v>
                </c:pt>
                <c:pt idx="128">
                  <c:v>CLC</c:v>
                </c:pt>
                <c:pt idx="129">
                  <c:v>CMX</c:v>
                </c:pt>
                <c:pt idx="130">
                  <c:v>CSM</c:v>
                </c:pt>
                <c:pt idx="131">
                  <c:v>CTF</c:v>
                </c:pt>
                <c:pt idx="132">
                  <c:v>DAT</c:v>
                </c:pt>
                <c:pt idx="133">
                  <c:v>DBC</c:v>
                </c:pt>
                <c:pt idx="134">
                  <c:v>DQC</c:v>
                </c:pt>
                <c:pt idx="135">
                  <c:v>DRC</c:v>
                </c:pt>
                <c:pt idx="136">
                  <c:v>EVE</c:v>
                </c:pt>
                <c:pt idx="137">
                  <c:v>FMC</c:v>
                </c:pt>
                <c:pt idx="138">
                  <c:v>GDT</c:v>
                </c:pt>
                <c:pt idx="139">
                  <c:v>GIL</c:v>
                </c:pt>
                <c:pt idx="140">
                  <c:v>GMC</c:v>
                </c:pt>
                <c:pt idx="141">
                  <c:v>HAG</c:v>
                </c:pt>
                <c:pt idx="142">
                  <c:v>HAX</c:v>
                </c:pt>
                <c:pt idx="143">
                  <c:v>HHS</c:v>
                </c:pt>
                <c:pt idx="144">
                  <c:v>HSL</c:v>
                </c:pt>
                <c:pt idx="145">
                  <c:v>HTG</c:v>
                </c:pt>
                <c:pt idx="146">
                  <c:v>HTL</c:v>
                </c:pt>
                <c:pt idx="147">
                  <c:v>IDI</c:v>
                </c:pt>
                <c:pt idx="148">
                  <c:v>KDC</c:v>
                </c:pt>
                <c:pt idx="149">
                  <c:v>KMR</c:v>
                </c:pt>
                <c:pt idx="150">
                  <c:v>LAF</c:v>
                </c:pt>
                <c:pt idx="151">
                  <c:v>LIX</c:v>
                </c:pt>
                <c:pt idx="152">
                  <c:v>LSS</c:v>
                </c:pt>
                <c:pt idx="153">
                  <c:v>MCM</c:v>
                </c:pt>
                <c:pt idx="154">
                  <c:v>MSN</c:v>
                </c:pt>
                <c:pt idx="155">
                  <c:v>NAF</c:v>
                </c:pt>
                <c:pt idx="156">
                  <c:v>NHT</c:v>
                </c:pt>
                <c:pt idx="157">
                  <c:v>NSC</c:v>
                </c:pt>
                <c:pt idx="158">
                  <c:v>PAN</c:v>
                </c:pt>
                <c:pt idx="159">
                  <c:v>PNJ</c:v>
                </c:pt>
                <c:pt idx="160">
                  <c:v>RAL</c:v>
                </c:pt>
                <c:pt idx="161">
                  <c:v>SAB</c:v>
                </c:pt>
                <c:pt idx="162">
                  <c:v>SBT</c:v>
                </c:pt>
                <c:pt idx="163">
                  <c:v>SMB</c:v>
                </c:pt>
                <c:pt idx="164">
                  <c:v>SRC</c:v>
                </c:pt>
                <c:pt idx="165">
                  <c:v>SSC</c:v>
                </c:pt>
                <c:pt idx="166">
                  <c:v>STK</c:v>
                </c:pt>
                <c:pt idx="167">
                  <c:v>SVC</c:v>
                </c:pt>
                <c:pt idx="168">
                  <c:v>TCM</c:v>
                </c:pt>
                <c:pt idx="169">
                  <c:v>TLG</c:v>
                </c:pt>
                <c:pt idx="170">
                  <c:v>TMT</c:v>
                </c:pt>
                <c:pt idx="171">
                  <c:v>TVT</c:v>
                </c:pt>
                <c:pt idx="172">
                  <c:v>VHC</c:v>
                </c:pt>
                <c:pt idx="173">
                  <c:v>VNM</c:v>
                </c:pt>
                <c:pt idx="174">
                  <c:v>AAM</c:v>
                </c:pt>
                <c:pt idx="175">
                  <c:v>AAT</c:v>
                </c:pt>
                <c:pt idx="176">
                  <c:v>ABS</c:v>
                </c:pt>
                <c:pt idx="177">
                  <c:v>ABT</c:v>
                </c:pt>
                <c:pt idx="178">
                  <c:v>ACL</c:v>
                </c:pt>
                <c:pt idx="179">
                  <c:v>ADS</c:v>
                </c:pt>
                <c:pt idx="180">
                  <c:v>ANV</c:v>
                </c:pt>
                <c:pt idx="181">
                  <c:v>ASM</c:v>
                </c:pt>
                <c:pt idx="182">
                  <c:v>BAF</c:v>
                </c:pt>
                <c:pt idx="183">
                  <c:v>BBC</c:v>
                </c:pt>
                <c:pt idx="184">
                  <c:v>BHN</c:v>
                </c:pt>
                <c:pt idx="185">
                  <c:v>BKG</c:v>
                </c:pt>
                <c:pt idx="186">
                  <c:v>CLC</c:v>
                </c:pt>
                <c:pt idx="187">
                  <c:v>CMX</c:v>
                </c:pt>
                <c:pt idx="188">
                  <c:v>CSM</c:v>
                </c:pt>
                <c:pt idx="189">
                  <c:v>CTF</c:v>
                </c:pt>
                <c:pt idx="190">
                  <c:v>DAT</c:v>
                </c:pt>
                <c:pt idx="191">
                  <c:v>DBC</c:v>
                </c:pt>
                <c:pt idx="192">
                  <c:v>DQC</c:v>
                </c:pt>
                <c:pt idx="193">
                  <c:v>DRC</c:v>
                </c:pt>
                <c:pt idx="194">
                  <c:v>EVE</c:v>
                </c:pt>
                <c:pt idx="195">
                  <c:v>FMC</c:v>
                </c:pt>
                <c:pt idx="196">
                  <c:v>GDT</c:v>
                </c:pt>
                <c:pt idx="197">
                  <c:v>GIL</c:v>
                </c:pt>
                <c:pt idx="198">
                  <c:v>GMC</c:v>
                </c:pt>
                <c:pt idx="199">
                  <c:v>HAG</c:v>
                </c:pt>
                <c:pt idx="200">
                  <c:v>HAX</c:v>
                </c:pt>
                <c:pt idx="201">
                  <c:v>HHS</c:v>
                </c:pt>
                <c:pt idx="202">
                  <c:v>HSL</c:v>
                </c:pt>
                <c:pt idx="203">
                  <c:v>HTG</c:v>
                </c:pt>
                <c:pt idx="204">
                  <c:v>HTL</c:v>
                </c:pt>
                <c:pt idx="205">
                  <c:v>IDI</c:v>
                </c:pt>
                <c:pt idx="206">
                  <c:v>KDC</c:v>
                </c:pt>
                <c:pt idx="207">
                  <c:v>KMR</c:v>
                </c:pt>
                <c:pt idx="208">
                  <c:v>LAF</c:v>
                </c:pt>
                <c:pt idx="209">
                  <c:v>LIX</c:v>
                </c:pt>
                <c:pt idx="210">
                  <c:v>LSS</c:v>
                </c:pt>
                <c:pt idx="211">
                  <c:v>MCM</c:v>
                </c:pt>
                <c:pt idx="212">
                  <c:v>MSN</c:v>
                </c:pt>
                <c:pt idx="213">
                  <c:v>NAF</c:v>
                </c:pt>
                <c:pt idx="214">
                  <c:v>NHT</c:v>
                </c:pt>
                <c:pt idx="215">
                  <c:v>NSC</c:v>
                </c:pt>
                <c:pt idx="216">
                  <c:v>PAN</c:v>
                </c:pt>
                <c:pt idx="217">
                  <c:v>PNJ</c:v>
                </c:pt>
                <c:pt idx="218">
                  <c:v>RAL</c:v>
                </c:pt>
                <c:pt idx="219">
                  <c:v>SAB</c:v>
                </c:pt>
                <c:pt idx="220">
                  <c:v>SBT</c:v>
                </c:pt>
                <c:pt idx="221">
                  <c:v>SMB</c:v>
                </c:pt>
                <c:pt idx="222">
                  <c:v>SRC</c:v>
                </c:pt>
                <c:pt idx="223">
                  <c:v>SSC</c:v>
                </c:pt>
                <c:pt idx="224">
                  <c:v>STK</c:v>
                </c:pt>
                <c:pt idx="225">
                  <c:v>SVC</c:v>
                </c:pt>
                <c:pt idx="226">
                  <c:v>TCM</c:v>
                </c:pt>
                <c:pt idx="227">
                  <c:v>TLG</c:v>
                </c:pt>
                <c:pt idx="228">
                  <c:v>TMT</c:v>
                </c:pt>
                <c:pt idx="229">
                  <c:v>TVT</c:v>
                </c:pt>
                <c:pt idx="230">
                  <c:v>VHC</c:v>
                </c:pt>
                <c:pt idx="231">
                  <c:v>VNM</c:v>
                </c:pt>
                <c:pt idx="232">
                  <c:v>AAM</c:v>
                </c:pt>
                <c:pt idx="233">
                  <c:v>AAT</c:v>
                </c:pt>
                <c:pt idx="234">
                  <c:v>ABS</c:v>
                </c:pt>
                <c:pt idx="235">
                  <c:v>ABT</c:v>
                </c:pt>
                <c:pt idx="236">
                  <c:v>ACL</c:v>
                </c:pt>
                <c:pt idx="237">
                  <c:v>ADS</c:v>
                </c:pt>
                <c:pt idx="238">
                  <c:v>ANV</c:v>
                </c:pt>
                <c:pt idx="239">
                  <c:v>ASM</c:v>
                </c:pt>
                <c:pt idx="240">
                  <c:v>BAF</c:v>
                </c:pt>
                <c:pt idx="241">
                  <c:v>BBC</c:v>
                </c:pt>
                <c:pt idx="242">
                  <c:v>BHN</c:v>
                </c:pt>
                <c:pt idx="243">
                  <c:v>BKG</c:v>
                </c:pt>
                <c:pt idx="244">
                  <c:v>CLC</c:v>
                </c:pt>
                <c:pt idx="245">
                  <c:v>CMX</c:v>
                </c:pt>
                <c:pt idx="246">
                  <c:v>CSM</c:v>
                </c:pt>
                <c:pt idx="247">
                  <c:v>CTF</c:v>
                </c:pt>
                <c:pt idx="248">
                  <c:v>DAT</c:v>
                </c:pt>
                <c:pt idx="249">
                  <c:v>DBC</c:v>
                </c:pt>
                <c:pt idx="250">
                  <c:v>DQC</c:v>
                </c:pt>
                <c:pt idx="251">
                  <c:v>DRC</c:v>
                </c:pt>
                <c:pt idx="252">
                  <c:v>EVE</c:v>
                </c:pt>
                <c:pt idx="253">
                  <c:v>FMC</c:v>
                </c:pt>
                <c:pt idx="254">
                  <c:v>GDT</c:v>
                </c:pt>
                <c:pt idx="255">
                  <c:v>GIL</c:v>
                </c:pt>
                <c:pt idx="256">
                  <c:v>GMC</c:v>
                </c:pt>
                <c:pt idx="257">
                  <c:v>HAG</c:v>
                </c:pt>
                <c:pt idx="258">
                  <c:v>HAX</c:v>
                </c:pt>
                <c:pt idx="259">
                  <c:v>HHS</c:v>
                </c:pt>
                <c:pt idx="260">
                  <c:v>HSL</c:v>
                </c:pt>
                <c:pt idx="261">
                  <c:v>HTG</c:v>
                </c:pt>
                <c:pt idx="262">
                  <c:v>HTL</c:v>
                </c:pt>
                <c:pt idx="263">
                  <c:v>IDI</c:v>
                </c:pt>
                <c:pt idx="264">
                  <c:v>KDC</c:v>
                </c:pt>
                <c:pt idx="265">
                  <c:v>KMR</c:v>
                </c:pt>
                <c:pt idx="266">
                  <c:v>LAF</c:v>
                </c:pt>
                <c:pt idx="267">
                  <c:v>LIX</c:v>
                </c:pt>
                <c:pt idx="268">
                  <c:v>LSS</c:v>
                </c:pt>
                <c:pt idx="269">
                  <c:v>MCM</c:v>
                </c:pt>
                <c:pt idx="270">
                  <c:v>MSN</c:v>
                </c:pt>
                <c:pt idx="271">
                  <c:v>NAF</c:v>
                </c:pt>
                <c:pt idx="272">
                  <c:v>NHT</c:v>
                </c:pt>
                <c:pt idx="273">
                  <c:v>NSC</c:v>
                </c:pt>
                <c:pt idx="274">
                  <c:v>PAN</c:v>
                </c:pt>
                <c:pt idx="275">
                  <c:v>PNJ</c:v>
                </c:pt>
                <c:pt idx="276">
                  <c:v>RAL</c:v>
                </c:pt>
                <c:pt idx="277">
                  <c:v>SAB</c:v>
                </c:pt>
                <c:pt idx="278">
                  <c:v>SBT</c:v>
                </c:pt>
                <c:pt idx="279">
                  <c:v>SMB</c:v>
                </c:pt>
                <c:pt idx="280">
                  <c:v>SRC</c:v>
                </c:pt>
                <c:pt idx="281">
                  <c:v>SSC</c:v>
                </c:pt>
                <c:pt idx="282">
                  <c:v>STK</c:v>
                </c:pt>
                <c:pt idx="283">
                  <c:v>SVC</c:v>
                </c:pt>
                <c:pt idx="284">
                  <c:v>TCM</c:v>
                </c:pt>
                <c:pt idx="285">
                  <c:v>TLG</c:v>
                </c:pt>
                <c:pt idx="286">
                  <c:v>TMT</c:v>
                </c:pt>
                <c:pt idx="287">
                  <c:v>TVT</c:v>
                </c:pt>
                <c:pt idx="288">
                  <c:v>VHC</c:v>
                </c:pt>
                <c:pt idx="289">
                  <c:v>VNM</c:v>
                </c:pt>
              </c:strCache>
            </c:strRef>
          </c:cat>
          <c:val>
            <c:numRef>
              <c:f>'Sheet1 (2)'!$T$2:$T$311</c:f>
              <c:numCache>
                <c:formatCode>0.00%</c:formatCode>
                <c:ptCount val="290"/>
                <c:pt idx="0">
                  <c:v>3.4692749560788802E-3</c:v>
                </c:pt>
                <c:pt idx="1">
                  <c:v>1.5647457989367102E-2</c:v>
                </c:pt>
                <c:pt idx="2">
                  <c:v>9.0671066553022397E-3</c:v>
                </c:pt>
                <c:pt idx="3">
                  <c:v>0.13013351153887684</c:v>
                </c:pt>
                <c:pt idx="4">
                  <c:v>1.232947336017879E-2</c:v>
                </c:pt>
                <c:pt idx="5">
                  <c:v>8.1666123968283183E-2</c:v>
                </c:pt>
                <c:pt idx="6">
                  <c:v>1.376187862705667E-2</c:v>
                </c:pt>
                <c:pt idx="7">
                  <c:v>3.2160737371845279E-2</c:v>
                </c:pt>
                <c:pt idx="8">
                  <c:v>1.5890924068370015E-2</c:v>
                </c:pt>
                <c:pt idx="9">
                  <c:v>6.8087390217031127E-2</c:v>
                </c:pt>
                <c:pt idx="10">
                  <c:v>6.6827018098320701E-2</c:v>
                </c:pt>
                <c:pt idx="11">
                  <c:v>1.2212532076323222E-2</c:v>
                </c:pt>
                <c:pt idx="12">
                  <c:v>0.1603077671577221</c:v>
                </c:pt>
                <c:pt idx="13">
                  <c:v>4.4808733660693906E-2</c:v>
                </c:pt>
                <c:pt idx="14">
                  <c:v>4.559356592659719E-2</c:v>
                </c:pt>
                <c:pt idx="15">
                  <c:v>4.0986993071284075E-2</c:v>
                </c:pt>
                <c:pt idx="16">
                  <c:v>8.9474397021400948E-2</c:v>
                </c:pt>
                <c:pt idx="17">
                  <c:v>5.3591385774612726E-3</c:v>
                </c:pt>
                <c:pt idx="18">
                  <c:v>-3.7104239215407578E-2</c:v>
                </c:pt>
                <c:pt idx="19">
                  <c:v>0.13305440596139742</c:v>
                </c:pt>
                <c:pt idx="20">
                  <c:v>1.8642540633678376E-2</c:v>
                </c:pt>
                <c:pt idx="21">
                  <c:v>0.13532538904214192</c:v>
                </c:pt>
                <c:pt idx="22">
                  <c:v>0.1258057437529144</c:v>
                </c:pt>
                <c:pt idx="23">
                  <c:v>1.1354504610052319E-2</c:v>
                </c:pt>
                <c:pt idx="24">
                  <c:v>-0.13238509804321344</c:v>
                </c:pt>
                <c:pt idx="25">
                  <c:v>0.26682051735163165</c:v>
                </c:pt>
                <c:pt idx="26">
                  <c:v>3.1834942147965124E-2</c:v>
                </c:pt>
                <c:pt idx="27">
                  <c:v>7.8166859611741635E-2</c:v>
                </c:pt>
                <c:pt idx="28">
                  <c:v>2.7407033760048716E-2</c:v>
                </c:pt>
                <c:pt idx="29">
                  <c:v>0.20300165151779503</c:v>
                </c:pt>
                <c:pt idx="30">
                  <c:v>0.14810764016370953</c:v>
                </c:pt>
                <c:pt idx="31">
                  <c:v>2.1438777726046944E-2</c:v>
                </c:pt>
                <c:pt idx="32">
                  <c:v>1.9002743916153118E-2</c:v>
                </c:pt>
                <c:pt idx="33">
                  <c:v>1.5310985378515949E-2</c:v>
                </c:pt>
                <c:pt idx="34">
                  <c:v>0.12905582437801297</c:v>
                </c:pt>
                <c:pt idx="35">
                  <c:v>0.21538417947831603</c:v>
                </c:pt>
                <c:pt idx="36">
                  <c:v>4.6748270156878984E-2</c:v>
                </c:pt>
                <c:pt idx="37">
                  <c:v>0.16088353016751492</c:v>
                </c:pt>
                <c:pt idx="38">
                  <c:v>4.8903292996479525E-2</c:v>
                </c:pt>
                <c:pt idx="39">
                  <c:v>0.11126844959623954</c:v>
                </c:pt>
                <c:pt idx="40">
                  <c:v>-5.3740355055149715E-2</c:v>
                </c:pt>
                <c:pt idx="41">
                  <c:v>0.15913382913766694</c:v>
                </c:pt>
                <c:pt idx="42">
                  <c:v>9.7935170207808564E-2</c:v>
                </c:pt>
                <c:pt idx="43">
                  <c:v>0.20100577380735679</c:v>
                </c:pt>
                <c:pt idx="44">
                  <c:v>0.19644202009769116</c:v>
                </c:pt>
                <c:pt idx="45">
                  <c:v>0.16696200196208319</c:v>
                </c:pt>
                <c:pt idx="46">
                  <c:v>5.4969589715204929E-2</c:v>
                </c:pt>
                <c:pt idx="47">
                  <c:v>0.2578253211180892</c:v>
                </c:pt>
                <c:pt idx="48">
                  <c:v>6.6315552046915527E-2</c:v>
                </c:pt>
                <c:pt idx="49">
                  <c:v>0.1405608456364113</c:v>
                </c:pt>
                <c:pt idx="50">
                  <c:v>5.3901155941258126E-2</c:v>
                </c:pt>
                <c:pt idx="51">
                  <c:v>1.8210351030418483E-2</c:v>
                </c:pt>
                <c:pt idx="52">
                  <c:v>6.656461723753157E-2</c:v>
                </c:pt>
                <c:pt idx="53">
                  <c:v>0.17009427024135854</c:v>
                </c:pt>
                <c:pt idx="54">
                  <c:v>5.4748738721645531E-3</c:v>
                </c:pt>
                <c:pt idx="55">
                  <c:v>2.2029430457780108E-2</c:v>
                </c:pt>
                <c:pt idx="56">
                  <c:v>0.11334543739442507</c:v>
                </c:pt>
                <c:pt idx="57">
                  <c:v>0.25750642156237996</c:v>
                </c:pt>
                <c:pt idx="58">
                  <c:v>8.065439828955405E-2</c:v>
                </c:pt>
                <c:pt idx="59">
                  <c:v>0.12170907828217237</c:v>
                </c:pt>
                <c:pt idx="60">
                  <c:v>2.4887487357509747E-2</c:v>
                </c:pt>
                <c:pt idx="61">
                  <c:v>0.13652628739984413</c:v>
                </c:pt>
                <c:pt idx="62">
                  <c:v>0.14307132459970887</c:v>
                </c:pt>
                <c:pt idx="63">
                  <c:v>0.11405352346312177</c:v>
                </c:pt>
                <c:pt idx="64">
                  <c:v>0.23376042561887556</c:v>
                </c:pt>
                <c:pt idx="65">
                  <c:v>0.12278154926555693</c:v>
                </c:pt>
                <c:pt idx="66">
                  <c:v>0.16513701978804915</c:v>
                </c:pt>
                <c:pt idx="67">
                  <c:v>0.14150519210075985</c:v>
                </c:pt>
                <c:pt idx="68">
                  <c:v>9.4775293490696161E-2</c:v>
                </c:pt>
                <c:pt idx="69">
                  <c:v>3.0226388072855465E-2</c:v>
                </c:pt>
                <c:pt idx="70">
                  <c:v>0.16687637603206118</c:v>
                </c:pt>
                <c:pt idx="71">
                  <c:v>6.5143901652270533E-2</c:v>
                </c:pt>
                <c:pt idx="72">
                  <c:v>6.084442238330949E-2</c:v>
                </c:pt>
                <c:pt idx="73">
                  <c:v>0.12710824154134831</c:v>
                </c:pt>
                <c:pt idx="74">
                  <c:v>0.10452803891988954</c:v>
                </c:pt>
                <c:pt idx="75">
                  <c:v>1.1193158362398916E-3</c:v>
                </c:pt>
                <c:pt idx="76">
                  <c:v>1.5905426154066885E-2</c:v>
                </c:pt>
                <c:pt idx="77">
                  <c:v>0.16084980178168706</c:v>
                </c:pt>
                <c:pt idx="78">
                  <c:v>8.9341639416991539E-2</c:v>
                </c:pt>
                <c:pt idx="79">
                  <c:v>0.1517053848138665</c:v>
                </c:pt>
                <c:pt idx="80">
                  <c:v>0.23533128815597704</c:v>
                </c:pt>
                <c:pt idx="81">
                  <c:v>0.14388617244617999</c:v>
                </c:pt>
                <c:pt idx="82">
                  <c:v>-0.18904755315302446</c:v>
                </c:pt>
                <c:pt idx="83">
                  <c:v>0.21650252957653532</c:v>
                </c:pt>
                <c:pt idx="84">
                  <c:v>0.24742315921145111</c:v>
                </c:pt>
                <c:pt idx="85">
                  <c:v>5.3913973544316957E-2</c:v>
                </c:pt>
                <c:pt idx="86">
                  <c:v>3.6652862805780374E-2</c:v>
                </c:pt>
                <c:pt idx="87">
                  <c:v>0.30306764557580251</c:v>
                </c:pt>
                <c:pt idx="88">
                  <c:v>0.15924975898636554</c:v>
                </c:pt>
                <c:pt idx="89">
                  <c:v>0.16728334551244348</c:v>
                </c:pt>
                <c:pt idx="90">
                  <c:v>5.3122139404780673E-2</c:v>
                </c:pt>
                <c:pt idx="91">
                  <c:v>2.661667843696728E-2</c:v>
                </c:pt>
                <c:pt idx="92">
                  <c:v>0.1376180140494189</c:v>
                </c:pt>
                <c:pt idx="93">
                  <c:v>0.2513732976002811</c:v>
                </c:pt>
                <c:pt idx="94">
                  <c:v>2.3654625209808319E-2</c:v>
                </c:pt>
                <c:pt idx="95">
                  <c:v>0.1567897084485714</c:v>
                </c:pt>
                <c:pt idx="96">
                  <c:v>0.12977093840147727</c:v>
                </c:pt>
                <c:pt idx="97">
                  <c:v>8.9490107466139418E-2</c:v>
                </c:pt>
                <c:pt idx="98">
                  <c:v>0.14549699662162938</c:v>
                </c:pt>
                <c:pt idx="99">
                  <c:v>0.16790723903207233</c:v>
                </c:pt>
                <c:pt idx="100">
                  <c:v>0.10082042205609679</c:v>
                </c:pt>
                <c:pt idx="101">
                  <c:v>0.21443292620464363</c:v>
                </c:pt>
                <c:pt idx="102">
                  <c:v>0.18531026683119126</c:v>
                </c:pt>
                <c:pt idx="103">
                  <c:v>0.22365224848303306</c:v>
                </c:pt>
                <c:pt idx="104">
                  <c:v>8.0338871934833023E-2</c:v>
                </c:pt>
                <c:pt idx="105">
                  <c:v>0.30449552656042939</c:v>
                </c:pt>
                <c:pt idx="106">
                  <c:v>6.3143446998062971E-2</c:v>
                </c:pt>
                <c:pt idx="107">
                  <c:v>0.13360987972078131</c:v>
                </c:pt>
                <c:pt idx="108">
                  <c:v>0.15720950755634</c:v>
                </c:pt>
                <c:pt idx="109">
                  <c:v>0.2386490198801223</c:v>
                </c:pt>
                <c:pt idx="110">
                  <c:v>0.14203603393271977</c:v>
                </c:pt>
                <c:pt idx="111">
                  <c:v>0.20478202865151551</c:v>
                </c:pt>
                <c:pt idx="112">
                  <c:v>0.11115371457566567</c:v>
                </c:pt>
                <c:pt idx="113">
                  <c:v>8.8786744609290091E-2</c:v>
                </c:pt>
                <c:pt idx="114">
                  <c:v>0.26160885050247012</c:v>
                </c:pt>
                <c:pt idx="115">
                  <c:v>0.26137980269570349</c:v>
                </c:pt>
                <c:pt idx="116">
                  <c:v>1.1629941438613465E-3</c:v>
                </c:pt>
                <c:pt idx="117">
                  <c:v>4.3087192722998727E-2</c:v>
                </c:pt>
                <c:pt idx="118">
                  <c:v>7.0543736857785588E-2</c:v>
                </c:pt>
                <c:pt idx="119">
                  <c:v>8.072939062962857E-2</c:v>
                </c:pt>
                <c:pt idx="120">
                  <c:v>5.9576504027868807E-2</c:v>
                </c:pt>
                <c:pt idx="121">
                  <c:v>0.17209394727197372</c:v>
                </c:pt>
                <c:pt idx="122">
                  <c:v>5.5120642100098226E-2</c:v>
                </c:pt>
                <c:pt idx="123">
                  <c:v>9.2906073381078466E-2</c:v>
                </c:pt>
                <c:pt idx="124">
                  <c:v>0.22118986704866175</c:v>
                </c:pt>
                <c:pt idx="125">
                  <c:v>2.282304801806281E-2</c:v>
                </c:pt>
                <c:pt idx="126">
                  <c:v>6.7048847975067841E-2</c:v>
                </c:pt>
                <c:pt idx="127">
                  <c:v>5.8533665835411475E-2</c:v>
                </c:pt>
                <c:pt idx="128">
                  <c:v>0.17496456677144823</c:v>
                </c:pt>
                <c:pt idx="129">
                  <c:v>6.4439774224707522E-2</c:v>
                </c:pt>
                <c:pt idx="130">
                  <c:v>3.3416792465135667E-2</c:v>
                </c:pt>
                <c:pt idx="131">
                  <c:v>6.3847268140542091E-2</c:v>
                </c:pt>
                <c:pt idx="132">
                  <c:v>5.0705131956229152E-2</c:v>
                </c:pt>
                <c:pt idx="133">
                  <c:v>0.17703193159597375</c:v>
                </c:pt>
                <c:pt idx="134">
                  <c:v>2.409805671762846E-2</c:v>
                </c:pt>
                <c:pt idx="135">
                  <c:v>0.16394558973578438</c:v>
                </c:pt>
                <c:pt idx="136">
                  <c:v>6.1948931367708258E-2</c:v>
                </c:pt>
                <c:pt idx="137">
                  <c:v>0.14523246431651873</c:v>
                </c:pt>
                <c:pt idx="138">
                  <c:v>0.2290414592698376</c:v>
                </c:pt>
                <c:pt idx="139">
                  <c:v>0.20530600332828294</c:v>
                </c:pt>
                <c:pt idx="140">
                  <c:v>6.2039146814073277E-2</c:v>
                </c:pt>
                <c:pt idx="141">
                  <c:v>2.7305721756223152E-2</c:v>
                </c:pt>
                <c:pt idx="142">
                  <c:v>0.22513612561020613</c:v>
                </c:pt>
                <c:pt idx="143">
                  <c:v>5.9968904448784555E-2</c:v>
                </c:pt>
                <c:pt idx="144">
                  <c:v>6.1995155016544783E-2</c:v>
                </c:pt>
                <c:pt idx="145">
                  <c:v>0.30812528009372914</c:v>
                </c:pt>
                <c:pt idx="146">
                  <c:v>0.1342041221753166</c:v>
                </c:pt>
                <c:pt idx="147">
                  <c:v>4.5598432893953045E-2</c:v>
                </c:pt>
                <c:pt idx="148">
                  <c:v>9.4753419430128591E-2</c:v>
                </c:pt>
                <c:pt idx="149">
                  <c:v>2.9245321185542399E-2</c:v>
                </c:pt>
                <c:pt idx="150">
                  <c:v>0.2017265689024173</c:v>
                </c:pt>
                <c:pt idx="151">
                  <c:v>0.22313146024367875</c:v>
                </c:pt>
                <c:pt idx="152">
                  <c:v>2.0666757266591944E-2</c:v>
                </c:pt>
                <c:pt idx="153">
                  <c:v>0.14682718432307207</c:v>
                </c:pt>
                <c:pt idx="154">
                  <c:v>0.23859659474254127</c:v>
                </c:pt>
                <c:pt idx="155">
                  <c:v>9.2784774712517254E-2</c:v>
                </c:pt>
                <c:pt idx="156">
                  <c:v>0.14374618153542609</c:v>
                </c:pt>
                <c:pt idx="157">
                  <c:v>0.17294595491605685</c:v>
                </c:pt>
                <c:pt idx="158">
                  <c:v>6.73850020066879E-2</c:v>
                </c:pt>
                <c:pt idx="159">
                  <c:v>0.17114662226238947</c:v>
                </c:pt>
                <c:pt idx="160">
                  <c:v>0.29088059157499396</c:v>
                </c:pt>
                <c:pt idx="161">
                  <c:v>0.17390321820264198</c:v>
                </c:pt>
                <c:pt idx="162">
                  <c:v>4.6681844930060376E-2</c:v>
                </c:pt>
                <c:pt idx="163">
                  <c:v>0.28639364439968668</c:v>
                </c:pt>
                <c:pt idx="164">
                  <c:v>9.256969021690134E-2</c:v>
                </c:pt>
                <c:pt idx="165">
                  <c:v>0.14572398971177447</c:v>
                </c:pt>
                <c:pt idx="166">
                  <c:v>0.22119265158741949</c:v>
                </c:pt>
                <c:pt idx="167">
                  <c:v>0.11300991869536109</c:v>
                </c:pt>
                <c:pt idx="168">
                  <c:v>8.4083147257738342E-2</c:v>
                </c:pt>
                <c:pt idx="169">
                  <c:v>0.15157226916625857</c:v>
                </c:pt>
                <c:pt idx="170">
                  <c:v>9.0157931674825539E-2</c:v>
                </c:pt>
                <c:pt idx="171">
                  <c:v>0.13956898537600584</c:v>
                </c:pt>
                <c:pt idx="172">
                  <c:v>0.18806315282474409</c:v>
                </c:pt>
                <c:pt idx="173">
                  <c:v>0.2965830457331321</c:v>
                </c:pt>
                <c:pt idx="174">
                  <c:v>-6.1653469070226327E-2</c:v>
                </c:pt>
                <c:pt idx="175">
                  <c:v>3.3035718488047552E-2</c:v>
                </c:pt>
                <c:pt idx="176">
                  <c:v>0.11006556608758379</c:v>
                </c:pt>
                <c:pt idx="177">
                  <c:v>3.4790824066250614E-2</c:v>
                </c:pt>
                <c:pt idx="178">
                  <c:v>4.0582610949514729E-2</c:v>
                </c:pt>
                <c:pt idx="179">
                  <c:v>5.7899674044875685E-2</c:v>
                </c:pt>
                <c:pt idx="180">
                  <c:v>8.6620502199253283E-2</c:v>
                </c:pt>
                <c:pt idx="181">
                  <c:v>8.3286950192437273E-2</c:v>
                </c:pt>
                <c:pt idx="182">
                  <c:v>8.1025410722999777E-2</c:v>
                </c:pt>
                <c:pt idx="183">
                  <c:v>8.8175650393074151E-2</c:v>
                </c:pt>
                <c:pt idx="184">
                  <c:v>0.11517472292921782</c:v>
                </c:pt>
                <c:pt idx="185">
                  <c:v>5.3381471043207382E-2</c:v>
                </c:pt>
                <c:pt idx="186">
                  <c:v>0.17648685121770288</c:v>
                </c:pt>
                <c:pt idx="187">
                  <c:v>0.10784587964008938</c:v>
                </c:pt>
                <c:pt idx="188">
                  <c:v>7.1081746242689828E-2</c:v>
                </c:pt>
                <c:pt idx="189">
                  <c:v>2.6862884698111897E-3</c:v>
                </c:pt>
                <c:pt idx="190">
                  <c:v>8.033911365630314E-2</c:v>
                </c:pt>
                <c:pt idx="191">
                  <c:v>0.33285222583528251</c:v>
                </c:pt>
                <c:pt idx="192">
                  <c:v>1.9783619371135673E-2</c:v>
                </c:pt>
                <c:pt idx="193">
                  <c:v>0.15191018987217988</c:v>
                </c:pt>
                <c:pt idx="194">
                  <c:v>4.4536479418675945E-2</c:v>
                </c:pt>
                <c:pt idx="195">
                  <c:v>0.20900303104018234</c:v>
                </c:pt>
                <c:pt idx="196">
                  <c:v>0.2956264277318193</c:v>
                </c:pt>
                <c:pt idx="197">
                  <c:v>0.23975184265279986</c:v>
                </c:pt>
                <c:pt idx="198">
                  <c:v>7.0492141889470075E-2</c:v>
                </c:pt>
                <c:pt idx="199">
                  <c:v>-0.23767338682133013</c:v>
                </c:pt>
                <c:pt idx="200">
                  <c:v>0.23417105516335668</c:v>
                </c:pt>
                <c:pt idx="201">
                  <c:v>7.6531298042838466E-2</c:v>
                </c:pt>
                <c:pt idx="202">
                  <c:v>4.880696347913762E-2</c:v>
                </c:pt>
                <c:pt idx="203">
                  <c:v>0.13020983702587918</c:v>
                </c:pt>
                <c:pt idx="204">
                  <c:v>0.12410306500866745</c:v>
                </c:pt>
                <c:pt idx="205">
                  <c:v>3.5726672100161269E-2</c:v>
                </c:pt>
                <c:pt idx="206">
                  <c:v>4.2891466554415308E-2</c:v>
                </c:pt>
                <c:pt idx="207">
                  <c:v>3.0337024337961119E-4</c:v>
                </c:pt>
                <c:pt idx="208">
                  <c:v>0.15295497688615883</c:v>
                </c:pt>
                <c:pt idx="209">
                  <c:v>0.36095712273370417</c:v>
                </c:pt>
                <c:pt idx="210">
                  <c:v>1.1904157085784225E-2</c:v>
                </c:pt>
                <c:pt idx="211">
                  <c:v>0.30785384522595433</c:v>
                </c:pt>
                <c:pt idx="212">
                  <c:v>5.5733018397437759E-2</c:v>
                </c:pt>
                <c:pt idx="213">
                  <c:v>8.1654694462422725E-2</c:v>
                </c:pt>
                <c:pt idx="214">
                  <c:v>0.20160775524979899</c:v>
                </c:pt>
                <c:pt idx="215">
                  <c:v>0.16215084693988813</c:v>
                </c:pt>
                <c:pt idx="216">
                  <c:v>5.3979375858758748E-2</c:v>
                </c:pt>
                <c:pt idx="217">
                  <c:v>0.20399430584017664</c:v>
                </c:pt>
                <c:pt idx="218">
                  <c:v>0.31138655508900148</c:v>
                </c:pt>
                <c:pt idx="219">
                  <c:v>0.23270241688111901</c:v>
                </c:pt>
                <c:pt idx="220">
                  <c:v>7.1193723799239259E-2</c:v>
                </c:pt>
                <c:pt idx="221">
                  <c:v>0.32068015782310727</c:v>
                </c:pt>
                <c:pt idx="222">
                  <c:v>0.17168532608441811</c:v>
                </c:pt>
                <c:pt idx="223">
                  <c:v>0.11699115560874515</c:v>
                </c:pt>
                <c:pt idx="224">
                  <c:v>0.13332292813393523</c:v>
                </c:pt>
                <c:pt idx="225">
                  <c:v>0.12901095786834152</c:v>
                </c:pt>
                <c:pt idx="226">
                  <c:v>0.16856172596545507</c:v>
                </c:pt>
                <c:pt idx="227">
                  <c:v>0.1371906924599316</c:v>
                </c:pt>
                <c:pt idx="228">
                  <c:v>4.3350627254100816E-3</c:v>
                </c:pt>
                <c:pt idx="229">
                  <c:v>0.12745215502766663</c:v>
                </c:pt>
                <c:pt idx="230">
                  <c:v>0.13897534473874318</c:v>
                </c:pt>
                <c:pt idx="231">
                  <c:v>0.33392847091052835</c:v>
                </c:pt>
                <c:pt idx="232">
                  <c:v>3.9301847078021895E-2</c:v>
                </c:pt>
                <c:pt idx="233">
                  <c:v>5.1465702916803559E-2</c:v>
                </c:pt>
                <c:pt idx="234">
                  <c:v>8.1851036616199177E-2</c:v>
                </c:pt>
                <c:pt idx="235">
                  <c:v>0.11786504398003592</c:v>
                </c:pt>
                <c:pt idx="236">
                  <c:v>0.21269413876531648</c:v>
                </c:pt>
                <c:pt idx="237">
                  <c:v>2.0545362533117676E-2</c:v>
                </c:pt>
                <c:pt idx="238">
                  <c:v>0.29506550547764937</c:v>
                </c:pt>
                <c:pt idx="239">
                  <c:v>0.13065133661870632</c:v>
                </c:pt>
                <c:pt idx="240">
                  <c:v>0.10821462567425394</c:v>
                </c:pt>
                <c:pt idx="241">
                  <c:v>9.5065431322761657E-2</c:v>
                </c:pt>
                <c:pt idx="242">
                  <c:v>0.10095949812826747</c:v>
                </c:pt>
                <c:pt idx="243">
                  <c:v>5.5448758307100381E-2</c:v>
                </c:pt>
                <c:pt idx="244">
                  <c:v>0.20282035260179837</c:v>
                </c:pt>
                <c:pt idx="245">
                  <c:v>0.22571037077464379</c:v>
                </c:pt>
                <c:pt idx="246">
                  <c:v>4.2266210239946367E-2</c:v>
                </c:pt>
                <c:pt idx="247">
                  <c:v>8.2498910806303796E-2</c:v>
                </c:pt>
                <c:pt idx="248">
                  <c:v>0.10566234947374135</c:v>
                </c:pt>
                <c:pt idx="249">
                  <c:v>0.10083752016304263</c:v>
                </c:pt>
                <c:pt idx="250">
                  <c:v>3.0397977924163929E-2</c:v>
                </c:pt>
                <c:pt idx="251">
                  <c:v>0.15350001930039442</c:v>
                </c:pt>
                <c:pt idx="252">
                  <c:v>7.6596542671076406E-2</c:v>
                </c:pt>
                <c:pt idx="253">
                  <c:v>0.24476595672154058</c:v>
                </c:pt>
                <c:pt idx="254">
                  <c:v>0.26667025958861046</c:v>
                </c:pt>
                <c:pt idx="255">
                  <c:v>0.19189814399713082</c:v>
                </c:pt>
                <c:pt idx="256">
                  <c:v>0.21606040233748772</c:v>
                </c:pt>
                <c:pt idx="257">
                  <c:v>-0.10761051172944845</c:v>
                </c:pt>
                <c:pt idx="258">
                  <c:v>0.10883741510333658</c:v>
                </c:pt>
                <c:pt idx="259">
                  <c:v>5.6892878454481037E-2</c:v>
                </c:pt>
                <c:pt idx="260">
                  <c:v>0.20061060771222236</c:v>
                </c:pt>
                <c:pt idx="261">
                  <c:v>0.24229011755909113</c:v>
                </c:pt>
                <c:pt idx="262">
                  <c:v>0.10675189565487435</c:v>
                </c:pt>
                <c:pt idx="263">
                  <c:v>0.11273343900349556</c:v>
                </c:pt>
                <c:pt idx="264">
                  <c:v>2.5412805745021982E-2</c:v>
                </c:pt>
                <c:pt idx="265">
                  <c:v>7.0549087075493849E-3</c:v>
                </c:pt>
                <c:pt idx="266">
                  <c:v>0.13307274216365125</c:v>
                </c:pt>
                <c:pt idx="267">
                  <c:v>0.3220412250808723</c:v>
                </c:pt>
                <c:pt idx="268">
                  <c:v>1.4158374432616106E-2</c:v>
                </c:pt>
                <c:pt idx="269">
                  <c:v>0.22971351514984728</c:v>
                </c:pt>
                <c:pt idx="270">
                  <c:v>0.12265967232333803</c:v>
                </c:pt>
                <c:pt idx="271">
                  <c:v>7.0263699654539366E-2</c:v>
                </c:pt>
                <c:pt idx="272">
                  <c:v>0.29964264724757322</c:v>
                </c:pt>
                <c:pt idx="273">
                  <c:v>0.18382303425543606</c:v>
                </c:pt>
                <c:pt idx="274">
                  <c:v>7.3545473065810635E-2</c:v>
                </c:pt>
                <c:pt idx="275">
                  <c:v>0.26083801990096273</c:v>
                </c:pt>
                <c:pt idx="276">
                  <c:v>0.14999005418670808</c:v>
                </c:pt>
                <c:pt idx="277">
                  <c:v>0.26748764348236997</c:v>
                </c:pt>
                <c:pt idx="278">
                  <c:v>4.0612923293555668E-2</c:v>
                </c:pt>
                <c:pt idx="279">
                  <c:v>0.43864113048452363</c:v>
                </c:pt>
                <c:pt idx="280">
                  <c:v>0.10848118991550802</c:v>
                </c:pt>
                <c:pt idx="281">
                  <c:v>0.22435938340367734</c:v>
                </c:pt>
                <c:pt idx="282">
                  <c:v>0.19796790752640522</c:v>
                </c:pt>
                <c:pt idx="283">
                  <c:v>0.14229200804239026</c:v>
                </c:pt>
                <c:pt idx="284">
                  <c:v>0.15214482619747738</c:v>
                </c:pt>
                <c:pt idx="285">
                  <c:v>0.19318733338978086</c:v>
                </c:pt>
                <c:pt idx="286">
                  <c:v>9.3598939372429944E-3</c:v>
                </c:pt>
                <c:pt idx="287">
                  <c:v>0.15332269161495191</c:v>
                </c:pt>
                <c:pt idx="288">
                  <c:v>0.24175831611061904</c:v>
                </c:pt>
                <c:pt idx="289">
                  <c:v>0.35499113643201408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D5C6-4E19-973B-91C5491E876C}"/>
            </c:ext>
          </c:extLst>
        </c:ser>
        <c:ser>
          <c:idx val="19"/>
          <c:order val="19"/>
          <c:tx>
            <c:strRef>
              <c:f>'Sheet1 (2)'!$U$1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'Sheet1 (2)'!$A$2:$A$311</c:f>
              <c:strCache>
                <c:ptCount val="290"/>
                <c:pt idx="0">
                  <c:v>AAM</c:v>
                </c:pt>
                <c:pt idx="1">
                  <c:v>AAT</c:v>
                </c:pt>
                <c:pt idx="2">
                  <c:v>ABS</c:v>
                </c:pt>
                <c:pt idx="3">
                  <c:v>ABT</c:v>
                </c:pt>
                <c:pt idx="4">
                  <c:v>ACL</c:v>
                </c:pt>
                <c:pt idx="5">
                  <c:v>ADS</c:v>
                </c:pt>
                <c:pt idx="6">
                  <c:v>ANV</c:v>
                </c:pt>
                <c:pt idx="7">
                  <c:v>ASM</c:v>
                </c:pt>
                <c:pt idx="8">
                  <c:v>BAF</c:v>
                </c:pt>
                <c:pt idx="9">
                  <c:v>BBC</c:v>
                </c:pt>
                <c:pt idx="10">
                  <c:v>BHN</c:v>
                </c:pt>
                <c:pt idx="11">
                  <c:v>BKG</c:v>
                </c:pt>
                <c:pt idx="12">
                  <c:v>CLC</c:v>
                </c:pt>
                <c:pt idx="13">
                  <c:v>CMX</c:v>
                </c:pt>
                <c:pt idx="14">
                  <c:v>CSM</c:v>
                </c:pt>
                <c:pt idx="15">
                  <c:v>CTF</c:v>
                </c:pt>
                <c:pt idx="16">
                  <c:v>DAT</c:v>
                </c:pt>
                <c:pt idx="17">
                  <c:v>DBC</c:v>
                </c:pt>
                <c:pt idx="18">
                  <c:v>DQC</c:v>
                </c:pt>
                <c:pt idx="19">
                  <c:v>DRC</c:v>
                </c:pt>
                <c:pt idx="20">
                  <c:v>EVE</c:v>
                </c:pt>
                <c:pt idx="21">
                  <c:v>FMC</c:v>
                </c:pt>
                <c:pt idx="22">
                  <c:v>GDT</c:v>
                </c:pt>
                <c:pt idx="23">
                  <c:v>GIL</c:v>
                </c:pt>
                <c:pt idx="24">
                  <c:v>GMC</c:v>
                </c:pt>
                <c:pt idx="25">
                  <c:v>HAG</c:v>
                </c:pt>
                <c:pt idx="26">
                  <c:v>HAX</c:v>
                </c:pt>
                <c:pt idx="27">
                  <c:v>HHS</c:v>
                </c:pt>
                <c:pt idx="28">
                  <c:v>HSL</c:v>
                </c:pt>
                <c:pt idx="29">
                  <c:v>HTG</c:v>
                </c:pt>
                <c:pt idx="30">
                  <c:v>HTL</c:v>
                </c:pt>
                <c:pt idx="31">
                  <c:v>IDI</c:v>
                </c:pt>
                <c:pt idx="32">
                  <c:v>KDC</c:v>
                </c:pt>
                <c:pt idx="33">
                  <c:v>KMR</c:v>
                </c:pt>
                <c:pt idx="34">
                  <c:v>LAF</c:v>
                </c:pt>
                <c:pt idx="35">
                  <c:v>LIX</c:v>
                </c:pt>
                <c:pt idx="36">
                  <c:v>LSS</c:v>
                </c:pt>
                <c:pt idx="37">
                  <c:v>MCM</c:v>
                </c:pt>
                <c:pt idx="38">
                  <c:v>MSN</c:v>
                </c:pt>
                <c:pt idx="39">
                  <c:v>NAF</c:v>
                </c:pt>
                <c:pt idx="40">
                  <c:v>NHT</c:v>
                </c:pt>
                <c:pt idx="41">
                  <c:v>NSC</c:v>
                </c:pt>
                <c:pt idx="42">
                  <c:v>PAN</c:v>
                </c:pt>
                <c:pt idx="43">
                  <c:v>PNJ</c:v>
                </c:pt>
                <c:pt idx="44">
                  <c:v>RAL</c:v>
                </c:pt>
                <c:pt idx="45">
                  <c:v>SAB</c:v>
                </c:pt>
                <c:pt idx="46">
                  <c:v>SBT</c:v>
                </c:pt>
                <c:pt idx="47">
                  <c:v>SMB</c:v>
                </c:pt>
                <c:pt idx="48">
                  <c:v>SRC</c:v>
                </c:pt>
                <c:pt idx="49">
                  <c:v>SSC</c:v>
                </c:pt>
                <c:pt idx="50">
                  <c:v>STK</c:v>
                </c:pt>
                <c:pt idx="51">
                  <c:v>SVC</c:v>
                </c:pt>
                <c:pt idx="52">
                  <c:v>TCM</c:v>
                </c:pt>
                <c:pt idx="53">
                  <c:v>TLG</c:v>
                </c:pt>
                <c:pt idx="54">
                  <c:v>TMT</c:v>
                </c:pt>
                <c:pt idx="55">
                  <c:v>TVT</c:v>
                </c:pt>
                <c:pt idx="56">
                  <c:v>VHC</c:v>
                </c:pt>
                <c:pt idx="57">
                  <c:v>VNM</c:v>
                </c:pt>
                <c:pt idx="58">
                  <c:v>AAM</c:v>
                </c:pt>
                <c:pt idx="59">
                  <c:v>AAT</c:v>
                </c:pt>
                <c:pt idx="60">
                  <c:v>ABS</c:v>
                </c:pt>
                <c:pt idx="61">
                  <c:v>ABT</c:v>
                </c:pt>
                <c:pt idx="62">
                  <c:v>ACL</c:v>
                </c:pt>
                <c:pt idx="63">
                  <c:v>ADS</c:v>
                </c:pt>
                <c:pt idx="64">
                  <c:v>ANV</c:v>
                </c:pt>
                <c:pt idx="65">
                  <c:v>ASM</c:v>
                </c:pt>
                <c:pt idx="66">
                  <c:v>BAF</c:v>
                </c:pt>
                <c:pt idx="67">
                  <c:v>BBC</c:v>
                </c:pt>
                <c:pt idx="68">
                  <c:v>BHN</c:v>
                </c:pt>
                <c:pt idx="69">
                  <c:v>BKG</c:v>
                </c:pt>
                <c:pt idx="70">
                  <c:v>CLC</c:v>
                </c:pt>
                <c:pt idx="71">
                  <c:v>CMX</c:v>
                </c:pt>
                <c:pt idx="72">
                  <c:v>CSM</c:v>
                </c:pt>
                <c:pt idx="73">
                  <c:v>CTF</c:v>
                </c:pt>
                <c:pt idx="74">
                  <c:v>DAT</c:v>
                </c:pt>
                <c:pt idx="75">
                  <c:v>DBC</c:v>
                </c:pt>
                <c:pt idx="76">
                  <c:v>DQC</c:v>
                </c:pt>
                <c:pt idx="77">
                  <c:v>DRC</c:v>
                </c:pt>
                <c:pt idx="78">
                  <c:v>EVE</c:v>
                </c:pt>
                <c:pt idx="79">
                  <c:v>FMC</c:v>
                </c:pt>
                <c:pt idx="80">
                  <c:v>GDT</c:v>
                </c:pt>
                <c:pt idx="81">
                  <c:v>GIL</c:v>
                </c:pt>
                <c:pt idx="82">
                  <c:v>GMC</c:v>
                </c:pt>
                <c:pt idx="83">
                  <c:v>HAG</c:v>
                </c:pt>
                <c:pt idx="84">
                  <c:v>HAX</c:v>
                </c:pt>
                <c:pt idx="85">
                  <c:v>HHS</c:v>
                </c:pt>
                <c:pt idx="86">
                  <c:v>HSL</c:v>
                </c:pt>
                <c:pt idx="87">
                  <c:v>HTG</c:v>
                </c:pt>
                <c:pt idx="88">
                  <c:v>HTL</c:v>
                </c:pt>
                <c:pt idx="89">
                  <c:v>IDI</c:v>
                </c:pt>
                <c:pt idx="90">
                  <c:v>KDC</c:v>
                </c:pt>
                <c:pt idx="91">
                  <c:v>KMR</c:v>
                </c:pt>
                <c:pt idx="92">
                  <c:v>LAF</c:v>
                </c:pt>
                <c:pt idx="93">
                  <c:v>LIX</c:v>
                </c:pt>
                <c:pt idx="94">
                  <c:v>LSS</c:v>
                </c:pt>
                <c:pt idx="95">
                  <c:v>MCM</c:v>
                </c:pt>
                <c:pt idx="96">
                  <c:v>MSN</c:v>
                </c:pt>
                <c:pt idx="97">
                  <c:v>NAF</c:v>
                </c:pt>
                <c:pt idx="98">
                  <c:v>NHT</c:v>
                </c:pt>
                <c:pt idx="99">
                  <c:v>NSC</c:v>
                </c:pt>
                <c:pt idx="100">
                  <c:v>PAN</c:v>
                </c:pt>
                <c:pt idx="101">
                  <c:v>PNJ</c:v>
                </c:pt>
                <c:pt idx="102">
                  <c:v>RAL</c:v>
                </c:pt>
                <c:pt idx="103">
                  <c:v>SAB</c:v>
                </c:pt>
                <c:pt idx="104">
                  <c:v>SBT</c:v>
                </c:pt>
                <c:pt idx="105">
                  <c:v>SMB</c:v>
                </c:pt>
                <c:pt idx="106">
                  <c:v>SRC</c:v>
                </c:pt>
                <c:pt idx="107">
                  <c:v>SSC</c:v>
                </c:pt>
                <c:pt idx="108">
                  <c:v>STK</c:v>
                </c:pt>
                <c:pt idx="109">
                  <c:v>SVC</c:v>
                </c:pt>
                <c:pt idx="110">
                  <c:v>TCM</c:v>
                </c:pt>
                <c:pt idx="111">
                  <c:v>TLG</c:v>
                </c:pt>
                <c:pt idx="112">
                  <c:v>TMT</c:v>
                </c:pt>
                <c:pt idx="113">
                  <c:v>TVT</c:v>
                </c:pt>
                <c:pt idx="114">
                  <c:v>VHC</c:v>
                </c:pt>
                <c:pt idx="115">
                  <c:v>VNM</c:v>
                </c:pt>
                <c:pt idx="116">
                  <c:v>AAM</c:v>
                </c:pt>
                <c:pt idx="117">
                  <c:v>AAT</c:v>
                </c:pt>
                <c:pt idx="118">
                  <c:v>ABS</c:v>
                </c:pt>
                <c:pt idx="119">
                  <c:v>ABT</c:v>
                </c:pt>
                <c:pt idx="120">
                  <c:v>ACL</c:v>
                </c:pt>
                <c:pt idx="121">
                  <c:v>ADS</c:v>
                </c:pt>
                <c:pt idx="122">
                  <c:v>ANV</c:v>
                </c:pt>
                <c:pt idx="123">
                  <c:v>ASM</c:v>
                </c:pt>
                <c:pt idx="124">
                  <c:v>BAF</c:v>
                </c:pt>
                <c:pt idx="125">
                  <c:v>BBC</c:v>
                </c:pt>
                <c:pt idx="126">
                  <c:v>BHN</c:v>
                </c:pt>
                <c:pt idx="127">
                  <c:v>BKG</c:v>
                </c:pt>
                <c:pt idx="128">
                  <c:v>CLC</c:v>
                </c:pt>
                <c:pt idx="129">
                  <c:v>CMX</c:v>
                </c:pt>
                <c:pt idx="130">
                  <c:v>CSM</c:v>
                </c:pt>
                <c:pt idx="131">
                  <c:v>CTF</c:v>
                </c:pt>
                <c:pt idx="132">
                  <c:v>DAT</c:v>
                </c:pt>
                <c:pt idx="133">
                  <c:v>DBC</c:v>
                </c:pt>
                <c:pt idx="134">
                  <c:v>DQC</c:v>
                </c:pt>
                <c:pt idx="135">
                  <c:v>DRC</c:v>
                </c:pt>
                <c:pt idx="136">
                  <c:v>EVE</c:v>
                </c:pt>
                <c:pt idx="137">
                  <c:v>FMC</c:v>
                </c:pt>
                <c:pt idx="138">
                  <c:v>GDT</c:v>
                </c:pt>
                <c:pt idx="139">
                  <c:v>GIL</c:v>
                </c:pt>
                <c:pt idx="140">
                  <c:v>GMC</c:v>
                </c:pt>
                <c:pt idx="141">
                  <c:v>HAG</c:v>
                </c:pt>
                <c:pt idx="142">
                  <c:v>HAX</c:v>
                </c:pt>
                <c:pt idx="143">
                  <c:v>HHS</c:v>
                </c:pt>
                <c:pt idx="144">
                  <c:v>HSL</c:v>
                </c:pt>
                <c:pt idx="145">
                  <c:v>HTG</c:v>
                </c:pt>
                <c:pt idx="146">
                  <c:v>HTL</c:v>
                </c:pt>
                <c:pt idx="147">
                  <c:v>IDI</c:v>
                </c:pt>
                <c:pt idx="148">
                  <c:v>KDC</c:v>
                </c:pt>
                <c:pt idx="149">
                  <c:v>KMR</c:v>
                </c:pt>
                <c:pt idx="150">
                  <c:v>LAF</c:v>
                </c:pt>
                <c:pt idx="151">
                  <c:v>LIX</c:v>
                </c:pt>
                <c:pt idx="152">
                  <c:v>LSS</c:v>
                </c:pt>
                <c:pt idx="153">
                  <c:v>MCM</c:v>
                </c:pt>
                <c:pt idx="154">
                  <c:v>MSN</c:v>
                </c:pt>
                <c:pt idx="155">
                  <c:v>NAF</c:v>
                </c:pt>
                <c:pt idx="156">
                  <c:v>NHT</c:v>
                </c:pt>
                <c:pt idx="157">
                  <c:v>NSC</c:v>
                </c:pt>
                <c:pt idx="158">
                  <c:v>PAN</c:v>
                </c:pt>
                <c:pt idx="159">
                  <c:v>PNJ</c:v>
                </c:pt>
                <c:pt idx="160">
                  <c:v>RAL</c:v>
                </c:pt>
                <c:pt idx="161">
                  <c:v>SAB</c:v>
                </c:pt>
                <c:pt idx="162">
                  <c:v>SBT</c:v>
                </c:pt>
                <c:pt idx="163">
                  <c:v>SMB</c:v>
                </c:pt>
                <c:pt idx="164">
                  <c:v>SRC</c:v>
                </c:pt>
                <c:pt idx="165">
                  <c:v>SSC</c:v>
                </c:pt>
                <c:pt idx="166">
                  <c:v>STK</c:v>
                </c:pt>
                <c:pt idx="167">
                  <c:v>SVC</c:v>
                </c:pt>
                <c:pt idx="168">
                  <c:v>TCM</c:v>
                </c:pt>
                <c:pt idx="169">
                  <c:v>TLG</c:v>
                </c:pt>
                <c:pt idx="170">
                  <c:v>TMT</c:v>
                </c:pt>
                <c:pt idx="171">
                  <c:v>TVT</c:v>
                </c:pt>
                <c:pt idx="172">
                  <c:v>VHC</c:v>
                </c:pt>
                <c:pt idx="173">
                  <c:v>VNM</c:v>
                </c:pt>
                <c:pt idx="174">
                  <c:v>AAM</c:v>
                </c:pt>
                <c:pt idx="175">
                  <c:v>AAT</c:v>
                </c:pt>
                <c:pt idx="176">
                  <c:v>ABS</c:v>
                </c:pt>
                <c:pt idx="177">
                  <c:v>ABT</c:v>
                </c:pt>
                <c:pt idx="178">
                  <c:v>ACL</c:v>
                </c:pt>
                <c:pt idx="179">
                  <c:v>ADS</c:v>
                </c:pt>
                <c:pt idx="180">
                  <c:v>ANV</c:v>
                </c:pt>
                <c:pt idx="181">
                  <c:v>ASM</c:v>
                </c:pt>
                <c:pt idx="182">
                  <c:v>BAF</c:v>
                </c:pt>
                <c:pt idx="183">
                  <c:v>BBC</c:v>
                </c:pt>
                <c:pt idx="184">
                  <c:v>BHN</c:v>
                </c:pt>
                <c:pt idx="185">
                  <c:v>BKG</c:v>
                </c:pt>
                <c:pt idx="186">
                  <c:v>CLC</c:v>
                </c:pt>
                <c:pt idx="187">
                  <c:v>CMX</c:v>
                </c:pt>
                <c:pt idx="188">
                  <c:v>CSM</c:v>
                </c:pt>
                <c:pt idx="189">
                  <c:v>CTF</c:v>
                </c:pt>
                <c:pt idx="190">
                  <c:v>DAT</c:v>
                </c:pt>
                <c:pt idx="191">
                  <c:v>DBC</c:v>
                </c:pt>
                <c:pt idx="192">
                  <c:v>DQC</c:v>
                </c:pt>
                <c:pt idx="193">
                  <c:v>DRC</c:v>
                </c:pt>
                <c:pt idx="194">
                  <c:v>EVE</c:v>
                </c:pt>
                <c:pt idx="195">
                  <c:v>FMC</c:v>
                </c:pt>
                <c:pt idx="196">
                  <c:v>GDT</c:v>
                </c:pt>
                <c:pt idx="197">
                  <c:v>GIL</c:v>
                </c:pt>
                <c:pt idx="198">
                  <c:v>GMC</c:v>
                </c:pt>
                <c:pt idx="199">
                  <c:v>HAG</c:v>
                </c:pt>
                <c:pt idx="200">
                  <c:v>HAX</c:v>
                </c:pt>
                <c:pt idx="201">
                  <c:v>HHS</c:v>
                </c:pt>
                <c:pt idx="202">
                  <c:v>HSL</c:v>
                </c:pt>
                <c:pt idx="203">
                  <c:v>HTG</c:v>
                </c:pt>
                <c:pt idx="204">
                  <c:v>HTL</c:v>
                </c:pt>
                <c:pt idx="205">
                  <c:v>IDI</c:v>
                </c:pt>
                <c:pt idx="206">
                  <c:v>KDC</c:v>
                </c:pt>
                <c:pt idx="207">
                  <c:v>KMR</c:v>
                </c:pt>
                <c:pt idx="208">
                  <c:v>LAF</c:v>
                </c:pt>
                <c:pt idx="209">
                  <c:v>LIX</c:v>
                </c:pt>
                <c:pt idx="210">
                  <c:v>LSS</c:v>
                </c:pt>
                <c:pt idx="211">
                  <c:v>MCM</c:v>
                </c:pt>
                <c:pt idx="212">
                  <c:v>MSN</c:v>
                </c:pt>
                <c:pt idx="213">
                  <c:v>NAF</c:v>
                </c:pt>
                <c:pt idx="214">
                  <c:v>NHT</c:v>
                </c:pt>
                <c:pt idx="215">
                  <c:v>NSC</c:v>
                </c:pt>
                <c:pt idx="216">
                  <c:v>PAN</c:v>
                </c:pt>
                <c:pt idx="217">
                  <c:v>PNJ</c:v>
                </c:pt>
                <c:pt idx="218">
                  <c:v>RAL</c:v>
                </c:pt>
                <c:pt idx="219">
                  <c:v>SAB</c:v>
                </c:pt>
                <c:pt idx="220">
                  <c:v>SBT</c:v>
                </c:pt>
                <c:pt idx="221">
                  <c:v>SMB</c:v>
                </c:pt>
                <c:pt idx="222">
                  <c:v>SRC</c:v>
                </c:pt>
                <c:pt idx="223">
                  <c:v>SSC</c:v>
                </c:pt>
                <c:pt idx="224">
                  <c:v>STK</c:v>
                </c:pt>
                <c:pt idx="225">
                  <c:v>SVC</c:v>
                </c:pt>
                <c:pt idx="226">
                  <c:v>TCM</c:v>
                </c:pt>
                <c:pt idx="227">
                  <c:v>TLG</c:v>
                </c:pt>
                <c:pt idx="228">
                  <c:v>TMT</c:v>
                </c:pt>
                <c:pt idx="229">
                  <c:v>TVT</c:v>
                </c:pt>
                <c:pt idx="230">
                  <c:v>VHC</c:v>
                </c:pt>
                <c:pt idx="231">
                  <c:v>VNM</c:v>
                </c:pt>
                <c:pt idx="232">
                  <c:v>AAM</c:v>
                </c:pt>
                <c:pt idx="233">
                  <c:v>AAT</c:v>
                </c:pt>
                <c:pt idx="234">
                  <c:v>ABS</c:v>
                </c:pt>
                <c:pt idx="235">
                  <c:v>ABT</c:v>
                </c:pt>
                <c:pt idx="236">
                  <c:v>ACL</c:v>
                </c:pt>
                <c:pt idx="237">
                  <c:v>ADS</c:v>
                </c:pt>
                <c:pt idx="238">
                  <c:v>ANV</c:v>
                </c:pt>
                <c:pt idx="239">
                  <c:v>ASM</c:v>
                </c:pt>
                <c:pt idx="240">
                  <c:v>BAF</c:v>
                </c:pt>
                <c:pt idx="241">
                  <c:v>BBC</c:v>
                </c:pt>
                <c:pt idx="242">
                  <c:v>BHN</c:v>
                </c:pt>
                <c:pt idx="243">
                  <c:v>BKG</c:v>
                </c:pt>
                <c:pt idx="244">
                  <c:v>CLC</c:v>
                </c:pt>
                <c:pt idx="245">
                  <c:v>CMX</c:v>
                </c:pt>
                <c:pt idx="246">
                  <c:v>CSM</c:v>
                </c:pt>
                <c:pt idx="247">
                  <c:v>CTF</c:v>
                </c:pt>
                <c:pt idx="248">
                  <c:v>DAT</c:v>
                </c:pt>
                <c:pt idx="249">
                  <c:v>DBC</c:v>
                </c:pt>
                <c:pt idx="250">
                  <c:v>DQC</c:v>
                </c:pt>
                <c:pt idx="251">
                  <c:v>DRC</c:v>
                </c:pt>
                <c:pt idx="252">
                  <c:v>EVE</c:v>
                </c:pt>
                <c:pt idx="253">
                  <c:v>FMC</c:v>
                </c:pt>
                <c:pt idx="254">
                  <c:v>GDT</c:v>
                </c:pt>
                <c:pt idx="255">
                  <c:v>GIL</c:v>
                </c:pt>
                <c:pt idx="256">
                  <c:v>GMC</c:v>
                </c:pt>
                <c:pt idx="257">
                  <c:v>HAG</c:v>
                </c:pt>
                <c:pt idx="258">
                  <c:v>HAX</c:v>
                </c:pt>
                <c:pt idx="259">
                  <c:v>HHS</c:v>
                </c:pt>
                <c:pt idx="260">
                  <c:v>HSL</c:v>
                </c:pt>
                <c:pt idx="261">
                  <c:v>HTG</c:v>
                </c:pt>
                <c:pt idx="262">
                  <c:v>HTL</c:v>
                </c:pt>
                <c:pt idx="263">
                  <c:v>IDI</c:v>
                </c:pt>
                <c:pt idx="264">
                  <c:v>KDC</c:v>
                </c:pt>
                <c:pt idx="265">
                  <c:v>KMR</c:v>
                </c:pt>
                <c:pt idx="266">
                  <c:v>LAF</c:v>
                </c:pt>
                <c:pt idx="267">
                  <c:v>LIX</c:v>
                </c:pt>
                <c:pt idx="268">
                  <c:v>LSS</c:v>
                </c:pt>
                <c:pt idx="269">
                  <c:v>MCM</c:v>
                </c:pt>
                <c:pt idx="270">
                  <c:v>MSN</c:v>
                </c:pt>
                <c:pt idx="271">
                  <c:v>NAF</c:v>
                </c:pt>
                <c:pt idx="272">
                  <c:v>NHT</c:v>
                </c:pt>
                <c:pt idx="273">
                  <c:v>NSC</c:v>
                </c:pt>
                <c:pt idx="274">
                  <c:v>PAN</c:v>
                </c:pt>
                <c:pt idx="275">
                  <c:v>PNJ</c:v>
                </c:pt>
                <c:pt idx="276">
                  <c:v>RAL</c:v>
                </c:pt>
                <c:pt idx="277">
                  <c:v>SAB</c:v>
                </c:pt>
                <c:pt idx="278">
                  <c:v>SBT</c:v>
                </c:pt>
                <c:pt idx="279">
                  <c:v>SMB</c:v>
                </c:pt>
                <c:pt idx="280">
                  <c:v>SRC</c:v>
                </c:pt>
                <c:pt idx="281">
                  <c:v>SSC</c:v>
                </c:pt>
                <c:pt idx="282">
                  <c:v>STK</c:v>
                </c:pt>
                <c:pt idx="283">
                  <c:v>SVC</c:v>
                </c:pt>
                <c:pt idx="284">
                  <c:v>TCM</c:v>
                </c:pt>
                <c:pt idx="285">
                  <c:v>TLG</c:v>
                </c:pt>
                <c:pt idx="286">
                  <c:v>TMT</c:v>
                </c:pt>
                <c:pt idx="287">
                  <c:v>TVT</c:v>
                </c:pt>
                <c:pt idx="288">
                  <c:v>VHC</c:v>
                </c:pt>
                <c:pt idx="289">
                  <c:v>VNM</c:v>
                </c:pt>
              </c:strCache>
            </c:strRef>
          </c:cat>
          <c:val>
            <c:numRef>
              <c:f>'Sheet1 (2)'!$U$2:$U$311</c:f>
              <c:numCache>
                <c:formatCode>0.00%</c:formatCode>
                <c:ptCount val="290"/>
                <c:pt idx="0">
                  <c:v>3.3026867803266982E-3</c:v>
                </c:pt>
                <c:pt idx="1">
                  <c:v>1.1122758641644734E-2</c:v>
                </c:pt>
                <c:pt idx="2">
                  <c:v>5.2475771036692518E-3</c:v>
                </c:pt>
                <c:pt idx="3">
                  <c:v>9.8055831890252132E-2</c:v>
                </c:pt>
                <c:pt idx="4">
                  <c:v>5.6329251420665681E-3</c:v>
                </c:pt>
                <c:pt idx="5">
                  <c:v>2.9950570973946718E-2</c:v>
                </c:pt>
                <c:pt idx="6">
                  <c:v>7.6656619730982051E-3</c:v>
                </c:pt>
                <c:pt idx="7">
                  <c:v>1.2394414996307021E-2</c:v>
                </c:pt>
                <c:pt idx="8">
                  <c:v>4.6413488547997822E-3</c:v>
                </c:pt>
                <c:pt idx="9">
                  <c:v>4.1310409740393357E-2</c:v>
                </c:pt>
                <c:pt idx="10">
                  <c:v>4.9606425527564342E-2</c:v>
                </c:pt>
                <c:pt idx="11">
                  <c:v>1.1765117137744724E-2</c:v>
                </c:pt>
                <c:pt idx="12">
                  <c:v>8.9587456671047172E-2</c:v>
                </c:pt>
                <c:pt idx="13">
                  <c:v>1.9543681084675465E-2</c:v>
                </c:pt>
                <c:pt idx="14">
                  <c:v>1.5543337140968221E-2</c:v>
                </c:pt>
                <c:pt idx="15">
                  <c:v>1.2043067081854961E-2</c:v>
                </c:pt>
                <c:pt idx="16">
                  <c:v>4.5298929387706001E-2</c:v>
                </c:pt>
                <c:pt idx="17">
                  <c:v>1.921885096679113E-3</c:v>
                </c:pt>
                <c:pt idx="18">
                  <c:v>-2.3138943768918032E-2</c:v>
                </c:pt>
                <c:pt idx="19">
                  <c:v>7.2786486688530133E-2</c:v>
                </c:pt>
                <c:pt idx="20">
                  <c:v>1.3749095599802634E-2</c:v>
                </c:pt>
                <c:pt idx="21">
                  <c:v>9.0083261227632327E-2</c:v>
                </c:pt>
                <c:pt idx="22">
                  <c:v>8.9731895027475694E-2</c:v>
                </c:pt>
                <c:pt idx="23">
                  <c:v>8.6028096971278393E-3</c:v>
                </c:pt>
                <c:pt idx="24">
                  <c:v>-0.12395067266714073</c:v>
                </c:pt>
                <c:pt idx="25">
                  <c:v>8.5234859355636225E-2</c:v>
                </c:pt>
                <c:pt idx="26">
                  <c:v>1.8469930538387309E-2</c:v>
                </c:pt>
                <c:pt idx="27">
                  <c:v>7.5284936144390899E-2</c:v>
                </c:pt>
                <c:pt idx="28">
                  <c:v>2.5123147579225808E-2</c:v>
                </c:pt>
                <c:pt idx="29">
                  <c:v>6.7739991809296171E-2</c:v>
                </c:pt>
                <c:pt idx="30">
                  <c:v>8.5505193052131334E-2</c:v>
                </c:pt>
                <c:pt idx="31">
                  <c:v>8.8619100959619439E-3</c:v>
                </c:pt>
                <c:pt idx="32">
                  <c:v>1.0909841599727028E-2</c:v>
                </c:pt>
                <c:pt idx="33">
                  <c:v>1.1160968110220102E-2</c:v>
                </c:pt>
                <c:pt idx="34">
                  <c:v>8.6163499289447679E-2</c:v>
                </c:pt>
                <c:pt idx="35">
                  <c:v>0.14550966013979696</c:v>
                </c:pt>
                <c:pt idx="36">
                  <c:v>2.9369081873645474E-2</c:v>
                </c:pt>
                <c:pt idx="37">
                  <c:v>0.14367150755756863</c:v>
                </c:pt>
                <c:pt idx="38">
                  <c:v>1.268749456519792E-2</c:v>
                </c:pt>
                <c:pt idx="39">
                  <c:v>5.3801447214833341E-2</c:v>
                </c:pt>
                <c:pt idx="40">
                  <c:v>-3.4044598423935347E-2</c:v>
                </c:pt>
                <c:pt idx="41">
                  <c:v>0.10360734119257237</c:v>
                </c:pt>
                <c:pt idx="42">
                  <c:v>4.0475098722561921E-2</c:v>
                </c:pt>
                <c:pt idx="43">
                  <c:v>0.13662041767567318</c:v>
                </c:pt>
                <c:pt idx="44">
                  <c:v>7.5373518645229273E-2</c:v>
                </c:pt>
                <c:pt idx="45">
                  <c:v>0.12494053653290658</c:v>
                </c:pt>
                <c:pt idx="46">
                  <c:v>1.7874128927209531E-2</c:v>
                </c:pt>
                <c:pt idx="47">
                  <c:v>0.15176274657745134</c:v>
                </c:pt>
                <c:pt idx="48">
                  <c:v>2.1829615990021086E-2</c:v>
                </c:pt>
                <c:pt idx="49">
                  <c:v>0.10018184581745464</c:v>
                </c:pt>
                <c:pt idx="50">
                  <c:v>2.9523592073464146E-2</c:v>
                </c:pt>
                <c:pt idx="51">
                  <c:v>6.1935947201668057E-3</c:v>
                </c:pt>
                <c:pt idx="52">
                  <c:v>4.0801814010277604E-2</c:v>
                </c:pt>
                <c:pt idx="53">
                  <c:v>0.12682235882594231</c:v>
                </c:pt>
                <c:pt idx="54">
                  <c:v>1.1038127859773837E-3</c:v>
                </c:pt>
                <c:pt idx="55">
                  <c:v>8.7111172148595754E-3</c:v>
                </c:pt>
                <c:pt idx="56">
                  <c:v>8.1536780799475878E-2</c:v>
                </c:pt>
                <c:pt idx="57">
                  <c:v>0.17123175959252732</c:v>
                </c:pt>
                <c:pt idx="58">
                  <c:v>7.7317229389697123E-2</c:v>
                </c:pt>
                <c:pt idx="59">
                  <c:v>8.4511213673980456E-2</c:v>
                </c:pt>
                <c:pt idx="60">
                  <c:v>1.3502900367885142E-2</c:v>
                </c:pt>
                <c:pt idx="61">
                  <c:v>0.10326886625758988</c:v>
                </c:pt>
                <c:pt idx="62">
                  <c:v>7.9620891472083274E-2</c:v>
                </c:pt>
                <c:pt idx="63">
                  <c:v>3.4351272748940613E-2</c:v>
                </c:pt>
                <c:pt idx="64">
                  <c:v>0.12322380370517294</c:v>
                </c:pt>
                <c:pt idx="65">
                  <c:v>5.0433176179095575E-2</c:v>
                </c:pt>
                <c:pt idx="66">
                  <c:v>6.08528564444452E-2</c:v>
                </c:pt>
                <c:pt idx="67">
                  <c:v>0.10425815698197882</c:v>
                </c:pt>
                <c:pt idx="68">
                  <c:v>6.9508727698945061E-2</c:v>
                </c:pt>
                <c:pt idx="69">
                  <c:v>2.8496747865448611E-2</c:v>
                </c:pt>
                <c:pt idx="70">
                  <c:v>0.10139966919666481</c:v>
                </c:pt>
                <c:pt idx="71">
                  <c:v>3.1186685664399017E-2</c:v>
                </c:pt>
                <c:pt idx="72">
                  <c:v>1.8834570934036308E-2</c:v>
                </c:pt>
                <c:pt idx="73">
                  <c:v>4.651529111535381E-2</c:v>
                </c:pt>
                <c:pt idx="74">
                  <c:v>4.5701286726948238E-2</c:v>
                </c:pt>
                <c:pt idx="75">
                  <c:v>4.00413007325978E-4</c:v>
                </c:pt>
                <c:pt idx="76">
                  <c:v>1.0002774246374626E-2</c:v>
                </c:pt>
                <c:pt idx="77">
                  <c:v>8.9878017987599618E-2</c:v>
                </c:pt>
                <c:pt idx="78">
                  <c:v>6.3039277268062285E-2</c:v>
                </c:pt>
                <c:pt idx="79">
                  <c:v>0.10740673452651844</c:v>
                </c:pt>
                <c:pt idx="80">
                  <c:v>0.17061324216883494</c:v>
                </c:pt>
                <c:pt idx="81">
                  <c:v>9.0612453260594569E-2</c:v>
                </c:pt>
                <c:pt idx="82">
                  <c:v>-0.15820557647480724</c:v>
                </c:pt>
                <c:pt idx="83">
                  <c:v>5.6806392520441562E-2</c:v>
                </c:pt>
                <c:pt idx="84">
                  <c:v>9.2968413704845557E-2</c:v>
                </c:pt>
                <c:pt idx="85">
                  <c:v>4.9996316156979345E-2</c:v>
                </c:pt>
                <c:pt idx="86">
                  <c:v>3.2187558837253084E-2</c:v>
                </c:pt>
                <c:pt idx="87">
                  <c:v>0.11194477051677</c:v>
                </c:pt>
                <c:pt idx="88">
                  <c:v>0.10350441408479071</c:v>
                </c:pt>
                <c:pt idx="89">
                  <c:v>6.9660870438643316E-2</c:v>
                </c:pt>
                <c:pt idx="90">
                  <c:v>2.6751984124292305E-2</c:v>
                </c:pt>
                <c:pt idx="91">
                  <c:v>1.8178541832119061E-2</c:v>
                </c:pt>
                <c:pt idx="92">
                  <c:v>6.3773702699890494E-2</c:v>
                </c:pt>
                <c:pt idx="93">
                  <c:v>0.17302273642112367</c:v>
                </c:pt>
                <c:pt idx="94">
                  <c:v>1.5505732944115079E-2</c:v>
                </c:pt>
                <c:pt idx="95">
                  <c:v>0.1411463454171191</c:v>
                </c:pt>
                <c:pt idx="96">
                  <c:v>3.3637252802698178E-2</c:v>
                </c:pt>
                <c:pt idx="97">
                  <c:v>4.578757939794053E-2</c:v>
                </c:pt>
                <c:pt idx="98">
                  <c:v>8.4374301735420237E-2</c:v>
                </c:pt>
                <c:pt idx="99">
                  <c:v>0.112002148362392</c:v>
                </c:pt>
                <c:pt idx="100">
                  <c:v>4.9391982065463892E-2</c:v>
                </c:pt>
                <c:pt idx="101">
                  <c:v>0.13576329231374828</c:v>
                </c:pt>
                <c:pt idx="102">
                  <c:v>7.2333541229837095E-2</c:v>
                </c:pt>
                <c:pt idx="103">
                  <c:v>0.15957597192009673</c:v>
                </c:pt>
                <c:pt idx="104">
                  <c:v>2.8153873393637036E-2</c:v>
                </c:pt>
                <c:pt idx="105">
                  <c:v>0.18879484433252666</c:v>
                </c:pt>
                <c:pt idx="106">
                  <c:v>2.2281462395162831E-2</c:v>
                </c:pt>
                <c:pt idx="107">
                  <c:v>9.614618242820111E-2</c:v>
                </c:pt>
                <c:pt idx="108">
                  <c:v>0.11400952361680972</c:v>
                </c:pt>
                <c:pt idx="109">
                  <c:v>9.5342316436801702E-2</c:v>
                </c:pt>
                <c:pt idx="110">
                  <c:v>8.0835083131846466E-2</c:v>
                </c:pt>
                <c:pt idx="111">
                  <c:v>0.13974624229183599</c:v>
                </c:pt>
                <c:pt idx="112">
                  <c:v>1.3806670676453284E-2</c:v>
                </c:pt>
                <c:pt idx="113">
                  <c:v>3.0455858995852819E-2</c:v>
                </c:pt>
                <c:pt idx="114">
                  <c:v>0.1737779162914854</c:v>
                </c:pt>
                <c:pt idx="115">
                  <c:v>0.17692045552612376</c:v>
                </c:pt>
                <c:pt idx="116">
                  <c:v>1.1238860598345004E-3</c:v>
                </c:pt>
                <c:pt idx="117">
                  <c:v>2.9504040499195177E-2</c:v>
                </c:pt>
                <c:pt idx="118">
                  <c:v>4.1025718289063325E-2</c:v>
                </c:pt>
                <c:pt idx="119">
                  <c:v>5.6864342037511312E-2</c:v>
                </c:pt>
                <c:pt idx="120">
                  <c:v>2.886339742925937E-2</c:v>
                </c:pt>
                <c:pt idx="121">
                  <c:v>5.0618360451931299E-2</c:v>
                </c:pt>
                <c:pt idx="122">
                  <c:v>2.6342185063779111E-2</c:v>
                </c:pt>
                <c:pt idx="123">
                  <c:v>3.8740909435649971E-2</c:v>
                </c:pt>
                <c:pt idx="124">
                  <c:v>5.8965822687853907E-2</c:v>
                </c:pt>
                <c:pt idx="125">
                  <c:v>1.3662385379295873E-2</c:v>
                </c:pt>
                <c:pt idx="126">
                  <c:v>4.5737210644310661E-2</c:v>
                </c:pt>
                <c:pt idx="127">
                  <c:v>5.0659685276273562E-2</c:v>
                </c:pt>
                <c:pt idx="128">
                  <c:v>0.12895162588116768</c:v>
                </c:pt>
                <c:pt idx="129">
                  <c:v>3.4491473349675256E-2</c:v>
                </c:pt>
                <c:pt idx="130">
                  <c:v>1.0116020632203737E-2</c:v>
                </c:pt>
                <c:pt idx="131">
                  <c:v>2.9415603725571646E-2</c:v>
                </c:pt>
                <c:pt idx="132">
                  <c:v>2.1312875596388493E-2</c:v>
                </c:pt>
                <c:pt idx="133">
                  <c:v>7.6368596188336552E-2</c:v>
                </c:pt>
                <c:pt idx="134">
                  <c:v>1.6139383456972401E-2</c:v>
                </c:pt>
                <c:pt idx="135">
                  <c:v>9.2740206056041177E-2</c:v>
                </c:pt>
                <c:pt idx="136">
                  <c:v>4.7070998618317497E-2</c:v>
                </c:pt>
                <c:pt idx="137">
                  <c:v>0.10633780566808518</c:v>
                </c:pt>
                <c:pt idx="138">
                  <c:v>0.15955796464242122</c:v>
                </c:pt>
                <c:pt idx="139">
                  <c:v>8.7798850762427438E-2</c:v>
                </c:pt>
                <c:pt idx="140">
                  <c:v>5.2685458470210861E-2</c:v>
                </c:pt>
                <c:pt idx="141">
                  <c:v>6.9201832894650846E-3</c:v>
                </c:pt>
                <c:pt idx="142">
                  <c:v>0.12515336078364131</c:v>
                </c:pt>
                <c:pt idx="143">
                  <c:v>5.5424561755598789E-2</c:v>
                </c:pt>
                <c:pt idx="144">
                  <c:v>4.9606966071586905E-2</c:v>
                </c:pt>
                <c:pt idx="145">
                  <c:v>8.6062462485554936E-2</c:v>
                </c:pt>
                <c:pt idx="146">
                  <c:v>8.0004026551554669E-2</c:v>
                </c:pt>
                <c:pt idx="147">
                  <c:v>1.8970171405105655E-2</c:v>
                </c:pt>
                <c:pt idx="148">
                  <c:v>4.6422557253736424E-2</c:v>
                </c:pt>
                <c:pt idx="149">
                  <c:v>1.6811428645848354E-2</c:v>
                </c:pt>
                <c:pt idx="150">
                  <c:v>0.14166476021619148</c:v>
                </c:pt>
                <c:pt idx="151">
                  <c:v>0.14314979565689542</c:v>
                </c:pt>
                <c:pt idx="152">
                  <c:v>1.3119809281536892E-2</c:v>
                </c:pt>
                <c:pt idx="153">
                  <c:v>0.12831377670623564</c:v>
                </c:pt>
                <c:pt idx="154">
                  <c:v>8.0110262013486797E-2</c:v>
                </c:pt>
                <c:pt idx="155">
                  <c:v>4.691800035790808E-2</c:v>
                </c:pt>
                <c:pt idx="156">
                  <c:v>6.2686560278289116E-2</c:v>
                </c:pt>
                <c:pt idx="157">
                  <c:v>0.1167887103194219</c:v>
                </c:pt>
                <c:pt idx="158">
                  <c:v>3.3996163845861335E-2</c:v>
                </c:pt>
                <c:pt idx="159">
                  <c:v>9.6905579866761668E-2</c:v>
                </c:pt>
                <c:pt idx="160">
                  <c:v>7.3853869695975585E-2</c:v>
                </c:pt>
                <c:pt idx="161">
                  <c:v>0.12888453789389218</c:v>
                </c:pt>
                <c:pt idx="162">
                  <c:v>1.8755361448261988E-2</c:v>
                </c:pt>
                <c:pt idx="163">
                  <c:v>0.16934088003602613</c:v>
                </c:pt>
                <c:pt idx="164">
                  <c:v>3.2415363481901389E-2</c:v>
                </c:pt>
                <c:pt idx="165">
                  <c:v>0.10583906133366509</c:v>
                </c:pt>
                <c:pt idx="166">
                  <c:v>0.14127865093296266</c:v>
                </c:pt>
                <c:pt idx="167">
                  <c:v>4.7714726315813243E-2</c:v>
                </c:pt>
                <c:pt idx="168">
                  <c:v>3.9834560367968973E-2</c:v>
                </c:pt>
                <c:pt idx="169">
                  <c:v>0.11311990038178532</c:v>
                </c:pt>
                <c:pt idx="170">
                  <c:v>1.3254737370989412E-2</c:v>
                </c:pt>
                <c:pt idx="171">
                  <c:v>6.3166348861221119E-2</c:v>
                </c:pt>
                <c:pt idx="172">
                  <c:v>0.12664239386735093</c:v>
                </c:pt>
                <c:pt idx="173">
                  <c:v>0.1993635276475354</c:v>
                </c:pt>
                <c:pt idx="174">
                  <c:v>-5.6764333385510797E-2</c:v>
                </c:pt>
                <c:pt idx="175">
                  <c:v>2.4209124898252003E-2</c:v>
                </c:pt>
                <c:pt idx="176">
                  <c:v>4.0945358329572953E-2</c:v>
                </c:pt>
                <c:pt idx="177">
                  <c:v>2.628040649284959E-2</c:v>
                </c:pt>
                <c:pt idx="178">
                  <c:v>1.6982396347908039E-2</c:v>
                </c:pt>
                <c:pt idx="179">
                  <c:v>1.3298938838048611E-2</c:v>
                </c:pt>
                <c:pt idx="180">
                  <c:v>4.1821815112699827E-2</c:v>
                </c:pt>
                <c:pt idx="181">
                  <c:v>3.2511795926006816E-2</c:v>
                </c:pt>
                <c:pt idx="182">
                  <c:v>8.7358861786107182E-3</c:v>
                </c:pt>
                <c:pt idx="183">
                  <c:v>6.2611544797427518E-2</c:v>
                </c:pt>
                <c:pt idx="184">
                  <c:v>8.5968488367447374E-2</c:v>
                </c:pt>
                <c:pt idx="185">
                  <c:v>4.4709431953056537E-2</c:v>
                </c:pt>
                <c:pt idx="186">
                  <c:v>0.1414492880805599</c:v>
                </c:pt>
                <c:pt idx="187">
                  <c:v>4.0293621890467278E-2</c:v>
                </c:pt>
                <c:pt idx="188">
                  <c:v>2.3775257326427587E-2</c:v>
                </c:pt>
                <c:pt idx="189">
                  <c:v>9.0581029798625075E-4</c:v>
                </c:pt>
                <c:pt idx="190">
                  <c:v>3.1675254367159886E-2</c:v>
                </c:pt>
                <c:pt idx="191">
                  <c:v>0.13862572343618937</c:v>
                </c:pt>
                <c:pt idx="192">
                  <c:v>1.2956416810142099E-2</c:v>
                </c:pt>
                <c:pt idx="193">
                  <c:v>0.10544943658437247</c:v>
                </c:pt>
                <c:pt idx="194">
                  <c:v>3.1083499072084721E-2</c:v>
                </c:pt>
                <c:pt idx="195">
                  <c:v>0.13205237142947307</c:v>
                </c:pt>
                <c:pt idx="196">
                  <c:v>0.20051295936940597</c:v>
                </c:pt>
                <c:pt idx="197">
                  <c:v>0.11418494389273717</c:v>
                </c:pt>
                <c:pt idx="198">
                  <c:v>3.7957457944536678E-2</c:v>
                </c:pt>
                <c:pt idx="199">
                  <c:v>-6.3955120268385346E-2</c:v>
                </c:pt>
                <c:pt idx="200">
                  <c:v>0.10171620536040314</c:v>
                </c:pt>
                <c:pt idx="201">
                  <c:v>7.256459444345767E-2</c:v>
                </c:pt>
                <c:pt idx="202">
                  <c:v>4.6217516843118388E-2</c:v>
                </c:pt>
                <c:pt idx="203">
                  <c:v>3.5540021139343216E-2</c:v>
                </c:pt>
                <c:pt idx="204">
                  <c:v>6.4205867490018151E-2</c:v>
                </c:pt>
                <c:pt idx="205">
                  <c:v>1.3888780855098684E-2</c:v>
                </c:pt>
                <c:pt idx="206">
                  <c:v>2.6741748726937187E-2</c:v>
                </c:pt>
                <c:pt idx="207">
                  <c:v>1.6466236976292239E-4</c:v>
                </c:pt>
                <c:pt idx="208">
                  <c:v>0.11685658531884652</c:v>
                </c:pt>
                <c:pt idx="209">
                  <c:v>0.22611281271218836</c:v>
                </c:pt>
                <c:pt idx="210">
                  <c:v>7.7686474234545822E-3</c:v>
                </c:pt>
                <c:pt idx="211">
                  <c:v>0.22962205012939679</c:v>
                </c:pt>
                <c:pt idx="212">
                  <c:v>1.2053347497915135E-2</c:v>
                </c:pt>
                <c:pt idx="213">
                  <c:v>3.9986852565477946E-2</c:v>
                </c:pt>
                <c:pt idx="214">
                  <c:v>8.2646369466292238E-2</c:v>
                </c:pt>
                <c:pt idx="215">
                  <c:v>0.10813731715765074</c:v>
                </c:pt>
                <c:pt idx="216">
                  <c:v>2.9394347977006598E-2</c:v>
                </c:pt>
                <c:pt idx="217">
                  <c:v>0.12605111358451215</c:v>
                </c:pt>
                <c:pt idx="218">
                  <c:v>8.3477644875375429E-2</c:v>
                </c:pt>
                <c:pt idx="219">
                  <c:v>0.18034158426384564</c:v>
                </c:pt>
                <c:pt idx="220">
                  <c:v>3.0818650498167753E-2</c:v>
                </c:pt>
                <c:pt idx="221">
                  <c:v>0.19751141069807351</c:v>
                </c:pt>
                <c:pt idx="222">
                  <c:v>5.2311784382887312E-2</c:v>
                </c:pt>
                <c:pt idx="223">
                  <c:v>8.3082682608812811E-2</c:v>
                </c:pt>
                <c:pt idx="224">
                  <c:v>8.4749285101641494E-2</c:v>
                </c:pt>
                <c:pt idx="225">
                  <c:v>5.2782225526935053E-2</c:v>
                </c:pt>
                <c:pt idx="226">
                  <c:v>9.2805357303044636E-2</c:v>
                </c:pt>
                <c:pt idx="227">
                  <c:v>0.10362270095165511</c:v>
                </c:pt>
                <c:pt idx="228">
                  <c:v>1.0600470663241388E-3</c:v>
                </c:pt>
                <c:pt idx="229">
                  <c:v>4.6794861468573153E-2</c:v>
                </c:pt>
                <c:pt idx="230">
                  <c:v>9.9876809636174638E-2</c:v>
                </c:pt>
                <c:pt idx="231">
                  <c:v>0.2319875374544616</c:v>
                </c:pt>
                <c:pt idx="232">
                  <c:v>3.6521792640258802E-2</c:v>
                </c:pt>
                <c:pt idx="233">
                  <c:v>3.5193383038210624E-2</c:v>
                </c:pt>
                <c:pt idx="234">
                  <c:v>4.9779151277606092E-2</c:v>
                </c:pt>
                <c:pt idx="235">
                  <c:v>9.043349391414808E-2</c:v>
                </c:pt>
                <c:pt idx="236">
                  <c:v>9.6984782245679538E-2</c:v>
                </c:pt>
                <c:pt idx="237">
                  <c:v>4.7776643901324672E-3</c:v>
                </c:pt>
                <c:pt idx="238">
                  <c:v>0.17028112527505695</c:v>
                </c:pt>
                <c:pt idx="239">
                  <c:v>5.2791198329451214E-2</c:v>
                </c:pt>
                <c:pt idx="240">
                  <c:v>2.044896201005723E-3</c:v>
                </c:pt>
                <c:pt idx="241">
                  <c:v>6.0768646908398109E-2</c:v>
                </c:pt>
                <c:pt idx="242">
                  <c:v>6.7307791280073942E-2</c:v>
                </c:pt>
                <c:pt idx="243">
                  <c:v>4.8495408892456487E-2</c:v>
                </c:pt>
                <c:pt idx="244">
                  <c:v>0.13720322031763882</c:v>
                </c:pt>
                <c:pt idx="245">
                  <c:v>5.4607542091704146E-2</c:v>
                </c:pt>
                <c:pt idx="246">
                  <c:v>1.3744676067203998E-2</c:v>
                </c:pt>
                <c:pt idx="247">
                  <c:v>2.8398883722373452E-2</c:v>
                </c:pt>
                <c:pt idx="248">
                  <c:v>3.9528968464805615E-2</c:v>
                </c:pt>
                <c:pt idx="249">
                  <c:v>3.181113280180986E-2</c:v>
                </c:pt>
                <c:pt idx="250">
                  <c:v>1.968051535108159E-2</c:v>
                </c:pt>
                <c:pt idx="251">
                  <c:v>9.2503695148324724E-2</c:v>
                </c:pt>
                <c:pt idx="252">
                  <c:v>4.6752378493437642E-2</c:v>
                </c:pt>
                <c:pt idx="253">
                  <c:v>0.15108502609414937</c:v>
                </c:pt>
                <c:pt idx="254">
                  <c:v>0.19159739790386701</c:v>
                </c:pt>
                <c:pt idx="255">
                  <c:v>8.4552179173630684E-2</c:v>
                </c:pt>
                <c:pt idx="256">
                  <c:v>0.10150652874474726</c:v>
                </c:pt>
                <c:pt idx="257">
                  <c:v>-4.6820801363370676E-2</c:v>
                </c:pt>
                <c:pt idx="258">
                  <c:v>3.104458335707428E-2</c:v>
                </c:pt>
                <c:pt idx="259">
                  <c:v>5.3824381347643863E-2</c:v>
                </c:pt>
                <c:pt idx="260">
                  <c:v>0.19145788885502388</c:v>
                </c:pt>
                <c:pt idx="261">
                  <c:v>6.5812656805271194E-2</c:v>
                </c:pt>
                <c:pt idx="262">
                  <c:v>5.4331362037854138E-2</c:v>
                </c:pt>
                <c:pt idx="263">
                  <c:v>4.3498103973968076E-2</c:v>
                </c:pt>
                <c:pt idx="264">
                  <c:v>1.73697054194909E-2</c:v>
                </c:pt>
                <c:pt idx="265">
                  <c:v>4.2564779152502686E-3</c:v>
                </c:pt>
                <c:pt idx="266">
                  <c:v>7.0620542505482345E-2</c:v>
                </c:pt>
                <c:pt idx="267">
                  <c:v>0.19939355346665938</c:v>
                </c:pt>
                <c:pt idx="268">
                  <c:v>9.5492537730412011E-3</c:v>
                </c:pt>
                <c:pt idx="269">
                  <c:v>0.15569839602915092</c:v>
                </c:pt>
                <c:pt idx="270">
                  <c:v>6.54141297373345E-2</c:v>
                </c:pt>
                <c:pt idx="271">
                  <c:v>3.7686005789861532E-2</c:v>
                </c:pt>
                <c:pt idx="272">
                  <c:v>0.11350684644064414</c:v>
                </c:pt>
                <c:pt idx="273">
                  <c:v>0.11736150867911378</c:v>
                </c:pt>
                <c:pt idx="274">
                  <c:v>4.1987712635377185E-2</c:v>
                </c:pt>
                <c:pt idx="275">
                  <c:v>0.13878065745712756</c:v>
                </c:pt>
                <c:pt idx="276">
                  <c:v>4.1519651761674478E-2</c:v>
                </c:pt>
                <c:pt idx="277">
                  <c:v>0.19917117404202792</c:v>
                </c:pt>
                <c:pt idx="278">
                  <c:v>1.7914514170800477E-2</c:v>
                </c:pt>
                <c:pt idx="279">
                  <c:v>0.25962318567980186</c:v>
                </c:pt>
                <c:pt idx="280">
                  <c:v>5.1273788246492959E-2</c:v>
                </c:pt>
                <c:pt idx="281">
                  <c:v>0.15579450216486754</c:v>
                </c:pt>
                <c:pt idx="282">
                  <c:v>0.10352232660783971</c:v>
                </c:pt>
                <c:pt idx="283">
                  <c:v>4.9350713625972042E-2</c:v>
                </c:pt>
                <c:pt idx="284">
                  <c:v>7.4191401752768324E-2</c:v>
                </c:pt>
                <c:pt idx="285">
                  <c:v>0.14443560853058293</c:v>
                </c:pt>
                <c:pt idx="286">
                  <c:v>2.4455749553006739E-3</c:v>
                </c:pt>
                <c:pt idx="287">
                  <c:v>5.505656895711427E-2</c:v>
                </c:pt>
                <c:pt idx="288">
                  <c:v>0.17831959704882364</c:v>
                </c:pt>
                <c:pt idx="289">
                  <c:v>0.23611548068604132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D5C6-4E19-973B-91C5491E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44304"/>
        <c:axId val="459144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'Sheet1 (2)'!$B$1</c15:sqref>
                        </c15:formulaRef>
                      </c:ext>
                    </c:extLst>
                    <c:strCache>
                      <c:ptCount val="1"/>
                      <c:pt idx="0">
                        <c:v>Năm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'Sheet1 (2)'!$B$2:$B$311</c15:sqref>
                        </c15:formulaRef>
                      </c:ext>
                    </c:extLst>
                    <c:numCache>
                      <c:formatCode>0</c:formatCode>
                      <c:ptCount val="290"/>
                      <c:pt idx="0">
                        <c:v>2023</c:v>
                      </c:pt>
                      <c:pt idx="1">
                        <c:v>2023</c:v>
                      </c:pt>
                      <c:pt idx="2">
                        <c:v>2023</c:v>
                      </c:pt>
                      <c:pt idx="3">
                        <c:v>2023</c:v>
                      </c:pt>
                      <c:pt idx="4">
                        <c:v>2023</c:v>
                      </c:pt>
                      <c:pt idx="5">
                        <c:v>2023</c:v>
                      </c:pt>
                      <c:pt idx="6">
                        <c:v>2023</c:v>
                      </c:pt>
                      <c:pt idx="7">
                        <c:v>2023</c:v>
                      </c:pt>
                      <c:pt idx="8">
                        <c:v>2023</c:v>
                      </c:pt>
                      <c:pt idx="9">
                        <c:v>2023</c:v>
                      </c:pt>
                      <c:pt idx="10">
                        <c:v>2023</c:v>
                      </c:pt>
                      <c:pt idx="11">
                        <c:v>2023</c:v>
                      </c:pt>
                      <c:pt idx="12">
                        <c:v>2023</c:v>
                      </c:pt>
                      <c:pt idx="13">
                        <c:v>2023</c:v>
                      </c:pt>
                      <c:pt idx="14">
                        <c:v>2023</c:v>
                      </c:pt>
                      <c:pt idx="15">
                        <c:v>2023</c:v>
                      </c:pt>
                      <c:pt idx="16">
                        <c:v>2023</c:v>
                      </c:pt>
                      <c:pt idx="17">
                        <c:v>2023</c:v>
                      </c:pt>
                      <c:pt idx="18">
                        <c:v>2023</c:v>
                      </c:pt>
                      <c:pt idx="19">
                        <c:v>2023</c:v>
                      </c:pt>
                      <c:pt idx="20">
                        <c:v>2023</c:v>
                      </c:pt>
                      <c:pt idx="21">
                        <c:v>2023</c:v>
                      </c:pt>
                      <c:pt idx="22">
                        <c:v>2023</c:v>
                      </c:pt>
                      <c:pt idx="23">
                        <c:v>2023</c:v>
                      </c:pt>
                      <c:pt idx="24">
                        <c:v>2023</c:v>
                      </c:pt>
                      <c:pt idx="25">
                        <c:v>2023</c:v>
                      </c:pt>
                      <c:pt idx="26">
                        <c:v>2023</c:v>
                      </c:pt>
                      <c:pt idx="27">
                        <c:v>2023</c:v>
                      </c:pt>
                      <c:pt idx="28">
                        <c:v>2023</c:v>
                      </c:pt>
                      <c:pt idx="29">
                        <c:v>2023</c:v>
                      </c:pt>
                      <c:pt idx="30">
                        <c:v>2023</c:v>
                      </c:pt>
                      <c:pt idx="31">
                        <c:v>2023</c:v>
                      </c:pt>
                      <c:pt idx="32">
                        <c:v>2023</c:v>
                      </c:pt>
                      <c:pt idx="33">
                        <c:v>2023</c:v>
                      </c:pt>
                      <c:pt idx="34">
                        <c:v>2023</c:v>
                      </c:pt>
                      <c:pt idx="35">
                        <c:v>2023</c:v>
                      </c:pt>
                      <c:pt idx="36">
                        <c:v>2023</c:v>
                      </c:pt>
                      <c:pt idx="37">
                        <c:v>2023</c:v>
                      </c:pt>
                      <c:pt idx="38">
                        <c:v>2023</c:v>
                      </c:pt>
                      <c:pt idx="39">
                        <c:v>2023</c:v>
                      </c:pt>
                      <c:pt idx="40">
                        <c:v>2023</c:v>
                      </c:pt>
                      <c:pt idx="41">
                        <c:v>2023</c:v>
                      </c:pt>
                      <c:pt idx="42">
                        <c:v>2023</c:v>
                      </c:pt>
                      <c:pt idx="43">
                        <c:v>2023</c:v>
                      </c:pt>
                      <c:pt idx="44">
                        <c:v>2023</c:v>
                      </c:pt>
                      <c:pt idx="45">
                        <c:v>2023</c:v>
                      </c:pt>
                      <c:pt idx="46">
                        <c:v>2023</c:v>
                      </c:pt>
                      <c:pt idx="47">
                        <c:v>2023</c:v>
                      </c:pt>
                      <c:pt idx="48">
                        <c:v>2023</c:v>
                      </c:pt>
                      <c:pt idx="49">
                        <c:v>2023</c:v>
                      </c:pt>
                      <c:pt idx="50">
                        <c:v>2023</c:v>
                      </c:pt>
                      <c:pt idx="51">
                        <c:v>2023</c:v>
                      </c:pt>
                      <c:pt idx="52">
                        <c:v>2023</c:v>
                      </c:pt>
                      <c:pt idx="53">
                        <c:v>2023</c:v>
                      </c:pt>
                      <c:pt idx="54">
                        <c:v>2023</c:v>
                      </c:pt>
                      <c:pt idx="55">
                        <c:v>2023</c:v>
                      </c:pt>
                      <c:pt idx="56">
                        <c:v>2023</c:v>
                      </c:pt>
                      <c:pt idx="57">
                        <c:v>2023</c:v>
                      </c:pt>
                      <c:pt idx="58">
                        <c:v>2022</c:v>
                      </c:pt>
                      <c:pt idx="59">
                        <c:v>2022</c:v>
                      </c:pt>
                      <c:pt idx="60">
                        <c:v>2022</c:v>
                      </c:pt>
                      <c:pt idx="61">
                        <c:v>2022</c:v>
                      </c:pt>
                      <c:pt idx="62">
                        <c:v>2022</c:v>
                      </c:pt>
                      <c:pt idx="63">
                        <c:v>2022</c:v>
                      </c:pt>
                      <c:pt idx="64">
                        <c:v>2022</c:v>
                      </c:pt>
                      <c:pt idx="65">
                        <c:v>2022</c:v>
                      </c:pt>
                      <c:pt idx="66">
                        <c:v>2022</c:v>
                      </c:pt>
                      <c:pt idx="67">
                        <c:v>2022</c:v>
                      </c:pt>
                      <c:pt idx="68">
                        <c:v>2022</c:v>
                      </c:pt>
                      <c:pt idx="69">
                        <c:v>2022</c:v>
                      </c:pt>
                      <c:pt idx="70">
                        <c:v>2022</c:v>
                      </c:pt>
                      <c:pt idx="71">
                        <c:v>2022</c:v>
                      </c:pt>
                      <c:pt idx="72">
                        <c:v>2022</c:v>
                      </c:pt>
                      <c:pt idx="73">
                        <c:v>2022</c:v>
                      </c:pt>
                      <c:pt idx="74">
                        <c:v>2022</c:v>
                      </c:pt>
                      <c:pt idx="75">
                        <c:v>2022</c:v>
                      </c:pt>
                      <c:pt idx="76">
                        <c:v>2022</c:v>
                      </c:pt>
                      <c:pt idx="77">
                        <c:v>2022</c:v>
                      </c:pt>
                      <c:pt idx="78">
                        <c:v>2022</c:v>
                      </c:pt>
                      <c:pt idx="79">
                        <c:v>2022</c:v>
                      </c:pt>
                      <c:pt idx="80">
                        <c:v>2022</c:v>
                      </c:pt>
                      <c:pt idx="81">
                        <c:v>2022</c:v>
                      </c:pt>
                      <c:pt idx="82">
                        <c:v>2022</c:v>
                      </c:pt>
                      <c:pt idx="83">
                        <c:v>2022</c:v>
                      </c:pt>
                      <c:pt idx="84">
                        <c:v>2022</c:v>
                      </c:pt>
                      <c:pt idx="85">
                        <c:v>2022</c:v>
                      </c:pt>
                      <c:pt idx="86">
                        <c:v>2022</c:v>
                      </c:pt>
                      <c:pt idx="87">
                        <c:v>2022</c:v>
                      </c:pt>
                      <c:pt idx="88">
                        <c:v>2022</c:v>
                      </c:pt>
                      <c:pt idx="89">
                        <c:v>2022</c:v>
                      </c:pt>
                      <c:pt idx="90">
                        <c:v>2022</c:v>
                      </c:pt>
                      <c:pt idx="91">
                        <c:v>2022</c:v>
                      </c:pt>
                      <c:pt idx="92">
                        <c:v>2022</c:v>
                      </c:pt>
                      <c:pt idx="93">
                        <c:v>2022</c:v>
                      </c:pt>
                      <c:pt idx="94">
                        <c:v>2022</c:v>
                      </c:pt>
                      <c:pt idx="95">
                        <c:v>2022</c:v>
                      </c:pt>
                      <c:pt idx="96">
                        <c:v>2022</c:v>
                      </c:pt>
                      <c:pt idx="97">
                        <c:v>2022</c:v>
                      </c:pt>
                      <c:pt idx="98">
                        <c:v>2022</c:v>
                      </c:pt>
                      <c:pt idx="99">
                        <c:v>2022</c:v>
                      </c:pt>
                      <c:pt idx="100">
                        <c:v>2022</c:v>
                      </c:pt>
                      <c:pt idx="101">
                        <c:v>2022</c:v>
                      </c:pt>
                      <c:pt idx="102">
                        <c:v>2022</c:v>
                      </c:pt>
                      <c:pt idx="103">
                        <c:v>2022</c:v>
                      </c:pt>
                      <c:pt idx="104">
                        <c:v>2022</c:v>
                      </c:pt>
                      <c:pt idx="105">
                        <c:v>2022</c:v>
                      </c:pt>
                      <c:pt idx="106">
                        <c:v>2022</c:v>
                      </c:pt>
                      <c:pt idx="107">
                        <c:v>2022</c:v>
                      </c:pt>
                      <c:pt idx="108">
                        <c:v>2022</c:v>
                      </c:pt>
                      <c:pt idx="109">
                        <c:v>2022</c:v>
                      </c:pt>
                      <c:pt idx="110">
                        <c:v>2022</c:v>
                      </c:pt>
                      <c:pt idx="111">
                        <c:v>2022</c:v>
                      </c:pt>
                      <c:pt idx="112">
                        <c:v>2022</c:v>
                      </c:pt>
                      <c:pt idx="113">
                        <c:v>2022</c:v>
                      </c:pt>
                      <c:pt idx="114">
                        <c:v>2022</c:v>
                      </c:pt>
                      <c:pt idx="115">
                        <c:v>2022</c:v>
                      </c:pt>
                      <c:pt idx="116">
                        <c:v>2021</c:v>
                      </c:pt>
                      <c:pt idx="117">
                        <c:v>2021</c:v>
                      </c:pt>
                      <c:pt idx="118">
                        <c:v>2021</c:v>
                      </c:pt>
                      <c:pt idx="119">
                        <c:v>2021</c:v>
                      </c:pt>
                      <c:pt idx="120">
                        <c:v>2021</c:v>
                      </c:pt>
                      <c:pt idx="121">
                        <c:v>2021</c:v>
                      </c:pt>
                      <c:pt idx="122">
                        <c:v>2021</c:v>
                      </c:pt>
                      <c:pt idx="123">
                        <c:v>2021</c:v>
                      </c:pt>
                      <c:pt idx="124">
                        <c:v>2021</c:v>
                      </c:pt>
                      <c:pt idx="125">
                        <c:v>2021</c:v>
                      </c:pt>
                      <c:pt idx="126">
                        <c:v>2021</c:v>
                      </c:pt>
                      <c:pt idx="127">
                        <c:v>2021</c:v>
                      </c:pt>
                      <c:pt idx="128">
                        <c:v>2021</c:v>
                      </c:pt>
                      <c:pt idx="129">
                        <c:v>2021</c:v>
                      </c:pt>
                      <c:pt idx="130">
                        <c:v>2021</c:v>
                      </c:pt>
                      <c:pt idx="131">
                        <c:v>2021</c:v>
                      </c:pt>
                      <c:pt idx="132">
                        <c:v>2021</c:v>
                      </c:pt>
                      <c:pt idx="133">
                        <c:v>2021</c:v>
                      </c:pt>
                      <c:pt idx="134">
                        <c:v>2021</c:v>
                      </c:pt>
                      <c:pt idx="135">
                        <c:v>2021</c:v>
                      </c:pt>
                      <c:pt idx="136">
                        <c:v>2021</c:v>
                      </c:pt>
                      <c:pt idx="137">
                        <c:v>2021</c:v>
                      </c:pt>
                      <c:pt idx="138">
                        <c:v>2021</c:v>
                      </c:pt>
                      <c:pt idx="139">
                        <c:v>2021</c:v>
                      </c:pt>
                      <c:pt idx="140">
                        <c:v>2021</c:v>
                      </c:pt>
                      <c:pt idx="141">
                        <c:v>2021</c:v>
                      </c:pt>
                      <c:pt idx="142">
                        <c:v>2021</c:v>
                      </c:pt>
                      <c:pt idx="143">
                        <c:v>2021</c:v>
                      </c:pt>
                      <c:pt idx="144">
                        <c:v>2021</c:v>
                      </c:pt>
                      <c:pt idx="145">
                        <c:v>2021</c:v>
                      </c:pt>
                      <c:pt idx="146">
                        <c:v>2021</c:v>
                      </c:pt>
                      <c:pt idx="147">
                        <c:v>2021</c:v>
                      </c:pt>
                      <c:pt idx="148">
                        <c:v>2021</c:v>
                      </c:pt>
                      <c:pt idx="149">
                        <c:v>2021</c:v>
                      </c:pt>
                      <c:pt idx="150">
                        <c:v>2021</c:v>
                      </c:pt>
                      <c:pt idx="151">
                        <c:v>2021</c:v>
                      </c:pt>
                      <c:pt idx="152">
                        <c:v>2021</c:v>
                      </c:pt>
                      <c:pt idx="153">
                        <c:v>2021</c:v>
                      </c:pt>
                      <c:pt idx="154">
                        <c:v>2021</c:v>
                      </c:pt>
                      <c:pt idx="155">
                        <c:v>2021</c:v>
                      </c:pt>
                      <c:pt idx="156">
                        <c:v>2021</c:v>
                      </c:pt>
                      <c:pt idx="157">
                        <c:v>2021</c:v>
                      </c:pt>
                      <c:pt idx="158">
                        <c:v>2021</c:v>
                      </c:pt>
                      <c:pt idx="159">
                        <c:v>2021</c:v>
                      </c:pt>
                      <c:pt idx="160">
                        <c:v>2021</c:v>
                      </c:pt>
                      <c:pt idx="161">
                        <c:v>2021</c:v>
                      </c:pt>
                      <c:pt idx="162">
                        <c:v>2021</c:v>
                      </c:pt>
                      <c:pt idx="163">
                        <c:v>2021</c:v>
                      </c:pt>
                      <c:pt idx="164">
                        <c:v>2021</c:v>
                      </c:pt>
                      <c:pt idx="165">
                        <c:v>2021</c:v>
                      </c:pt>
                      <c:pt idx="166">
                        <c:v>2021</c:v>
                      </c:pt>
                      <c:pt idx="167">
                        <c:v>2021</c:v>
                      </c:pt>
                      <c:pt idx="168">
                        <c:v>2021</c:v>
                      </c:pt>
                      <c:pt idx="169">
                        <c:v>2021</c:v>
                      </c:pt>
                      <c:pt idx="170">
                        <c:v>2021</c:v>
                      </c:pt>
                      <c:pt idx="171">
                        <c:v>2021</c:v>
                      </c:pt>
                      <c:pt idx="172">
                        <c:v>2021</c:v>
                      </c:pt>
                      <c:pt idx="173">
                        <c:v>2021</c:v>
                      </c:pt>
                      <c:pt idx="174">
                        <c:v>2020</c:v>
                      </c:pt>
                      <c:pt idx="175">
                        <c:v>2020</c:v>
                      </c:pt>
                      <c:pt idx="176">
                        <c:v>2020</c:v>
                      </c:pt>
                      <c:pt idx="177">
                        <c:v>2020</c:v>
                      </c:pt>
                      <c:pt idx="178">
                        <c:v>2020</c:v>
                      </c:pt>
                      <c:pt idx="179">
                        <c:v>2020</c:v>
                      </c:pt>
                      <c:pt idx="180">
                        <c:v>2020</c:v>
                      </c:pt>
                      <c:pt idx="181">
                        <c:v>2020</c:v>
                      </c:pt>
                      <c:pt idx="182">
                        <c:v>2020</c:v>
                      </c:pt>
                      <c:pt idx="183">
                        <c:v>2020</c:v>
                      </c:pt>
                      <c:pt idx="184">
                        <c:v>2020</c:v>
                      </c:pt>
                      <c:pt idx="185">
                        <c:v>2020</c:v>
                      </c:pt>
                      <c:pt idx="186">
                        <c:v>2020</c:v>
                      </c:pt>
                      <c:pt idx="187">
                        <c:v>2020</c:v>
                      </c:pt>
                      <c:pt idx="188">
                        <c:v>2020</c:v>
                      </c:pt>
                      <c:pt idx="189">
                        <c:v>2020</c:v>
                      </c:pt>
                      <c:pt idx="190">
                        <c:v>2020</c:v>
                      </c:pt>
                      <c:pt idx="191">
                        <c:v>2020</c:v>
                      </c:pt>
                      <c:pt idx="192">
                        <c:v>2020</c:v>
                      </c:pt>
                      <c:pt idx="193">
                        <c:v>2020</c:v>
                      </c:pt>
                      <c:pt idx="194">
                        <c:v>2020</c:v>
                      </c:pt>
                      <c:pt idx="195">
                        <c:v>2020</c:v>
                      </c:pt>
                      <c:pt idx="196">
                        <c:v>2020</c:v>
                      </c:pt>
                      <c:pt idx="197">
                        <c:v>2020</c:v>
                      </c:pt>
                      <c:pt idx="198">
                        <c:v>2020</c:v>
                      </c:pt>
                      <c:pt idx="199">
                        <c:v>2020</c:v>
                      </c:pt>
                      <c:pt idx="200">
                        <c:v>2020</c:v>
                      </c:pt>
                      <c:pt idx="201">
                        <c:v>2020</c:v>
                      </c:pt>
                      <c:pt idx="202">
                        <c:v>2020</c:v>
                      </c:pt>
                      <c:pt idx="203">
                        <c:v>2020</c:v>
                      </c:pt>
                      <c:pt idx="204">
                        <c:v>2020</c:v>
                      </c:pt>
                      <c:pt idx="205">
                        <c:v>2020</c:v>
                      </c:pt>
                      <c:pt idx="206">
                        <c:v>2020</c:v>
                      </c:pt>
                      <c:pt idx="207">
                        <c:v>2020</c:v>
                      </c:pt>
                      <c:pt idx="208">
                        <c:v>2020</c:v>
                      </c:pt>
                      <c:pt idx="209">
                        <c:v>2020</c:v>
                      </c:pt>
                      <c:pt idx="210">
                        <c:v>2020</c:v>
                      </c:pt>
                      <c:pt idx="211">
                        <c:v>2020</c:v>
                      </c:pt>
                      <c:pt idx="212">
                        <c:v>2020</c:v>
                      </c:pt>
                      <c:pt idx="213">
                        <c:v>2020</c:v>
                      </c:pt>
                      <c:pt idx="214">
                        <c:v>2020</c:v>
                      </c:pt>
                      <c:pt idx="215">
                        <c:v>2020</c:v>
                      </c:pt>
                      <c:pt idx="216">
                        <c:v>2020</c:v>
                      </c:pt>
                      <c:pt idx="217">
                        <c:v>2020</c:v>
                      </c:pt>
                      <c:pt idx="218">
                        <c:v>2020</c:v>
                      </c:pt>
                      <c:pt idx="219">
                        <c:v>2020</c:v>
                      </c:pt>
                      <c:pt idx="220">
                        <c:v>2020</c:v>
                      </c:pt>
                      <c:pt idx="221">
                        <c:v>2020</c:v>
                      </c:pt>
                      <c:pt idx="222">
                        <c:v>2020</c:v>
                      </c:pt>
                      <c:pt idx="223">
                        <c:v>2020</c:v>
                      </c:pt>
                      <c:pt idx="224">
                        <c:v>2020</c:v>
                      </c:pt>
                      <c:pt idx="225">
                        <c:v>2020</c:v>
                      </c:pt>
                      <c:pt idx="226">
                        <c:v>2020</c:v>
                      </c:pt>
                      <c:pt idx="227">
                        <c:v>2020</c:v>
                      </c:pt>
                      <c:pt idx="228">
                        <c:v>2020</c:v>
                      </c:pt>
                      <c:pt idx="229">
                        <c:v>2020</c:v>
                      </c:pt>
                      <c:pt idx="230">
                        <c:v>2020</c:v>
                      </c:pt>
                      <c:pt idx="231">
                        <c:v>2020</c:v>
                      </c:pt>
                      <c:pt idx="232" formatCode="General">
                        <c:v>2019</c:v>
                      </c:pt>
                      <c:pt idx="233" formatCode="General">
                        <c:v>2019</c:v>
                      </c:pt>
                      <c:pt idx="234" formatCode="General">
                        <c:v>2019</c:v>
                      </c:pt>
                      <c:pt idx="235" formatCode="General">
                        <c:v>2019</c:v>
                      </c:pt>
                      <c:pt idx="236" formatCode="General">
                        <c:v>2019</c:v>
                      </c:pt>
                      <c:pt idx="237" formatCode="General">
                        <c:v>2019</c:v>
                      </c:pt>
                      <c:pt idx="238" formatCode="General">
                        <c:v>2019</c:v>
                      </c:pt>
                      <c:pt idx="239" formatCode="General">
                        <c:v>2019</c:v>
                      </c:pt>
                      <c:pt idx="240" formatCode="General">
                        <c:v>2019</c:v>
                      </c:pt>
                      <c:pt idx="241" formatCode="General">
                        <c:v>2019</c:v>
                      </c:pt>
                      <c:pt idx="242" formatCode="General">
                        <c:v>2019</c:v>
                      </c:pt>
                      <c:pt idx="243" formatCode="General">
                        <c:v>2019</c:v>
                      </c:pt>
                      <c:pt idx="244" formatCode="General">
                        <c:v>2019</c:v>
                      </c:pt>
                      <c:pt idx="245" formatCode="General">
                        <c:v>2019</c:v>
                      </c:pt>
                      <c:pt idx="246" formatCode="General">
                        <c:v>2019</c:v>
                      </c:pt>
                      <c:pt idx="247" formatCode="General">
                        <c:v>2019</c:v>
                      </c:pt>
                      <c:pt idx="248" formatCode="General">
                        <c:v>2019</c:v>
                      </c:pt>
                      <c:pt idx="249" formatCode="General">
                        <c:v>2019</c:v>
                      </c:pt>
                      <c:pt idx="250" formatCode="General">
                        <c:v>2019</c:v>
                      </c:pt>
                      <c:pt idx="251" formatCode="General">
                        <c:v>2019</c:v>
                      </c:pt>
                      <c:pt idx="252" formatCode="General">
                        <c:v>2019</c:v>
                      </c:pt>
                      <c:pt idx="253" formatCode="General">
                        <c:v>2019</c:v>
                      </c:pt>
                      <c:pt idx="254" formatCode="General">
                        <c:v>2019</c:v>
                      </c:pt>
                      <c:pt idx="255" formatCode="General">
                        <c:v>2019</c:v>
                      </c:pt>
                      <c:pt idx="256" formatCode="General">
                        <c:v>2019</c:v>
                      </c:pt>
                      <c:pt idx="257" formatCode="General">
                        <c:v>2019</c:v>
                      </c:pt>
                      <c:pt idx="258" formatCode="General">
                        <c:v>2019</c:v>
                      </c:pt>
                      <c:pt idx="259" formatCode="General">
                        <c:v>2019</c:v>
                      </c:pt>
                      <c:pt idx="260" formatCode="General">
                        <c:v>2019</c:v>
                      </c:pt>
                      <c:pt idx="261" formatCode="General">
                        <c:v>2019</c:v>
                      </c:pt>
                      <c:pt idx="262" formatCode="General">
                        <c:v>2019</c:v>
                      </c:pt>
                      <c:pt idx="263" formatCode="General">
                        <c:v>2019</c:v>
                      </c:pt>
                      <c:pt idx="264" formatCode="General">
                        <c:v>2019</c:v>
                      </c:pt>
                      <c:pt idx="265" formatCode="General">
                        <c:v>2019</c:v>
                      </c:pt>
                      <c:pt idx="266" formatCode="General">
                        <c:v>2019</c:v>
                      </c:pt>
                      <c:pt idx="267" formatCode="General">
                        <c:v>2019</c:v>
                      </c:pt>
                      <c:pt idx="268" formatCode="General">
                        <c:v>2019</c:v>
                      </c:pt>
                      <c:pt idx="269" formatCode="General">
                        <c:v>2019</c:v>
                      </c:pt>
                      <c:pt idx="270" formatCode="General">
                        <c:v>2019</c:v>
                      </c:pt>
                      <c:pt idx="271" formatCode="General">
                        <c:v>2019</c:v>
                      </c:pt>
                      <c:pt idx="272" formatCode="General">
                        <c:v>2019</c:v>
                      </c:pt>
                      <c:pt idx="273" formatCode="General">
                        <c:v>2019</c:v>
                      </c:pt>
                      <c:pt idx="274" formatCode="General">
                        <c:v>2019</c:v>
                      </c:pt>
                      <c:pt idx="275" formatCode="General">
                        <c:v>2019</c:v>
                      </c:pt>
                      <c:pt idx="276" formatCode="General">
                        <c:v>2019</c:v>
                      </c:pt>
                      <c:pt idx="277" formatCode="General">
                        <c:v>2019</c:v>
                      </c:pt>
                      <c:pt idx="278" formatCode="General">
                        <c:v>2019</c:v>
                      </c:pt>
                      <c:pt idx="279" formatCode="General">
                        <c:v>2019</c:v>
                      </c:pt>
                      <c:pt idx="280" formatCode="General">
                        <c:v>2019</c:v>
                      </c:pt>
                      <c:pt idx="281" formatCode="General">
                        <c:v>2019</c:v>
                      </c:pt>
                      <c:pt idx="282" formatCode="General">
                        <c:v>2019</c:v>
                      </c:pt>
                      <c:pt idx="283" formatCode="General">
                        <c:v>2019</c:v>
                      </c:pt>
                      <c:pt idx="284" formatCode="General">
                        <c:v>2019</c:v>
                      </c:pt>
                      <c:pt idx="285" formatCode="General">
                        <c:v>2019</c:v>
                      </c:pt>
                      <c:pt idx="286" formatCode="General">
                        <c:v>2019</c:v>
                      </c:pt>
                      <c:pt idx="287" formatCode="General">
                        <c:v>2019</c:v>
                      </c:pt>
                      <c:pt idx="288" formatCode="General">
                        <c:v>2019</c:v>
                      </c:pt>
                      <c:pt idx="289" formatCode="General">
                        <c:v>2019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C6-4E19-973B-91C5491E876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(2)'!$C$1</c15:sqref>
                        </c15:formulaRef>
                      </c:ext>
                    </c:extLst>
                    <c:strCache>
                      <c:ptCount val="1"/>
                      <c:pt idx="0">
                        <c:v>Lợi nhuận sau thuế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(2)'!$C$2:$C$311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0.70299999999999996</c:v>
                      </c:pt>
                      <c:pt idx="1">
                        <c:v>11.714</c:v>
                      </c:pt>
                      <c:pt idx="2">
                        <c:v>8.2870000000000008</c:v>
                      </c:pt>
                      <c:pt idx="3">
                        <c:v>63.872</c:v>
                      </c:pt>
                      <c:pt idx="4">
                        <c:v>9.8529999999999998</c:v>
                      </c:pt>
                      <c:pt idx="5">
                        <c:v>74.989999999999995</c:v>
                      </c:pt>
                      <c:pt idx="6">
                        <c:v>39.192</c:v>
                      </c:pt>
                      <c:pt idx="7">
                        <c:v>251.69900000000001</c:v>
                      </c:pt>
                      <c:pt idx="8">
                        <c:v>30.324999999999999</c:v>
                      </c:pt>
                      <c:pt idx="9">
                        <c:v>96.162000000000006</c:v>
                      </c:pt>
                      <c:pt idx="10">
                        <c:v>354.685</c:v>
                      </c:pt>
                      <c:pt idx="11">
                        <c:v>10.77</c:v>
                      </c:pt>
                      <c:pt idx="12">
                        <c:v>140.36500000000001</c:v>
                      </c:pt>
                      <c:pt idx="13">
                        <c:v>66.951999999999998</c:v>
                      </c:pt>
                      <c:pt idx="14">
                        <c:v>60.375</c:v>
                      </c:pt>
                      <c:pt idx="15">
                        <c:v>44.046999999999997</c:v>
                      </c:pt>
                      <c:pt idx="16">
                        <c:v>75.313999999999993</c:v>
                      </c:pt>
                      <c:pt idx="17">
                        <c:v>25.007000000000001</c:v>
                      </c:pt>
                      <c:pt idx="18">
                        <c:v>-33.414000000000001</c:v>
                      </c:pt>
                      <c:pt idx="19">
                        <c:v>246.334</c:v>
                      </c:pt>
                      <c:pt idx="20">
                        <c:v>18.641999999999999</c:v>
                      </c:pt>
                      <c:pt idx="21">
                        <c:v>302.33600000000001</c:v>
                      </c:pt>
                      <c:pt idx="22">
                        <c:v>36.692</c:v>
                      </c:pt>
                      <c:pt idx="23">
                        <c:v>28.881</c:v>
                      </c:pt>
                      <c:pt idx="24">
                        <c:v>-51.945</c:v>
                      </c:pt>
                      <c:pt idx="25">
                        <c:v>1781.6859999999999</c:v>
                      </c:pt>
                      <c:pt idx="26">
                        <c:v>37.055999999999997</c:v>
                      </c:pt>
                      <c:pt idx="27">
                        <c:v>351.851</c:v>
                      </c:pt>
                      <c:pt idx="28">
                        <c:v>12.061999999999999</c:v>
                      </c:pt>
                      <c:pt idx="29">
                        <c:v>169.87299999999999</c:v>
                      </c:pt>
                      <c:pt idx="30">
                        <c:v>38.323</c:v>
                      </c:pt>
                      <c:pt idx="31">
                        <c:v>73.353999999999999</c:v>
                      </c:pt>
                      <c:pt idx="32">
                        <c:v>135.184</c:v>
                      </c:pt>
                      <c:pt idx="33">
                        <c:v>9.8149999999999995</c:v>
                      </c:pt>
                      <c:pt idx="34">
                        <c:v>28.617999999999999</c:v>
                      </c:pt>
                      <c:pt idx="35">
                        <c:v>190.041</c:v>
                      </c:pt>
                      <c:pt idx="36">
                        <c:v>79.736000000000004</c:v>
                      </c:pt>
                      <c:pt idx="37">
                        <c:v>374.41699999999997</c:v>
                      </c:pt>
                      <c:pt idx="38">
                        <c:v>1869.9269999999999</c:v>
                      </c:pt>
                      <c:pt idx="39">
                        <c:v>109.929</c:v>
                      </c:pt>
                      <c:pt idx="40">
                        <c:v>-20.399999999999999</c:v>
                      </c:pt>
                      <c:pt idx="41">
                        <c:v>230.12899999999999</c:v>
                      </c:pt>
                      <c:pt idx="42">
                        <c:v>817.11699999999996</c:v>
                      </c:pt>
                      <c:pt idx="43">
                        <c:v>1971.0989999999999</c:v>
                      </c:pt>
                      <c:pt idx="44">
                        <c:v>584.27200000000005</c:v>
                      </c:pt>
                      <c:pt idx="45">
                        <c:v>4255.0529999999999</c:v>
                      </c:pt>
                      <c:pt idx="46">
                        <c:v>610.173</c:v>
                      </c:pt>
                      <c:pt idx="47">
                        <c:v>154.27699999999999</c:v>
                      </c:pt>
                      <c:pt idx="48">
                        <c:v>29.401</c:v>
                      </c:pt>
                      <c:pt idx="49">
                        <c:v>54.706000000000003</c:v>
                      </c:pt>
                      <c:pt idx="50">
                        <c:v>87.799000000000007</c:v>
                      </c:pt>
                      <c:pt idx="51">
                        <c:v>44.432000000000002</c:v>
                      </c:pt>
                      <c:pt idx="52">
                        <c:v>133.804</c:v>
                      </c:pt>
                      <c:pt idx="53">
                        <c:v>356.17399999999998</c:v>
                      </c:pt>
                      <c:pt idx="54">
                        <c:v>2.395</c:v>
                      </c:pt>
                      <c:pt idx="55">
                        <c:v>12.686</c:v>
                      </c:pt>
                      <c:pt idx="56">
                        <c:v>973.75699999999995</c:v>
                      </c:pt>
                      <c:pt idx="57">
                        <c:v>9019.3539999999994</c:v>
                      </c:pt>
                      <c:pt idx="58">
                        <c:v>16.899999999999999</c:v>
                      </c:pt>
                      <c:pt idx="59">
                        <c:v>89.028000000000006</c:v>
                      </c:pt>
                      <c:pt idx="60">
                        <c:v>22.54</c:v>
                      </c:pt>
                      <c:pt idx="61">
                        <c:v>64.289000000000001</c:v>
                      </c:pt>
                      <c:pt idx="62">
                        <c:v>117.94799999999999</c:v>
                      </c:pt>
                      <c:pt idx="63">
                        <c:v>74.944000000000003</c:v>
                      </c:pt>
                      <c:pt idx="64">
                        <c:v>673.745</c:v>
                      </c:pt>
                      <c:pt idx="65">
                        <c:v>962.58500000000004</c:v>
                      </c:pt>
                      <c:pt idx="66">
                        <c:v>287.779</c:v>
                      </c:pt>
                      <c:pt idx="67">
                        <c:v>192.917</c:v>
                      </c:pt>
                      <c:pt idx="68">
                        <c:v>502.76900000000001</c:v>
                      </c:pt>
                      <c:pt idx="69">
                        <c:v>26.34</c:v>
                      </c:pt>
                      <c:pt idx="70">
                        <c:v>140.44999999999999</c:v>
                      </c:pt>
                      <c:pt idx="71">
                        <c:v>90.879000000000005</c:v>
                      </c:pt>
                      <c:pt idx="72">
                        <c:v>79.185000000000002</c:v>
                      </c:pt>
                      <c:pt idx="73">
                        <c:v>117.53</c:v>
                      </c:pt>
                      <c:pt idx="74">
                        <c:v>80.099000000000004</c:v>
                      </c:pt>
                      <c:pt idx="75">
                        <c:v>5.1950000000000003</c:v>
                      </c:pt>
                      <c:pt idx="76">
                        <c:v>14.855</c:v>
                      </c:pt>
                      <c:pt idx="77">
                        <c:v>307.185</c:v>
                      </c:pt>
                      <c:pt idx="78">
                        <c:v>91.828999999999994</c:v>
                      </c:pt>
                      <c:pt idx="79">
                        <c:v>321.01799999999997</c:v>
                      </c:pt>
                      <c:pt idx="80">
                        <c:v>69.27</c:v>
                      </c:pt>
                      <c:pt idx="81">
                        <c:v>361.39299999999997</c:v>
                      </c:pt>
                      <c:pt idx="82">
                        <c:v>-84.701999999999998</c:v>
                      </c:pt>
                      <c:pt idx="83">
                        <c:v>1124.675</c:v>
                      </c:pt>
                      <c:pt idx="84">
                        <c:v>239.733</c:v>
                      </c:pt>
                      <c:pt idx="85">
                        <c:v>224.613</c:v>
                      </c:pt>
                      <c:pt idx="86">
                        <c:v>15.728</c:v>
                      </c:pt>
                      <c:pt idx="87">
                        <c:v>268.07</c:v>
                      </c:pt>
                      <c:pt idx="88">
                        <c:v>37.002000000000002</c:v>
                      </c:pt>
                      <c:pt idx="89">
                        <c:v>563.14599999999996</c:v>
                      </c:pt>
                      <c:pt idx="90">
                        <c:v>374.65600000000001</c:v>
                      </c:pt>
                      <c:pt idx="91">
                        <c:v>16.847000000000001</c:v>
                      </c:pt>
                      <c:pt idx="92">
                        <c:v>25.742000000000001</c:v>
                      </c:pt>
                      <c:pt idx="93">
                        <c:v>213.2</c:v>
                      </c:pt>
                      <c:pt idx="94">
                        <c:v>38.643000000000001</c:v>
                      </c:pt>
                      <c:pt idx="95">
                        <c:v>346.54899999999998</c:v>
                      </c:pt>
                      <c:pt idx="96">
                        <c:v>4754.384</c:v>
                      </c:pt>
                      <c:pt idx="97">
                        <c:v>79.841999999999999</c:v>
                      </c:pt>
                      <c:pt idx="98">
                        <c:v>63.438000000000002</c:v>
                      </c:pt>
                      <c:pt idx="99">
                        <c:v>226.886</c:v>
                      </c:pt>
                      <c:pt idx="100">
                        <c:v>794.30200000000002</c:v>
                      </c:pt>
                      <c:pt idx="101">
                        <c:v>1810.692</c:v>
                      </c:pt>
                      <c:pt idx="102">
                        <c:v>485.827</c:v>
                      </c:pt>
                      <c:pt idx="103">
                        <c:v>5499.7979999999998</c:v>
                      </c:pt>
                      <c:pt idx="104">
                        <c:v>817.62300000000005</c:v>
                      </c:pt>
                      <c:pt idx="105">
                        <c:v>184.73500000000001</c:v>
                      </c:pt>
                      <c:pt idx="106">
                        <c:v>27.741</c:v>
                      </c:pt>
                      <c:pt idx="107">
                        <c:v>50.664999999999999</c:v>
                      </c:pt>
                      <c:pt idx="108">
                        <c:v>242.274</c:v>
                      </c:pt>
                      <c:pt idx="109">
                        <c:v>586.04300000000001</c:v>
                      </c:pt>
                      <c:pt idx="110">
                        <c:v>281.06900000000002</c:v>
                      </c:pt>
                      <c:pt idx="111">
                        <c:v>400.93700000000001</c:v>
                      </c:pt>
                      <c:pt idx="112">
                        <c:v>48.411999999999999</c:v>
                      </c:pt>
                      <c:pt idx="113">
                        <c:v>55.225000000000001</c:v>
                      </c:pt>
                      <c:pt idx="114">
                        <c:v>2012.92</c:v>
                      </c:pt>
                      <c:pt idx="115">
                        <c:v>8577.5750000000007</c:v>
                      </c:pt>
                      <c:pt idx="116">
                        <c:v>0.22600000000000001</c:v>
                      </c:pt>
                      <c:pt idx="117">
                        <c:v>28.814</c:v>
                      </c:pt>
                      <c:pt idx="118">
                        <c:v>65.352000000000004</c:v>
                      </c:pt>
                      <c:pt idx="119">
                        <c:v>33.792999999999999</c:v>
                      </c:pt>
                      <c:pt idx="120">
                        <c:v>42.088000000000001</c:v>
                      </c:pt>
                      <c:pt idx="121">
                        <c:v>100.486</c:v>
                      </c:pt>
                      <c:pt idx="122">
                        <c:v>128.739</c:v>
                      </c:pt>
                      <c:pt idx="123">
                        <c:v>703.88800000000003</c:v>
                      </c:pt>
                      <c:pt idx="124">
                        <c:v>321.791</c:v>
                      </c:pt>
                      <c:pt idx="125">
                        <c:v>22.4</c:v>
                      </c:pt>
                      <c:pt idx="126">
                        <c:v>324.173</c:v>
                      </c:pt>
                      <c:pt idx="127">
                        <c:v>23.472000000000001</c:v>
                      </c:pt>
                      <c:pt idx="128">
                        <c:v>135.42099999999999</c:v>
                      </c:pt>
                      <c:pt idx="129">
                        <c:v>83.524000000000001</c:v>
                      </c:pt>
                      <c:pt idx="130">
                        <c:v>42.015000000000001</c:v>
                      </c:pt>
                      <c:pt idx="131">
                        <c:v>51.832999999999998</c:v>
                      </c:pt>
                      <c:pt idx="132">
                        <c:v>34.659999999999997</c:v>
                      </c:pt>
                      <c:pt idx="133">
                        <c:v>829.55799999999999</c:v>
                      </c:pt>
                      <c:pt idx="134">
                        <c:v>22.759</c:v>
                      </c:pt>
                      <c:pt idx="135">
                        <c:v>290.82799999999997</c:v>
                      </c:pt>
                      <c:pt idx="136">
                        <c:v>59.720999999999997</c:v>
                      </c:pt>
                      <c:pt idx="137">
                        <c:v>287.089</c:v>
                      </c:pt>
                      <c:pt idx="138">
                        <c:v>60.786000000000001</c:v>
                      </c:pt>
                      <c:pt idx="139">
                        <c:v>330.63299999999998</c:v>
                      </c:pt>
                      <c:pt idx="140">
                        <c:v>43.591000000000001</c:v>
                      </c:pt>
                      <c:pt idx="141">
                        <c:v>127.60599999999999</c:v>
                      </c:pt>
                      <c:pt idx="142">
                        <c:v>159.84800000000001</c:v>
                      </c:pt>
                      <c:pt idx="143">
                        <c:v>236.4</c:v>
                      </c:pt>
                      <c:pt idx="144">
                        <c:v>16.225000000000001</c:v>
                      </c:pt>
                      <c:pt idx="145">
                        <c:v>201.452</c:v>
                      </c:pt>
                      <c:pt idx="146">
                        <c:v>27.021999999999998</c:v>
                      </c:pt>
                      <c:pt idx="147">
                        <c:v>143.298</c:v>
                      </c:pt>
                      <c:pt idx="148">
                        <c:v>653.29100000000005</c:v>
                      </c:pt>
                      <c:pt idx="149">
                        <c:v>18.071999999999999</c:v>
                      </c:pt>
                      <c:pt idx="150">
                        <c:v>39.631</c:v>
                      </c:pt>
                      <c:pt idx="151">
                        <c:v>167.148</c:v>
                      </c:pt>
                      <c:pt idx="152">
                        <c:v>33.152000000000001</c:v>
                      </c:pt>
                      <c:pt idx="153">
                        <c:v>319.11200000000002</c:v>
                      </c:pt>
                      <c:pt idx="154">
                        <c:v>10101.380999999999</c:v>
                      </c:pt>
                      <c:pt idx="155">
                        <c:v>77.605000000000004</c:v>
                      </c:pt>
                      <c:pt idx="156">
                        <c:v>54.35</c:v>
                      </c:pt>
                      <c:pt idx="157">
                        <c:v>225.631</c:v>
                      </c:pt>
                      <c:pt idx="158">
                        <c:v>510.755</c:v>
                      </c:pt>
                      <c:pt idx="159">
                        <c:v>1029.0419999999999</c:v>
                      </c:pt>
                      <c:pt idx="160">
                        <c:v>398.24200000000002</c:v>
                      </c:pt>
                      <c:pt idx="161">
                        <c:v>3929.306</c:v>
                      </c:pt>
                      <c:pt idx="162">
                        <c:v>440.75</c:v>
                      </c:pt>
                      <c:pt idx="163">
                        <c:v>158.68899999999999</c:v>
                      </c:pt>
                      <c:pt idx="164">
                        <c:v>40.045000000000002</c:v>
                      </c:pt>
                      <c:pt idx="165">
                        <c:v>54.447000000000003</c:v>
                      </c:pt>
                      <c:pt idx="166">
                        <c:v>278.48</c:v>
                      </c:pt>
                      <c:pt idx="167">
                        <c:v>211.32900000000001</c:v>
                      </c:pt>
                      <c:pt idx="168">
                        <c:v>143.65899999999999</c:v>
                      </c:pt>
                      <c:pt idx="169">
                        <c:v>276.70699999999999</c:v>
                      </c:pt>
                      <c:pt idx="170">
                        <c:v>41.365000000000002</c:v>
                      </c:pt>
                      <c:pt idx="171">
                        <c:v>87.850999999999999</c:v>
                      </c:pt>
                      <c:pt idx="172">
                        <c:v>1106.5540000000001</c:v>
                      </c:pt>
                      <c:pt idx="173">
                        <c:v>10632.536</c:v>
                      </c:pt>
                      <c:pt idx="174">
                        <c:v>-11.967000000000001</c:v>
                      </c:pt>
                      <c:pt idx="175">
                        <c:v>14.038</c:v>
                      </c:pt>
                      <c:pt idx="176">
                        <c:v>47.91</c:v>
                      </c:pt>
                      <c:pt idx="177">
                        <c:v>14.288</c:v>
                      </c:pt>
                      <c:pt idx="178">
                        <c:v>28.183</c:v>
                      </c:pt>
                      <c:pt idx="179">
                        <c:v>24.442</c:v>
                      </c:pt>
                      <c:pt idx="180">
                        <c:v>202.17</c:v>
                      </c:pt>
                      <c:pt idx="181">
                        <c:v>572.35699999999997</c:v>
                      </c:pt>
                      <c:pt idx="182">
                        <c:v>45.826999999999998</c:v>
                      </c:pt>
                      <c:pt idx="183">
                        <c:v>96.616</c:v>
                      </c:pt>
                      <c:pt idx="184">
                        <c:v>660.58900000000006</c:v>
                      </c:pt>
                      <c:pt idx="185">
                        <c:v>20.152999999999999</c:v>
                      </c:pt>
                      <c:pt idx="186">
                        <c:v>128.94800000000001</c:v>
                      </c:pt>
                      <c:pt idx="187">
                        <c:v>60.145000000000003</c:v>
                      </c:pt>
                      <c:pt idx="188">
                        <c:v>90.661000000000001</c:v>
                      </c:pt>
                      <c:pt idx="189">
                        <c:v>1.43</c:v>
                      </c:pt>
                      <c:pt idx="190">
                        <c:v>51.920999999999999</c:v>
                      </c:pt>
                      <c:pt idx="191">
                        <c:v>1400.296</c:v>
                      </c:pt>
                      <c:pt idx="192">
                        <c:v>18.263999999999999</c:v>
                      </c:pt>
                      <c:pt idx="193">
                        <c:v>256.31700000000001</c:v>
                      </c:pt>
                      <c:pt idx="194">
                        <c:v>42.057000000000002</c:v>
                      </c:pt>
                      <c:pt idx="195">
                        <c:v>225.96299999999999</c:v>
                      </c:pt>
                      <c:pt idx="196">
                        <c:v>79.977000000000004</c:v>
                      </c:pt>
                      <c:pt idx="197">
                        <c:v>309.27699999999999</c:v>
                      </c:pt>
                      <c:pt idx="198">
                        <c:v>46.414000000000001</c:v>
                      </c:pt>
                      <c:pt idx="199">
                        <c:v>-2383.34</c:v>
                      </c:pt>
                      <c:pt idx="200">
                        <c:v>125.352</c:v>
                      </c:pt>
                      <c:pt idx="201">
                        <c:v>286.38799999999998</c:v>
                      </c:pt>
                      <c:pt idx="202">
                        <c:v>12.005000000000001</c:v>
                      </c:pt>
                      <c:pt idx="203">
                        <c:v>62.238999999999997</c:v>
                      </c:pt>
                      <c:pt idx="204">
                        <c:v>23.123999999999999</c:v>
                      </c:pt>
                      <c:pt idx="205">
                        <c:v>107.133</c:v>
                      </c:pt>
                      <c:pt idx="206">
                        <c:v>330.238</c:v>
                      </c:pt>
                      <c:pt idx="207">
                        <c:v>0.182</c:v>
                      </c:pt>
                      <c:pt idx="208">
                        <c:v>24.253</c:v>
                      </c:pt>
                      <c:pt idx="209">
                        <c:v>230.108</c:v>
                      </c:pt>
                      <c:pt idx="210">
                        <c:v>18.042000000000002</c:v>
                      </c:pt>
                      <c:pt idx="211">
                        <c:v>280.73500000000001</c:v>
                      </c:pt>
                      <c:pt idx="212">
                        <c:v>1395.0129999999999</c:v>
                      </c:pt>
                      <c:pt idx="213">
                        <c:v>61.314999999999998</c:v>
                      </c:pt>
                      <c:pt idx="214">
                        <c:v>72.956000000000003</c:v>
                      </c:pt>
                      <c:pt idx="215">
                        <c:v>194.815</c:v>
                      </c:pt>
                      <c:pt idx="216">
                        <c:v>333.22300000000001</c:v>
                      </c:pt>
                      <c:pt idx="217">
                        <c:v>1069.31</c:v>
                      </c:pt>
                      <c:pt idx="218">
                        <c:v>336.08199999999999</c:v>
                      </c:pt>
                      <c:pt idx="219">
                        <c:v>4936.8459999999995</c:v>
                      </c:pt>
                      <c:pt idx="220">
                        <c:v>563.87800000000004</c:v>
                      </c:pt>
                      <c:pt idx="221">
                        <c:v>158.81299999999999</c:v>
                      </c:pt>
                      <c:pt idx="222">
                        <c:v>73.516000000000005</c:v>
                      </c:pt>
                      <c:pt idx="223">
                        <c:v>40.08</c:v>
                      </c:pt>
                      <c:pt idx="224">
                        <c:v>144.36099999999999</c:v>
                      </c:pt>
                      <c:pt idx="225">
                        <c:v>224.88300000000001</c:v>
                      </c:pt>
                      <c:pt idx="226">
                        <c:v>276.22800000000001</c:v>
                      </c:pt>
                      <c:pt idx="227">
                        <c:v>239.845</c:v>
                      </c:pt>
                      <c:pt idx="228">
                        <c:v>1.8089999999999999</c:v>
                      </c:pt>
                      <c:pt idx="229">
                        <c:v>75.527000000000001</c:v>
                      </c:pt>
                      <c:pt idx="230">
                        <c:v>719.29899999999998</c:v>
                      </c:pt>
                      <c:pt idx="231">
                        <c:v>11235.732</c:v>
                      </c:pt>
                      <c:pt idx="232" formatCode="General">
                        <c:v>8.3089999999999993</c:v>
                      </c:pt>
                      <c:pt idx="233" formatCode="General">
                        <c:v>21.146999999999998</c:v>
                      </c:pt>
                      <c:pt idx="234" formatCode="General">
                        <c:v>33.021000000000001</c:v>
                      </c:pt>
                      <c:pt idx="235" formatCode="General">
                        <c:v>48.695</c:v>
                      </c:pt>
                      <c:pt idx="236" formatCode="General">
                        <c:v>141.71299999999999</c:v>
                      </c:pt>
                      <c:pt idx="237" formatCode="General">
                        <c:v>8.282</c:v>
                      </c:pt>
                      <c:pt idx="238" formatCode="General">
                        <c:v>704.04399999999998</c:v>
                      </c:pt>
                      <c:pt idx="239" formatCode="General">
                        <c:v>823.34799999999996</c:v>
                      </c:pt>
                      <c:pt idx="240" formatCode="General">
                        <c:v>12.96</c:v>
                      </c:pt>
                      <c:pt idx="241" formatCode="General">
                        <c:v>95.433999999999997</c:v>
                      </c:pt>
                      <c:pt idx="242" formatCode="General">
                        <c:v>523.12800000000004</c:v>
                      </c:pt>
                      <c:pt idx="243" formatCode="General">
                        <c:v>19.815999999999999</c:v>
                      </c:pt>
                      <c:pt idx="244" formatCode="General">
                        <c:v>140.547</c:v>
                      </c:pt>
                      <c:pt idx="245" formatCode="General">
                        <c:v>77.75</c:v>
                      </c:pt>
                      <c:pt idx="246" formatCode="General">
                        <c:v>52.45</c:v>
                      </c:pt>
                      <c:pt idx="247" formatCode="General">
                        <c:v>43.930999999999997</c:v>
                      </c:pt>
                      <c:pt idx="248" formatCode="General">
                        <c:v>62.271999999999998</c:v>
                      </c:pt>
                      <c:pt idx="249" formatCode="General">
                        <c:v>305.13</c:v>
                      </c:pt>
                      <c:pt idx="250" formatCode="General">
                        <c:v>29.561</c:v>
                      </c:pt>
                      <c:pt idx="251" formatCode="General">
                        <c:v>250.52600000000001</c:v>
                      </c:pt>
                      <c:pt idx="252" formatCode="General">
                        <c:v>71.888000000000005</c:v>
                      </c:pt>
                      <c:pt idx="253" formatCode="General">
                        <c:v>229.77600000000001</c:v>
                      </c:pt>
                      <c:pt idx="254" formatCode="General">
                        <c:v>74.221000000000004</c:v>
                      </c:pt>
                      <c:pt idx="255" formatCode="General">
                        <c:v>160.518</c:v>
                      </c:pt>
                      <c:pt idx="256" formatCode="General">
                        <c:v>104.449</c:v>
                      </c:pt>
                      <c:pt idx="257" formatCode="General">
                        <c:v>-1808.8040000000001</c:v>
                      </c:pt>
                      <c:pt idx="258" formatCode="General">
                        <c:v>50.670999999999999</c:v>
                      </c:pt>
                      <c:pt idx="259" formatCode="General">
                        <c:v>195.26</c:v>
                      </c:pt>
                      <c:pt idx="260" formatCode="General">
                        <c:v>47.113</c:v>
                      </c:pt>
                      <c:pt idx="261" formatCode="General">
                        <c:v>116.65300000000001</c:v>
                      </c:pt>
                      <c:pt idx="262" formatCode="General">
                        <c:v>20.625</c:v>
                      </c:pt>
                      <c:pt idx="263" formatCode="General">
                        <c:v>325.95600000000002</c:v>
                      </c:pt>
                      <c:pt idx="264" formatCode="General">
                        <c:v>207.25800000000001</c:v>
                      </c:pt>
                      <c:pt idx="265" formatCode="General">
                        <c:v>4.2359999999999998</c:v>
                      </c:pt>
                      <c:pt idx="266" formatCode="General">
                        <c:v>17.873000000000001</c:v>
                      </c:pt>
                      <c:pt idx="267" formatCode="General">
                        <c:v>178.79599999999999</c:v>
                      </c:pt>
                      <c:pt idx="268" formatCode="General">
                        <c:v>21.192</c:v>
                      </c:pt>
                      <c:pt idx="269" formatCode="General">
                        <c:v>166.94200000000001</c:v>
                      </c:pt>
                      <c:pt idx="270" formatCode="General">
                        <c:v>6364.6149999999998</c:v>
                      </c:pt>
                      <c:pt idx="271" formatCode="General">
                        <c:v>47.918999999999997</c:v>
                      </c:pt>
                      <c:pt idx="272" formatCode="General">
                        <c:v>44.356999999999999</c:v>
                      </c:pt>
                      <c:pt idx="273" formatCode="General">
                        <c:v>207.459</c:v>
                      </c:pt>
                      <c:pt idx="274" formatCode="General">
                        <c:v>451.97899999999998</c:v>
                      </c:pt>
                      <c:pt idx="275" formatCode="General">
                        <c:v>1193.925</c:v>
                      </c:pt>
                      <c:pt idx="276" formatCode="General">
                        <c:v>125.17</c:v>
                      </c:pt>
                      <c:pt idx="277" formatCode="General">
                        <c:v>5370.1480000000001</c:v>
                      </c:pt>
                      <c:pt idx="278" formatCode="General">
                        <c:v>308.726</c:v>
                      </c:pt>
                      <c:pt idx="279" formatCode="General">
                        <c:v>207.04300000000001</c:v>
                      </c:pt>
                      <c:pt idx="280" formatCode="General">
                        <c:v>41.368000000000002</c:v>
                      </c:pt>
                      <c:pt idx="281" formatCode="General">
                        <c:v>73.835999999999999</c:v>
                      </c:pt>
                      <c:pt idx="282" formatCode="General">
                        <c:v>214.423</c:v>
                      </c:pt>
                      <c:pt idx="283" formatCode="General">
                        <c:v>233.33199999999999</c:v>
                      </c:pt>
                      <c:pt idx="284" formatCode="General">
                        <c:v>216.84700000000001</c:v>
                      </c:pt>
                      <c:pt idx="285" formatCode="General">
                        <c:v>349.08699999999999</c:v>
                      </c:pt>
                      <c:pt idx="286" formatCode="General">
                        <c:v>3.89</c:v>
                      </c:pt>
                      <c:pt idx="287" formatCode="General">
                        <c:v>89.808000000000007</c:v>
                      </c:pt>
                      <c:pt idx="288" formatCode="General">
                        <c:v>1179.123</c:v>
                      </c:pt>
                      <c:pt idx="289" formatCode="General">
                        <c:v>10554.332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5C6-4E19-973B-91C5491E876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(2)'!$D$1</c15:sqref>
                        </c15:formulaRef>
                      </c:ext>
                    </c:extLst>
                    <c:strCache>
                      <c:ptCount val="1"/>
                      <c:pt idx="0">
                        <c:v>Tổng tài sản ngắn hạn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(2)'!$D$2:$D$311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173.749</c:v>
                      </c:pt>
                      <c:pt idx="1">
                        <c:v>468.81</c:v>
                      </c:pt>
                      <c:pt idx="2">
                        <c:v>1121.6569999999999</c:v>
                      </c:pt>
                      <c:pt idx="3">
                        <c:v>337.58800000000002</c:v>
                      </c:pt>
                      <c:pt idx="4">
                        <c:v>1482.105</c:v>
                      </c:pt>
                      <c:pt idx="5">
                        <c:v>1945.3869999999999</c:v>
                      </c:pt>
                      <c:pt idx="6">
                        <c:v>2950.6039999999998</c:v>
                      </c:pt>
                      <c:pt idx="7">
                        <c:v>11090.13</c:v>
                      </c:pt>
                      <c:pt idx="8">
                        <c:v>3148.0120000000002</c:v>
                      </c:pt>
                      <c:pt idx="9">
                        <c:v>1242.22</c:v>
                      </c:pt>
                      <c:pt idx="10">
                        <c:v>5135.8710000000001</c:v>
                      </c:pt>
                      <c:pt idx="11">
                        <c:v>667.91499999999996</c:v>
                      </c:pt>
                      <c:pt idx="12">
                        <c:v>1452.789</c:v>
                      </c:pt>
                      <c:pt idx="13">
                        <c:v>2104.402</c:v>
                      </c:pt>
                      <c:pt idx="14">
                        <c:v>2862.5540000000001</c:v>
                      </c:pt>
                      <c:pt idx="15">
                        <c:v>2591.9929999999999</c:v>
                      </c:pt>
                      <c:pt idx="16">
                        <c:v>1131.857</c:v>
                      </c:pt>
                      <c:pt idx="17">
                        <c:v>7101.241</c:v>
                      </c:pt>
                      <c:pt idx="18">
                        <c:v>998.36400000000003</c:v>
                      </c:pt>
                      <c:pt idx="19">
                        <c:v>2291.8829999999998</c:v>
                      </c:pt>
                      <c:pt idx="20">
                        <c:v>770.38499999999999</c:v>
                      </c:pt>
                      <c:pt idx="21">
                        <c:v>2127.0509999999999</c:v>
                      </c:pt>
                      <c:pt idx="22">
                        <c:v>271.94400000000002</c:v>
                      </c:pt>
                      <c:pt idx="23">
                        <c:v>2873.1819999999998</c:v>
                      </c:pt>
                      <c:pt idx="24">
                        <c:v>204.68799999999999</c:v>
                      </c:pt>
                      <c:pt idx="25">
                        <c:v>8768.5259999999998</c:v>
                      </c:pt>
                      <c:pt idx="26">
                        <c:v>1071.7650000000001</c:v>
                      </c:pt>
                      <c:pt idx="27">
                        <c:v>1036.383</c:v>
                      </c:pt>
                      <c:pt idx="28">
                        <c:v>266.16300000000001</c:v>
                      </c:pt>
                      <c:pt idx="29">
                        <c:v>1761.376</c:v>
                      </c:pt>
                      <c:pt idx="30">
                        <c:v>387.89100000000002</c:v>
                      </c:pt>
                      <c:pt idx="31">
                        <c:v>5537.2860000000001</c:v>
                      </c:pt>
                      <c:pt idx="32">
                        <c:v>6964.1360000000004</c:v>
                      </c:pt>
                      <c:pt idx="33">
                        <c:v>663.04700000000003</c:v>
                      </c:pt>
                      <c:pt idx="34">
                        <c:v>230.00299999999999</c:v>
                      </c:pt>
                      <c:pt idx="35">
                        <c:v>824.47799999999995</c:v>
                      </c:pt>
                      <c:pt idx="36">
                        <c:v>1293.6210000000001</c:v>
                      </c:pt>
                      <c:pt idx="37">
                        <c:v>2077.665</c:v>
                      </c:pt>
                      <c:pt idx="38">
                        <c:v>43763.476999999999</c:v>
                      </c:pt>
                      <c:pt idx="39">
                        <c:v>1016.6420000000001</c:v>
                      </c:pt>
                      <c:pt idx="40">
                        <c:v>174.23699999999999</c:v>
                      </c:pt>
                      <c:pt idx="41">
                        <c:v>1366.0160000000001</c:v>
                      </c:pt>
                      <c:pt idx="42">
                        <c:v>14280.779</c:v>
                      </c:pt>
                      <c:pt idx="43">
                        <c:v>12958.118</c:v>
                      </c:pt>
                      <c:pt idx="44">
                        <c:v>7310.9</c:v>
                      </c:pt>
                      <c:pt idx="45">
                        <c:v>26553.405999999999</c:v>
                      </c:pt>
                      <c:pt idx="46">
                        <c:v>24204.387999999999</c:v>
                      </c:pt>
                      <c:pt idx="47">
                        <c:v>638.19600000000003</c:v>
                      </c:pt>
                      <c:pt idx="48">
                        <c:v>631.10299999999995</c:v>
                      </c:pt>
                      <c:pt idx="49">
                        <c:v>330.17099999999999</c:v>
                      </c:pt>
                      <c:pt idx="50">
                        <c:v>1395.9359999999999</c:v>
                      </c:pt>
                      <c:pt idx="51">
                        <c:v>3968.4969999999998</c:v>
                      </c:pt>
                      <c:pt idx="52">
                        <c:v>2130.7539999999999</c:v>
                      </c:pt>
                      <c:pt idx="53">
                        <c:v>2074.4549999999999</c:v>
                      </c:pt>
                      <c:pt idx="54">
                        <c:v>1637.454</c:v>
                      </c:pt>
                      <c:pt idx="55">
                        <c:v>974.26400000000001</c:v>
                      </c:pt>
                      <c:pt idx="56">
                        <c:v>7888.1570000000002</c:v>
                      </c:pt>
                      <c:pt idx="57">
                        <c:v>35935.879999999997</c:v>
                      </c:pt>
                      <c:pt idx="58">
                        <c:v>180.89699999999999</c:v>
                      </c:pt>
                      <c:pt idx="59">
                        <c:v>443.74900000000002</c:v>
                      </c:pt>
                      <c:pt idx="60">
                        <c:v>1356.9590000000001</c:v>
                      </c:pt>
                      <c:pt idx="61">
                        <c:v>299.92599999999999</c:v>
                      </c:pt>
                      <c:pt idx="62">
                        <c:v>1208.2339999999999</c:v>
                      </c:pt>
                      <c:pt idx="63">
                        <c:v>1670.1949999999999</c:v>
                      </c:pt>
                      <c:pt idx="64">
                        <c:v>3255.1010000000001</c:v>
                      </c:pt>
                      <c:pt idx="65">
                        <c:v>9248.6270000000004</c:v>
                      </c:pt>
                      <c:pt idx="66">
                        <c:v>2662.7</c:v>
                      </c:pt>
                      <c:pt idx="67">
                        <c:v>694.73800000000006</c:v>
                      </c:pt>
                      <c:pt idx="68">
                        <c:v>4843.3090000000002</c:v>
                      </c:pt>
                      <c:pt idx="69">
                        <c:v>788.45799999999997</c:v>
                      </c:pt>
                      <c:pt idx="70">
                        <c:v>1340.989</c:v>
                      </c:pt>
                      <c:pt idx="71">
                        <c:v>2149.652</c:v>
                      </c:pt>
                      <c:pt idx="72">
                        <c:v>3012.424</c:v>
                      </c:pt>
                      <c:pt idx="73">
                        <c:v>1733.807</c:v>
                      </c:pt>
                      <c:pt idx="74">
                        <c:v>1286.5</c:v>
                      </c:pt>
                      <c:pt idx="75">
                        <c:v>7065.13</c:v>
                      </c:pt>
                      <c:pt idx="76">
                        <c:v>1012.023</c:v>
                      </c:pt>
                      <c:pt idx="77">
                        <c:v>2457.4259999999999</c:v>
                      </c:pt>
                      <c:pt idx="78">
                        <c:v>1055.146</c:v>
                      </c:pt>
                      <c:pt idx="79">
                        <c:v>1876.998</c:v>
                      </c:pt>
                      <c:pt idx="80">
                        <c:v>295.07499999999999</c:v>
                      </c:pt>
                      <c:pt idx="81">
                        <c:v>3492.442</c:v>
                      </c:pt>
                      <c:pt idx="82">
                        <c:v>328.33499999999998</c:v>
                      </c:pt>
                      <c:pt idx="83">
                        <c:v>8038.5609999999997</c:v>
                      </c:pt>
                      <c:pt idx="84">
                        <c:v>1585.778</c:v>
                      </c:pt>
                      <c:pt idx="85">
                        <c:v>1231.5619999999999</c:v>
                      </c:pt>
                      <c:pt idx="86">
                        <c:v>306.59399999999999</c:v>
                      </c:pt>
                      <c:pt idx="87">
                        <c:v>1602.875</c:v>
                      </c:pt>
                      <c:pt idx="88">
                        <c:v>292.65499999999997</c:v>
                      </c:pt>
                      <c:pt idx="89">
                        <c:v>5449.7619999999997</c:v>
                      </c:pt>
                      <c:pt idx="90">
                        <c:v>6980.3879999999999</c:v>
                      </c:pt>
                      <c:pt idx="91">
                        <c:v>675.73299999999995</c:v>
                      </c:pt>
                      <c:pt idx="92">
                        <c:v>305.32400000000001</c:v>
                      </c:pt>
                      <c:pt idx="93">
                        <c:v>761.51199999999994</c:v>
                      </c:pt>
                      <c:pt idx="94">
                        <c:v>983.31700000000001</c:v>
                      </c:pt>
                      <c:pt idx="95">
                        <c:v>2123.2199999999998</c:v>
                      </c:pt>
                      <c:pt idx="96">
                        <c:v>47674.624000000003</c:v>
                      </c:pt>
                      <c:pt idx="97">
                        <c:v>1166.7629999999999</c:v>
                      </c:pt>
                      <c:pt idx="98">
                        <c:v>302.09699999999998</c:v>
                      </c:pt>
                      <c:pt idx="99">
                        <c:v>1175.4880000000001</c:v>
                      </c:pt>
                      <c:pt idx="100">
                        <c:v>10114.92</c:v>
                      </c:pt>
                      <c:pt idx="101">
                        <c:v>11966.358</c:v>
                      </c:pt>
                      <c:pt idx="102">
                        <c:v>6287.0079999999998</c:v>
                      </c:pt>
                      <c:pt idx="103">
                        <c:v>26860.224999999999</c:v>
                      </c:pt>
                      <c:pt idx="104">
                        <c:v>18697.322</c:v>
                      </c:pt>
                      <c:pt idx="105">
                        <c:v>560.69399999999996</c:v>
                      </c:pt>
                      <c:pt idx="106">
                        <c:v>530.07500000000005</c:v>
                      </c:pt>
                      <c:pt idx="107">
                        <c:v>327.58</c:v>
                      </c:pt>
                      <c:pt idx="108">
                        <c:v>1199.951</c:v>
                      </c:pt>
                      <c:pt idx="109">
                        <c:v>3465.3069999999998</c:v>
                      </c:pt>
                      <c:pt idx="110">
                        <c:v>2166.7359999999999</c:v>
                      </c:pt>
                      <c:pt idx="111">
                        <c:v>2133.2130000000002</c:v>
                      </c:pt>
                      <c:pt idx="112">
                        <c:v>2998.0039999999999</c:v>
                      </c:pt>
                      <c:pt idx="113">
                        <c:v>1370.355</c:v>
                      </c:pt>
                      <c:pt idx="114">
                        <c:v>7640.3620000000001</c:v>
                      </c:pt>
                      <c:pt idx="115">
                        <c:v>31560.382000000001</c:v>
                      </c:pt>
                      <c:pt idx="116">
                        <c:v>163.042</c:v>
                      </c:pt>
                      <c:pt idx="117">
                        <c:v>343.22300000000001</c:v>
                      </c:pt>
                      <c:pt idx="118">
                        <c:v>1282.1099999999999</c:v>
                      </c:pt>
                      <c:pt idx="119">
                        <c:v>295.33600000000001</c:v>
                      </c:pt>
                      <c:pt idx="120">
                        <c:v>1158.3620000000001</c:v>
                      </c:pt>
                      <c:pt idx="121">
                        <c:v>1605.9359999999999</c:v>
                      </c:pt>
                      <c:pt idx="122">
                        <c:v>2916.5430000000001</c:v>
                      </c:pt>
                      <c:pt idx="123">
                        <c:v>9278.48</c:v>
                      </c:pt>
                      <c:pt idx="124">
                        <c:v>4310.7290000000003</c:v>
                      </c:pt>
                      <c:pt idx="125">
                        <c:v>578.23099999999999</c:v>
                      </c:pt>
                      <c:pt idx="126">
                        <c:v>4341.8760000000002</c:v>
                      </c:pt>
                      <c:pt idx="127">
                        <c:v>329.72199999999998</c:v>
                      </c:pt>
                      <c:pt idx="128">
                        <c:v>1006.965</c:v>
                      </c:pt>
                      <c:pt idx="129">
                        <c:v>1729.566</c:v>
                      </c:pt>
                      <c:pt idx="130">
                        <c:v>2803.43</c:v>
                      </c:pt>
                      <c:pt idx="131">
                        <c:v>1196.2370000000001</c:v>
                      </c:pt>
                      <c:pt idx="132">
                        <c:v>1151.8800000000001</c:v>
                      </c:pt>
                      <c:pt idx="133">
                        <c:v>5637.4669999999996</c:v>
                      </c:pt>
                      <c:pt idx="134">
                        <c:v>914.89099999999996</c:v>
                      </c:pt>
                      <c:pt idx="135">
                        <c:v>2114.1950000000002</c:v>
                      </c:pt>
                      <c:pt idx="136">
                        <c:v>965.61099999999999</c:v>
                      </c:pt>
                      <c:pt idx="137">
                        <c:v>2150.1219999999998</c:v>
                      </c:pt>
                      <c:pt idx="138">
                        <c:v>228.511</c:v>
                      </c:pt>
                      <c:pt idx="139">
                        <c:v>3153.04</c:v>
                      </c:pt>
                      <c:pt idx="140">
                        <c:v>618.95299999999997</c:v>
                      </c:pt>
                      <c:pt idx="141">
                        <c:v>7051.8540000000003</c:v>
                      </c:pt>
                      <c:pt idx="142">
                        <c:v>935.77800000000002</c:v>
                      </c:pt>
                      <c:pt idx="143">
                        <c:v>802.19799999999998</c:v>
                      </c:pt>
                      <c:pt idx="144">
                        <c:v>166.565</c:v>
                      </c:pt>
                      <c:pt idx="145">
                        <c:v>1605.616</c:v>
                      </c:pt>
                      <c:pt idx="146">
                        <c:v>268.20699999999999</c:v>
                      </c:pt>
                      <c:pt idx="147">
                        <c:v>5515.2780000000002</c:v>
                      </c:pt>
                      <c:pt idx="148">
                        <c:v>7013.5919999999996</c:v>
                      </c:pt>
                      <c:pt idx="149">
                        <c:v>788.81</c:v>
                      </c:pt>
                      <c:pt idx="150">
                        <c:v>189.40299999999999</c:v>
                      </c:pt>
                      <c:pt idx="151">
                        <c:v>698.24099999999999</c:v>
                      </c:pt>
                      <c:pt idx="152">
                        <c:v>930.06399999999996</c:v>
                      </c:pt>
                      <c:pt idx="153">
                        <c:v>2218.732</c:v>
                      </c:pt>
                      <c:pt idx="154">
                        <c:v>43630.175999999999</c:v>
                      </c:pt>
                      <c:pt idx="155">
                        <c:v>1029.32</c:v>
                      </c:pt>
                      <c:pt idx="156">
                        <c:v>376.24799999999999</c:v>
                      </c:pt>
                      <c:pt idx="157">
                        <c:v>1043.93</c:v>
                      </c:pt>
                      <c:pt idx="158">
                        <c:v>10058.956</c:v>
                      </c:pt>
                      <c:pt idx="159">
                        <c:v>9292.1919999999991</c:v>
                      </c:pt>
                      <c:pt idx="160">
                        <c:v>4977.5540000000001</c:v>
                      </c:pt>
                      <c:pt idx="161">
                        <c:v>22877.032999999999</c:v>
                      </c:pt>
                      <c:pt idx="162">
                        <c:v>15019.928</c:v>
                      </c:pt>
                      <c:pt idx="163">
                        <c:v>490.517</c:v>
                      </c:pt>
                      <c:pt idx="164">
                        <c:v>507.041</c:v>
                      </c:pt>
                      <c:pt idx="165">
                        <c:v>324.65800000000002</c:v>
                      </c:pt>
                      <c:pt idx="166">
                        <c:v>986.23</c:v>
                      </c:pt>
                      <c:pt idx="167">
                        <c:v>2103.4209999999998</c:v>
                      </c:pt>
                      <c:pt idx="168">
                        <c:v>2351.2600000000002</c:v>
                      </c:pt>
                      <c:pt idx="169">
                        <c:v>1867.454</c:v>
                      </c:pt>
                      <c:pt idx="170">
                        <c:v>2726.7310000000002</c:v>
                      </c:pt>
                      <c:pt idx="171">
                        <c:v>856.83299999999997</c:v>
                      </c:pt>
                      <c:pt idx="172">
                        <c:v>5542.5889999999999</c:v>
                      </c:pt>
                      <c:pt idx="173">
                        <c:v>36109.911</c:v>
                      </c:pt>
                      <c:pt idx="174">
                        <c:v>171.28200000000001</c:v>
                      </c:pt>
                      <c:pt idx="175">
                        <c:v>172.57499999999999</c:v>
                      </c:pt>
                      <c:pt idx="176">
                        <c:v>864.48500000000001</c:v>
                      </c:pt>
                      <c:pt idx="177">
                        <c:v>258.32</c:v>
                      </c:pt>
                      <c:pt idx="178">
                        <c:v>1320.454</c:v>
                      </c:pt>
                      <c:pt idx="179">
                        <c:v>1519.0889999999999</c:v>
                      </c:pt>
                      <c:pt idx="180">
                        <c:v>2783.81</c:v>
                      </c:pt>
                      <c:pt idx="181">
                        <c:v>8321.8220000000001</c:v>
                      </c:pt>
                      <c:pt idx="182">
                        <c:v>4665.3860000000004</c:v>
                      </c:pt>
                      <c:pt idx="183">
                        <c:v>717.59</c:v>
                      </c:pt>
                      <c:pt idx="184">
                        <c:v>4500.7629999999999</c:v>
                      </c:pt>
                      <c:pt idx="185">
                        <c:v>326.72500000000002</c:v>
                      </c:pt>
                      <c:pt idx="186">
                        <c:v>839.01599999999996</c:v>
                      </c:pt>
                      <c:pt idx="187">
                        <c:v>929.79700000000003</c:v>
                      </c:pt>
                      <c:pt idx="188">
                        <c:v>2255.6570000000002</c:v>
                      </c:pt>
                      <c:pt idx="189">
                        <c:v>968.20100000000002</c:v>
                      </c:pt>
                      <c:pt idx="190">
                        <c:v>1095.7760000000001</c:v>
                      </c:pt>
                      <c:pt idx="191">
                        <c:v>4653.09</c:v>
                      </c:pt>
                      <c:pt idx="192">
                        <c:v>930.82500000000005</c:v>
                      </c:pt>
                      <c:pt idx="193">
                        <c:v>1311.509</c:v>
                      </c:pt>
                      <c:pt idx="194">
                        <c:v>1087.29</c:v>
                      </c:pt>
                      <c:pt idx="195">
                        <c:v>1221.0060000000001</c:v>
                      </c:pt>
                      <c:pt idx="196">
                        <c:v>296.18099999999998</c:v>
                      </c:pt>
                      <c:pt idx="197">
                        <c:v>2160.5329999999999</c:v>
                      </c:pt>
                      <c:pt idx="198">
                        <c:v>1011.79</c:v>
                      </c:pt>
                      <c:pt idx="199">
                        <c:v>8930.375</c:v>
                      </c:pt>
                      <c:pt idx="200">
                        <c:v>919.05600000000004</c:v>
                      </c:pt>
                      <c:pt idx="201">
                        <c:v>653.53099999999995</c:v>
                      </c:pt>
                      <c:pt idx="202">
                        <c:v>127.342</c:v>
                      </c:pt>
                      <c:pt idx="203">
                        <c:v>963.18700000000001</c:v>
                      </c:pt>
                      <c:pt idx="204">
                        <c:v>283.39600000000002</c:v>
                      </c:pt>
                      <c:pt idx="205">
                        <c:v>5426.5020000000004</c:v>
                      </c:pt>
                      <c:pt idx="206">
                        <c:v>5477.4970000000003</c:v>
                      </c:pt>
                      <c:pt idx="207">
                        <c:v>775.12900000000002</c:v>
                      </c:pt>
                      <c:pt idx="208">
                        <c:v>128.10400000000001</c:v>
                      </c:pt>
                      <c:pt idx="209">
                        <c:v>557.21500000000003</c:v>
                      </c:pt>
                      <c:pt idx="210">
                        <c:v>735.89700000000005</c:v>
                      </c:pt>
                      <c:pt idx="211">
                        <c:v>1035.836</c:v>
                      </c:pt>
                      <c:pt idx="212">
                        <c:v>29760.685000000001</c:v>
                      </c:pt>
                      <c:pt idx="213">
                        <c:v>972.42</c:v>
                      </c:pt>
                      <c:pt idx="214">
                        <c:v>368.11799999999999</c:v>
                      </c:pt>
                      <c:pt idx="215">
                        <c:v>866.66</c:v>
                      </c:pt>
                      <c:pt idx="216">
                        <c:v>6169.0529999999999</c:v>
                      </c:pt>
                      <c:pt idx="217">
                        <c:v>7143.9290000000001</c:v>
                      </c:pt>
                      <c:pt idx="218">
                        <c:v>3731.0619999999999</c:v>
                      </c:pt>
                      <c:pt idx="219">
                        <c:v>19513.381000000001</c:v>
                      </c:pt>
                      <c:pt idx="220">
                        <c:v>10248.236999999999</c:v>
                      </c:pt>
                      <c:pt idx="221">
                        <c:v>331.75099999999998</c:v>
                      </c:pt>
                      <c:pt idx="222">
                        <c:v>1049.7539999999999</c:v>
                      </c:pt>
                      <c:pt idx="223">
                        <c:v>294.57799999999997</c:v>
                      </c:pt>
                      <c:pt idx="224">
                        <c:v>633.37199999999996</c:v>
                      </c:pt>
                      <c:pt idx="225">
                        <c:v>1987.5340000000001</c:v>
                      </c:pt>
                      <c:pt idx="226">
                        <c:v>1783.9010000000001</c:v>
                      </c:pt>
                      <c:pt idx="227">
                        <c:v>1701.752</c:v>
                      </c:pt>
                      <c:pt idx="228">
                        <c:v>1320.6479999999999</c:v>
                      </c:pt>
                      <c:pt idx="229">
                        <c:v>1013.96</c:v>
                      </c:pt>
                      <c:pt idx="230">
                        <c:v>4735.4809999999998</c:v>
                      </c:pt>
                      <c:pt idx="231">
                        <c:v>29665.725999999999</c:v>
                      </c:pt>
                      <c:pt idx="232" formatCode="General">
                        <c:v>185.709</c:v>
                      </c:pt>
                      <c:pt idx="233" formatCode="General">
                        <c:v>149.167</c:v>
                      </c:pt>
                      <c:pt idx="234" formatCode="General">
                        <c:v>356.74</c:v>
                      </c:pt>
                      <c:pt idx="235" formatCode="General">
                        <c:v>258.52999999999997</c:v>
                      </c:pt>
                      <c:pt idx="236" formatCode="General">
                        <c:v>1100.644</c:v>
                      </c:pt>
                      <c:pt idx="237" formatCode="General">
                        <c:v>1360.9110000000001</c:v>
                      </c:pt>
                      <c:pt idx="238" formatCode="General">
                        <c:v>2690.4870000000001</c:v>
                      </c:pt>
                      <c:pt idx="239" formatCode="General">
                        <c:v>7520.2830000000004</c:v>
                      </c:pt>
                      <c:pt idx="240" formatCode="General">
                        <c:v>6036.2910000000002</c:v>
                      </c:pt>
                      <c:pt idx="241" formatCode="General">
                        <c:v>841.53300000000002</c:v>
                      </c:pt>
                      <c:pt idx="242" formatCode="General">
                        <c:v>4196.5190000000002</c:v>
                      </c:pt>
                      <c:pt idx="243" formatCode="General">
                        <c:v>288.82</c:v>
                      </c:pt>
                      <c:pt idx="244" formatCode="General">
                        <c:v>912.048</c:v>
                      </c:pt>
                      <c:pt idx="245" formatCode="General">
                        <c:v>958.06299999999999</c:v>
                      </c:pt>
                      <c:pt idx="246" formatCode="General">
                        <c:v>2172.1779999999999</c:v>
                      </c:pt>
                      <c:pt idx="247" formatCode="General">
                        <c:v>1191.9829999999999</c:v>
                      </c:pt>
                      <c:pt idx="248" formatCode="General">
                        <c:v>1101.385</c:v>
                      </c:pt>
                      <c:pt idx="249" formatCode="General">
                        <c:v>4377.8630000000003</c:v>
                      </c:pt>
                      <c:pt idx="250" formatCode="General">
                        <c:v>1145.8589999999999</c:v>
                      </c:pt>
                      <c:pt idx="251" formatCode="General">
                        <c:v>1377.1579999999999</c:v>
                      </c:pt>
                      <c:pt idx="252" formatCode="General">
                        <c:v>1233.241</c:v>
                      </c:pt>
                      <c:pt idx="253" formatCode="General">
                        <c:v>1098.183</c:v>
                      </c:pt>
                      <c:pt idx="254" formatCode="General">
                        <c:v>340.35500000000002</c:v>
                      </c:pt>
                      <c:pt idx="255" formatCode="General">
                        <c:v>1543.9780000000001</c:v>
                      </c:pt>
                      <c:pt idx="256" formatCode="General">
                        <c:v>820.45299999999997</c:v>
                      </c:pt>
                      <c:pt idx="257" formatCode="General">
                        <c:v>7073.6750000000002</c:v>
                      </c:pt>
                      <c:pt idx="258" formatCode="General">
                        <c:v>1245.7629999999999</c:v>
                      </c:pt>
                      <c:pt idx="259" formatCode="General">
                        <c:v>2473.415</c:v>
                      </c:pt>
                      <c:pt idx="260" formatCode="General">
                        <c:v>172.30099999999999</c:v>
                      </c:pt>
                      <c:pt idx="261" formatCode="General">
                        <c:v>948.10199999999998</c:v>
                      </c:pt>
                      <c:pt idx="262" formatCode="General">
                        <c:v>285.01600000000002</c:v>
                      </c:pt>
                      <c:pt idx="263" formatCode="General">
                        <c:v>4944.51</c:v>
                      </c:pt>
                      <c:pt idx="264" formatCode="General">
                        <c:v>4912.9489999999996</c:v>
                      </c:pt>
                      <c:pt idx="265" formatCode="General">
                        <c:v>626.75699999999995</c:v>
                      </c:pt>
                      <c:pt idx="266" formatCode="General">
                        <c:v>183.37899999999999</c:v>
                      </c:pt>
                      <c:pt idx="267" formatCode="General">
                        <c:v>513.37300000000005</c:v>
                      </c:pt>
                      <c:pt idx="268" formatCode="General">
                        <c:v>655.20600000000002</c:v>
                      </c:pt>
                      <c:pt idx="269" formatCode="General">
                        <c:v>871.14599999999996</c:v>
                      </c:pt>
                      <c:pt idx="270" formatCode="General">
                        <c:v>24261.892</c:v>
                      </c:pt>
                      <c:pt idx="271" formatCode="General">
                        <c:v>819.55</c:v>
                      </c:pt>
                      <c:pt idx="272" formatCode="General">
                        <c:v>127.58199999999999</c:v>
                      </c:pt>
                      <c:pt idx="273" formatCode="General">
                        <c:v>858.44500000000005</c:v>
                      </c:pt>
                      <c:pt idx="274" formatCode="General">
                        <c:v>5683.2709999999997</c:v>
                      </c:pt>
                      <c:pt idx="275" formatCode="General">
                        <c:v>7333.3639999999996</c:v>
                      </c:pt>
                      <c:pt idx="276" formatCode="General">
                        <c:v>2716.951</c:v>
                      </c:pt>
                      <c:pt idx="277" formatCode="General">
                        <c:v>19164.602999999999</c:v>
                      </c:pt>
                      <c:pt idx="278" formatCode="General">
                        <c:v>9647.2900000000009</c:v>
                      </c:pt>
                      <c:pt idx="279" formatCode="General">
                        <c:v>272.03800000000001</c:v>
                      </c:pt>
                      <c:pt idx="280" formatCode="General">
                        <c:v>420.596</c:v>
                      </c:pt>
                      <c:pt idx="281" formatCode="General">
                        <c:v>365.52499999999998</c:v>
                      </c:pt>
                      <c:pt idx="282" formatCode="General">
                        <c:v>879.67200000000003</c:v>
                      </c:pt>
                      <c:pt idx="283" formatCode="General">
                        <c:v>2515.6660000000002</c:v>
                      </c:pt>
                      <c:pt idx="284" formatCode="General">
                        <c:v>1624.461</c:v>
                      </c:pt>
                      <c:pt idx="285" formatCode="General">
                        <c:v>1830.894</c:v>
                      </c:pt>
                      <c:pt idx="286" formatCode="General">
                        <c:v>1211.4359999999999</c:v>
                      </c:pt>
                      <c:pt idx="287" formatCode="General">
                        <c:v>959.08399999999995</c:v>
                      </c:pt>
                      <c:pt idx="288" formatCode="General">
                        <c:v>4611.3609999999999</c:v>
                      </c:pt>
                      <c:pt idx="289" formatCode="General">
                        <c:v>24721.564999999999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5C6-4E19-973B-91C5491E876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(2)'!$E$1</c15:sqref>
                        </c15:formulaRef>
                      </c:ext>
                    </c:extLst>
                    <c:strCache>
                      <c:ptCount val="1"/>
                      <c:pt idx="0">
                        <c:v>Tài sản dài hạn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(2)'!$E$2:$E$311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39.109000000000002</c:v>
                      </c:pt>
                      <c:pt idx="1">
                        <c:v>584.346</c:v>
                      </c:pt>
                      <c:pt idx="2">
                        <c:v>457.548</c:v>
                      </c:pt>
                      <c:pt idx="3">
                        <c:v>313.79700000000003</c:v>
                      </c:pt>
                      <c:pt idx="4">
                        <c:v>267.07499999999999</c:v>
                      </c:pt>
                      <c:pt idx="5">
                        <c:v>558.40499999999997</c:v>
                      </c:pt>
                      <c:pt idx="6">
                        <c:v>2162.0659999999998</c:v>
                      </c:pt>
                      <c:pt idx="7">
                        <c:v>9217.3230000000003</c:v>
                      </c:pt>
                      <c:pt idx="8">
                        <c:v>3385.6489999999999</c:v>
                      </c:pt>
                      <c:pt idx="9">
                        <c:v>1085.57</c:v>
                      </c:pt>
                      <c:pt idx="10">
                        <c:v>2014.11</c:v>
                      </c:pt>
                      <c:pt idx="11">
                        <c:v>247.50299999999999</c:v>
                      </c:pt>
                      <c:pt idx="12">
                        <c:v>114.004</c:v>
                      </c:pt>
                      <c:pt idx="13">
                        <c:v>1321.36</c:v>
                      </c:pt>
                      <c:pt idx="14">
                        <c:v>1021.747</c:v>
                      </c:pt>
                      <c:pt idx="15">
                        <c:v>1065.463</c:v>
                      </c:pt>
                      <c:pt idx="16">
                        <c:v>530.74300000000005</c:v>
                      </c:pt>
                      <c:pt idx="17">
                        <c:v>5910.4639999999999</c:v>
                      </c:pt>
                      <c:pt idx="18">
                        <c:v>445.69600000000003</c:v>
                      </c:pt>
                      <c:pt idx="19">
                        <c:v>1092.454</c:v>
                      </c:pt>
                      <c:pt idx="20">
                        <c:v>585.48599999999999</c:v>
                      </c:pt>
                      <c:pt idx="21">
                        <c:v>1229.133</c:v>
                      </c:pt>
                      <c:pt idx="22">
                        <c:v>136.964</c:v>
                      </c:pt>
                      <c:pt idx="23">
                        <c:v>483.97699999999998</c:v>
                      </c:pt>
                      <c:pt idx="24">
                        <c:v>214.39</c:v>
                      </c:pt>
                      <c:pt idx="25">
                        <c:v>12134.73</c:v>
                      </c:pt>
                      <c:pt idx="26">
                        <c:v>934.52300000000002</c:v>
                      </c:pt>
                      <c:pt idx="27">
                        <c:v>3637.2080000000001</c:v>
                      </c:pt>
                      <c:pt idx="28">
                        <c:v>213.952</c:v>
                      </c:pt>
                      <c:pt idx="29">
                        <c:v>746.34500000000003</c:v>
                      </c:pt>
                      <c:pt idx="30">
                        <c:v>60.304000000000002</c:v>
                      </c:pt>
                      <c:pt idx="31">
                        <c:v>2740.1619999999998</c:v>
                      </c:pt>
                      <c:pt idx="32">
                        <c:v>5426.8779999999997</c:v>
                      </c:pt>
                      <c:pt idx="33">
                        <c:v>216.358</c:v>
                      </c:pt>
                      <c:pt idx="34">
                        <c:v>102.133</c:v>
                      </c:pt>
                      <c:pt idx="35">
                        <c:v>481.55799999999999</c:v>
                      </c:pt>
                      <c:pt idx="36">
                        <c:v>1421.3430000000001</c:v>
                      </c:pt>
                      <c:pt idx="37">
                        <c:v>528.39800000000002</c:v>
                      </c:pt>
                      <c:pt idx="38">
                        <c:v>103619.995</c:v>
                      </c:pt>
                      <c:pt idx="39">
                        <c:v>1026.5940000000001</c:v>
                      </c:pt>
                      <c:pt idx="40">
                        <c:v>424.97699999999998</c:v>
                      </c:pt>
                      <c:pt idx="41">
                        <c:v>855.149</c:v>
                      </c:pt>
                      <c:pt idx="42">
                        <c:v>5907.3620000000001</c:v>
                      </c:pt>
                      <c:pt idx="43">
                        <c:v>1469.44</c:v>
                      </c:pt>
                      <c:pt idx="44">
                        <c:v>440.78800000000001</c:v>
                      </c:pt>
                      <c:pt idx="45">
                        <c:v>7503.2190000000001</c:v>
                      </c:pt>
                      <c:pt idx="46">
                        <c:v>9932.8279999999995</c:v>
                      </c:pt>
                      <c:pt idx="47">
                        <c:v>378.37099999999998</c:v>
                      </c:pt>
                      <c:pt idx="48">
                        <c:v>715.73699999999997</c:v>
                      </c:pt>
                      <c:pt idx="49">
                        <c:v>215.89500000000001</c:v>
                      </c:pt>
                      <c:pt idx="50">
                        <c:v>1577.923</c:v>
                      </c:pt>
                      <c:pt idx="51">
                        <c:v>3205.366</c:v>
                      </c:pt>
                      <c:pt idx="52">
                        <c:v>1148.6099999999999</c:v>
                      </c:pt>
                      <c:pt idx="53">
                        <c:v>733.99300000000005</c:v>
                      </c:pt>
                      <c:pt idx="54">
                        <c:v>532.298</c:v>
                      </c:pt>
                      <c:pt idx="55">
                        <c:v>482.036</c:v>
                      </c:pt>
                      <c:pt idx="56">
                        <c:v>4054.393</c:v>
                      </c:pt>
                      <c:pt idx="57">
                        <c:v>16737.491000000002</c:v>
                      </c:pt>
                      <c:pt idx="58">
                        <c:v>37.682000000000002</c:v>
                      </c:pt>
                      <c:pt idx="59">
                        <c:v>609.697</c:v>
                      </c:pt>
                      <c:pt idx="60">
                        <c:v>312.31200000000001</c:v>
                      </c:pt>
                      <c:pt idx="61">
                        <c:v>322.61399999999998</c:v>
                      </c:pt>
                      <c:pt idx="62">
                        <c:v>273.13600000000002</c:v>
                      </c:pt>
                      <c:pt idx="63">
                        <c:v>511.5</c:v>
                      </c:pt>
                      <c:pt idx="64">
                        <c:v>2212.5520000000001</c:v>
                      </c:pt>
                      <c:pt idx="65">
                        <c:v>9837.7189999999991</c:v>
                      </c:pt>
                      <c:pt idx="66">
                        <c:v>2066.3960000000002</c:v>
                      </c:pt>
                      <c:pt idx="67">
                        <c:v>1155.6389999999999</c:v>
                      </c:pt>
                      <c:pt idx="68">
                        <c:v>2389.87</c:v>
                      </c:pt>
                      <c:pt idx="69">
                        <c:v>135.858</c:v>
                      </c:pt>
                      <c:pt idx="70">
                        <c:v>44.124000000000002</c:v>
                      </c:pt>
                      <c:pt idx="71">
                        <c:v>764.38</c:v>
                      </c:pt>
                      <c:pt idx="72">
                        <c:v>1191.8130000000001</c:v>
                      </c:pt>
                      <c:pt idx="73">
                        <c:v>792.88900000000001</c:v>
                      </c:pt>
                      <c:pt idx="74">
                        <c:v>466.16399999999999</c:v>
                      </c:pt>
                      <c:pt idx="75">
                        <c:v>5908.9740000000002</c:v>
                      </c:pt>
                      <c:pt idx="76">
                        <c:v>473.065</c:v>
                      </c:pt>
                      <c:pt idx="77">
                        <c:v>960.37300000000005</c:v>
                      </c:pt>
                      <c:pt idx="78">
                        <c:v>401.55</c:v>
                      </c:pt>
                      <c:pt idx="79">
                        <c:v>1111.809</c:v>
                      </c:pt>
                      <c:pt idx="80">
                        <c:v>110.931</c:v>
                      </c:pt>
                      <c:pt idx="81">
                        <c:v>495.89499999999998</c:v>
                      </c:pt>
                      <c:pt idx="82">
                        <c:v>207.05699999999999</c:v>
                      </c:pt>
                      <c:pt idx="83">
                        <c:v>11759.826999999999</c:v>
                      </c:pt>
                      <c:pt idx="84">
                        <c:v>992.87300000000005</c:v>
                      </c:pt>
                      <c:pt idx="85">
                        <c:v>3261.029</c:v>
                      </c:pt>
                      <c:pt idx="86">
                        <c:v>182.042</c:v>
                      </c:pt>
                      <c:pt idx="87">
                        <c:v>791.78800000000001</c:v>
                      </c:pt>
                      <c:pt idx="88">
                        <c:v>64.835999999999999</c:v>
                      </c:pt>
                      <c:pt idx="89">
                        <c:v>2634.346</c:v>
                      </c:pt>
                      <c:pt idx="90">
                        <c:v>7024.4049999999997</c:v>
                      </c:pt>
                      <c:pt idx="91">
                        <c:v>251.01900000000001</c:v>
                      </c:pt>
                      <c:pt idx="92">
                        <c:v>98.322000000000003</c:v>
                      </c:pt>
                      <c:pt idx="93">
                        <c:v>470.69600000000003</c:v>
                      </c:pt>
                      <c:pt idx="94">
                        <c:v>1508.8579999999999</c:v>
                      </c:pt>
                      <c:pt idx="95">
                        <c:v>332.02600000000001</c:v>
                      </c:pt>
                      <c:pt idx="96">
                        <c:v>93668.191000000006</c:v>
                      </c:pt>
                      <c:pt idx="97">
                        <c:v>576.98500000000001</c:v>
                      </c:pt>
                      <c:pt idx="98">
                        <c:v>449.767</c:v>
                      </c:pt>
                      <c:pt idx="99">
                        <c:v>850.24099999999999</c:v>
                      </c:pt>
                      <c:pt idx="100">
                        <c:v>5966.6779999999999</c:v>
                      </c:pt>
                      <c:pt idx="101">
                        <c:v>1370.7670000000001</c:v>
                      </c:pt>
                      <c:pt idx="102">
                        <c:v>429.47500000000002</c:v>
                      </c:pt>
                      <c:pt idx="103">
                        <c:v>7604.8509999999997</c:v>
                      </c:pt>
                      <c:pt idx="104">
                        <c:v>10343.904</c:v>
                      </c:pt>
                      <c:pt idx="105">
                        <c:v>417.80200000000002</c:v>
                      </c:pt>
                      <c:pt idx="106">
                        <c:v>714.95100000000002</c:v>
                      </c:pt>
                      <c:pt idx="107">
                        <c:v>199.37799999999999</c:v>
                      </c:pt>
                      <c:pt idx="108">
                        <c:v>925.08199999999999</c:v>
                      </c:pt>
                      <c:pt idx="109">
                        <c:v>2681.4189999999999</c:v>
                      </c:pt>
                      <c:pt idx="110">
                        <c:v>1310.3309999999999</c:v>
                      </c:pt>
                      <c:pt idx="111">
                        <c:v>735.82299999999998</c:v>
                      </c:pt>
                      <c:pt idx="112">
                        <c:v>508.41699999999997</c:v>
                      </c:pt>
                      <c:pt idx="113">
                        <c:v>442.92599999999999</c:v>
                      </c:pt>
                      <c:pt idx="114">
                        <c:v>3942.9279999999999</c:v>
                      </c:pt>
                      <c:pt idx="115">
                        <c:v>16922.281999999999</c:v>
                      </c:pt>
                      <c:pt idx="116">
                        <c:v>38.045000000000002</c:v>
                      </c:pt>
                      <c:pt idx="117">
                        <c:v>633.38900000000001</c:v>
                      </c:pt>
                      <c:pt idx="118">
                        <c:v>310.84199999999998</c:v>
                      </c:pt>
                      <c:pt idx="119">
                        <c:v>298.93799999999999</c:v>
                      </c:pt>
                      <c:pt idx="120">
                        <c:v>299.81700000000001</c:v>
                      </c:pt>
                      <c:pt idx="121">
                        <c:v>379.233</c:v>
                      </c:pt>
                      <c:pt idx="122">
                        <c:v>1970.6369999999999</c:v>
                      </c:pt>
                      <c:pt idx="123">
                        <c:v>8890.634</c:v>
                      </c:pt>
                      <c:pt idx="124">
                        <c:v>1146.5170000000001</c:v>
                      </c:pt>
                      <c:pt idx="125">
                        <c:v>1061.307</c:v>
                      </c:pt>
                      <c:pt idx="126">
                        <c:v>2745.8539999999998</c:v>
                      </c:pt>
                      <c:pt idx="127">
                        <c:v>133.60599999999999</c:v>
                      </c:pt>
                      <c:pt idx="128">
                        <c:v>43.204000000000001</c:v>
                      </c:pt>
                      <c:pt idx="129">
                        <c:v>692.01800000000003</c:v>
                      </c:pt>
                      <c:pt idx="130">
                        <c:v>1349.8820000000001</c:v>
                      </c:pt>
                      <c:pt idx="131">
                        <c:v>565.85500000000002</c:v>
                      </c:pt>
                      <c:pt idx="132">
                        <c:v>474.36700000000002</c:v>
                      </c:pt>
                      <c:pt idx="133">
                        <c:v>5225.0870000000004</c:v>
                      </c:pt>
                      <c:pt idx="134">
                        <c:v>495.262</c:v>
                      </c:pt>
                      <c:pt idx="135">
                        <c:v>1021.748</c:v>
                      </c:pt>
                      <c:pt idx="136">
                        <c:v>303.13200000000001</c:v>
                      </c:pt>
                      <c:pt idx="137">
                        <c:v>549.66099999999994</c:v>
                      </c:pt>
                      <c:pt idx="138">
                        <c:v>152.45400000000001</c:v>
                      </c:pt>
                      <c:pt idx="139">
                        <c:v>612.76</c:v>
                      </c:pt>
                      <c:pt idx="140">
                        <c:v>208.429</c:v>
                      </c:pt>
                      <c:pt idx="141">
                        <c:v>11387.831</c:v>
                      </c:pt>
                      <c:pt idx="142">
                        <c:v>341.43900000000002</c:v>
                      </c:pt>
                      <c:pt idx="143">
                        <c:v>3463.0590000000002</c:v>
                      </c:pt>
                      <c:pt idx="144">
                        <c:v>160.506</c:v>
                      </c:pt>
                      <c:pt idx="145">
                        <c:v>735.149</c:v>
                      </c:pt>
                      <c:pt idx="146">
                        <c:v>69.552000000000007</c:v>
                      </c:pt>
                      <c:pt idx="147">
                        <c:v>2038.5809999999999</c:v>
                      </c:pt>
                      <c:pt idx="148">
                        <c:v>7059.1130000000003</c:v>
                      </c:pt>
                      <c:pt idx="149">
                        <c:v>286.17399999999998</c:v>
                      </c:pt>
                      <c:pt idx="150">
                        <c:v>90.349000000000004</c:v>
                      </c:pt>
                      <c:pt idx="151">
                        <c:v>469.40300000000002</c:v>
                      </c:pt>
                      <c:pt idx="152">
                        <c:v>1596.8019999999999</c:v>
                      </c:pt>
                      <c:pt idx="153">
                        <c:v>268.23500000000001</c:v>
                      </c:pt>
                      <c:pt idx="154">
                        <c:v>82463.294999999998</c:v>
                      </c:pt>
                      <c:pt idx="155">
                        <c:v>624.73699999999997</c:v>
                      </c:pt>
                      <c:pt idx="156">
                        <c:v>490.76400000000001</c:v>
                      </c:pt>
                      <c:pt idx="157">
                        <c:v>888.029</c:v>
                      </c:pt>
                      <c:pt idx="158">
                        <c:v>4964.9449999999997</c:v>
                      </c:pt>
                      <c:pt idx="159">
                        <c:v>1326.8240000000001</c:v>
                      </c:pt>
                      <c:pt idx="160">
                        <c:v>414.74299999999999</c:v>
                      </c:pt>
                      <c:pt idx="161">
                        <c:v>7609.991</c:v>
                      </c:pt>
                      <c:pt idx="162">
                        <c:v>8480.0190000000002</c:v>
                      </c:pt>
                      <c:pt idx="163">
                        <c:v>446.58100000000002</c:v>
                      </c:pt>
                      <c:pt idx="164">
                        <c:v>728.33</c:v>
                      </c:pt>
                      <c:pt idx="165">
                        <c:v>189.774</c:v>
                      </c:pt>
                      <c:pt idx="166">
                        <c:v>984.90899999999999</c:v>
                      </c:pt>
                      <c:pt idx="167">
                        <c:v>2325.5889999999999</c:v>
                      </c:pt>
                      <c:pt idx="168">
                        <c:v>1255.1310000000001</c:v>
                      </c:pt>
                      <c:pt idx="169">
                        <c:v>578.68499999999995</c:v>
                      </c:pt>
                      <c:pt idx="170">
                        <c:v>394.04</c:v>
                      </c:pt>
                      <c:pt idx="171">
                        <c:v>533.95500000000004</c:v>
                      </c:pt>
                      <c:pt idx="172">
                        <c:v>3195.038</c:v>
                      </c:pt>
                      <c:pt idx="173">
                        <c:v>17222.492999999999</c:v>
                      </c:pt>
                      <c:pt idx="174">
                        <c:v>39.536999999999999</c:v>
                      </c:pt>
                      <c:pt idx="175">
                        <c:v>407.28800000000001</c:v>
                      </c:pt>
                      <c:pt idx="176">
                        <c:v>305.61099999999999</c:v>
                      </c:pt>
                      <c:pt idx="177">
                        <c:v>285.35500000000002</c:v>
                      </c:pt>
                      <c:pt idx="178">
                        <c:v>339.08800000000002</c:v>
                      </c:pt>
                      <c:pt idx="179">
                        <c:v>318.80200000000002</c:v>
                      </c:pt>
                      <c:pt idx="180">
                        <c:v>2050.27</c:v>
                      </c:pt>
                      <c:pt idx="181">
                        <c:v>9282.7729999999992</c:v>
                      </c:pt>
                      <c:pt idx="182">
                        <c:v>580.447</c:v>
                      </c:pt>
                      <c:pt idx="183">
                        <c:v>825.51199999999994</c:v>
                      </c:pt>
                      <c:pt idx="184">
                        <c:v>3183.319</c:v>
                      </c:pt>
                      <c:pt idx="185">
                        <c:v>124.03</c:v>
                      </c:pt>
                      <c:pt idx="186">
                        <c:v>72.603999999999999</c:v>
                      </c:pt>
                      <c:pt idx="187">
                        <c:v>562.87099999999998</c:v>
                      </c:pt>
                      <c:pt idx="188">
                        <c:v>1557.5920000000001</c:v>
                      </c:pt>
                      <c:pt idx="189">
                        <c:v>610.49599999999998</c:v>
                      </c:pt>
                      <c:pt idx="190">
                        <c:v>543.39</c:v>
                      </c:pt>
                      <c:pt idx="191">
                        <c:v>5448.1809999999996</c:v>
                      </c:pt>
                      <c:pt idx="192">
                        <c:v>478.82299999999998</c:v>
                      </c:pt>
                      <c:pt idx="193">
                        <c:v>1119.2</c:v>
                      </c:pt>
                      <c:pt idx="194">
                        <c:v>265.74299999999999</c:v>
                      </c:pt>
                      <c:pt idx="195">
                        <c:v>490.15499999999997</c:v>
                      </c:pt>
                      <c:pt idx="196">
                        <c:v>102.681</c:v>
                      </c:pt>
                      <c:pt idx="197">
                        <c:v>548.029</c:v>
                      </c:pt>
                      <c:pt idx="198">
                        <c:v>211.001</c:v>
                      </c:pt>
                      <c:pt idx="199">
                        <c:v>28335.444</c:v>
                      </c:pt>
                      <c:pt idx="200">
                        <c:v>313.31400000000002</c:v>
                      </c:pt>
                      <c:pt idx="201">
                        <c:v>3293.1320000000001</c:v>
                      </c:pt>
                      <c:pt idx="202">
                        <c:v>132.40799999999999</c:v>
                      </c:pt>
                      <c:pt idx="203">
                        <c:v>788.05</c:v>
                      </c:pt>
                      <c:pt idx="204">
                        <c:v>76.757000000000005</c:v>
                      </c:pt>
                      <c:pt idx="205">
                        <c:v>2287.134</c:v>
                      </c:pt>
                      <c:pt idx="206">
                        <c:v>6871.6580000000004</c:v>
                      </c:pt>
                      <c:pt idx="207">
                        <c:v>330.16300000000001</c:v>
                      </c:pt>
                      <c:pt idx="208">
                        <c:v>79.441000000000003</c:v>
                      </c:pt>
                      <c:pt idx="209">
                        <c:v>460.45400000000001</c:v>
                      </c:pt>
                      <c:pt idx="210">
                        <c:v>1586.5150000000001</c:v>
                      </c:pt>
                      <c:pt idx="211">
                        <c:v>186.76</c:v>
                      </c:pt>
                      <c:pt idx="212">
                        <c:v>85975.876999999993</c:v>
                      </c:pt>
                      <c:pt idx="213">
                        <c:v>560.95899999999995</c:v>
                      </c:pt>
                      <c:pt idx="214">
                        <c:v>514.63</c:v>
                      </c:pt>
                      <c:pt idx="215">
                        <c:v>934.89200000000005</c:v>
                      </c:pt>
                      <c:pt idx="216">
                        <c:v>5167.2420000000002</c:v>
                      </c:pt>
                      <c:pt idx="217">
                        <c:v>1339.2170000000001</c:v>
                      </c:pt>
                      <c:pt idx="218">
                        <c:v>294.95</c:v>
                      </c:pt>
                      <c:pt idx="219">
                        <c:v>7861.5910000000003</c:v>
                      </c:pt>
                      <c:pt idx="220">
                        <c:v>8048.4110000000001</c:v>
                      </c:pt>
                      <c:pt idx="221">
                        <c:v>472.31900000000002</c:v>
                      </c:pt>
                      <c:pt idx="222">
                        <c:v>355.589</c:v>
                      </c:pt>
                      <c:pt idx="223">
                        <c:v>187.833</c:v>
                      </c:pt>
                      <c:pt idx="224">
                        <c:v>1070.0170000000001</c:v>
                      </c:pt>
                      <c:pt idx="225">
                        <c:v>2273.0479999999998</c:v>
                      </c:pt>
                      <c:pt idx="226">
                        <c:v>1192.5219999999999</c:v>
                      </c:pt>
                      <c:pt idx="227">
                        <c:v>612.84699999999998</c:v>
                      </c:pt>
                      <c:pt idx="228">
                        <c:v>385.88</c:v>
                      </c:pt>
                      <c:pt idx="229">
                        <c:v>600.04200000000003</c:v>
                      </c:pt>
                      <c:pt idx="230">
                        <c:v>2466.3820000000001</c:v>
                      </c:pt>
                      <c:pt idx="231">
                        <c:v>18766.755000000001</c:v>
                      </c:pt>
                      <c:pt idx="232" formatCode="General">
                        <c:v>41.798999999999999</c:v>
                      </c:pt>
                      <c:pt idx="233" formatCode="General">
                        <c:v>451.71300000000002</c:v>
                      </c:pt>
                      <c:pt idx="234" formatCode="General">
                        <c:v>306.61</c:v>
                      </c:pt>
                      <c:pt idx="235" formatCode="General">
                        <c:v>279.93099999999998</c:v>
                      </c:pt>
                      <c:pt idx="236" formatCode="General">
                        <c:v>360.54399999999998</c:v>
                      </c:pt>
                      <c:pt idx="237" formatCode="General">
                        <c:v>372.572</c:v>
                      </c:pt>
                      <c:pt idx="238" formatCode="General">
                        <c:v>1444.11</c:v>
                      </c:pt>
                      <c:pt idx="239" formatCode="General">
                        <c:v>8076.0290000000005</c:v>
                      </c:pt>
                      <c:pt idx="240" formatCode="General">
                        <c:v>301.44</c:v>
                      </c:pt>
                      <c:pt idx="241" formatCode="General">
                        <c:v>728.91600000000005</c:v>
                      </c:pt>
                      <c:pt idx="242" formatCode="General">
                        <c:v>3575.6570000000002</c:v>
                      </c:pt>
                      <c:pt idx="243" formatCode="General">
                        <c:v>119.79600000000001</c:v>
                      </c:pt>
                      <c:pt idx="244" formatCode="General">
                        <c:v>112.32299999999999</c:v>
                      </c:pt>
                      <c:pt idx="245" formatCode="General">
                        <c:v>465.733</c:v>
                      </c:pt>
                      <c:pt idx="246" formatCode="General">
                        <c:v>1643.8440000000001</c:v>
                      </c:pt>
                      <c:pt idx="247" formatCode="General">
                        <c:v>354.94400000000002</c:v>
                      </c:pt>
                      <c:pt idx="248" formatCode="General">
                        <c:v>473.96600000000001</c:v>
                      </c:pt>
                      <c:pt idx="249" formatCode="General">
                        <c:v>5214.0619999999999</c:v>
                      </c:pt>
                      <c:pt idx="250" formatCode="General">
                        <c:v>356.185</c:v>
                      </c:pt>
                      <c:pt idx="251" formatCode="General">
                        <c:v>1331.124</c:v>
                      </c:pt>
                      <c:pt idx="252" formatCode="General">
                        <c:v>304.392</c:v>
                      </c:pt>
                      <c:pt idx="253" formatCode="General">
                        <c:v>422.65600000000001</c:v>
                      </c:pt>
                      <c:pt idx="254" formatCode="General">
                        <c:v>47.024000000000001</c:v>
                      </c:pt>
                      <c:pt idx="255" formatCode="General">
                        <c:v>354.47199999999998</c:v>
                      </c:pt>
                      <c:pt idx="256" formatCode="General">
                        <c:v>208.535</c:v>
                      </c:pt>
                      <c:pt idx="257" formatCode="General">
                        <c:v>31558.812000000002</c:v>
                      </c:pt>
                      <c:pt idx="258" formatCode="General">
                        <c:v>386.43799999999999</c:v>
                      </c:pt>
                      <c:pt idx="259" formatCode="General">
                        <c:v>1154.309</c:v>
                      </c:pt>
                      <c:pt idx="260" formatCode="General">
                        <c:v>73.772999999999996</c:v>
                      </c:pt>
                      <c:pt idx="261" formatCode="General">
                        <c:v>824.399</c:v>
                      </c:pt>
                      <c:pt idx="262" formatCode="General">
                        <c:v>94.599000000000004</c:v>
                      </c:pt>
                      <c:pt idx="263" formatCode="General">
                        <c:v>2549.058</c:v>
                      </c:pt>
                      <c:pt idx="264" formatCode="General">
                        <c:v>7019.2049999999999</c:v>
                      </c:pt>
                      <c:pt idx="265" formatCode="General">
                        <c:v>368.43200000000002</c:v>
                      </c:pt>
                      <c:pt idx="266" formatCode="General">
                        <c:v>69.706000000000003</c:v>
                      </c:pt>
                      <c:pt idx="267" formatCode="General">
                        <c:v>383.32600000000002</c:v>
                      </c:pt>
                      <c:pt idx="268" formatCode="General">
                        <c:v>1564.0250000000001</c:v>
                      </c:pt>
                      <c:pt idx="269" formatCode="General">
                        <c:v>201.06800000000001</c:v>
                      </c:pt>
                      <c:pt idx="270" formatCode="General">
                        <c:v>73035.358999999997</c:v>
                      </c:pt>
                      <c:pt idx="271" formatCode="General">
                        <c:v>451.983</c:v>
                      </c:pt>
                      <c:pt idx="272" formatCode="General">
                        <c:v>263.20499999999998</c:v>
                      </c:pt>
                      <c:pt idx="273" formatCode="General">
                        <c:v>909.24699999999996</c:v>
                      </c:pt>
                      <c:pt idx="274" formatCode="General">
                        <c:v>5081.2820000000002</c:v>
                      </c:pt>
                      <c:pt idx="275" formatCode="General">
                        <c:v>1269.5999999999999</c:v>
                      </c:pt>
                      <c:pt idx="276" formatCode="General">
                        <c:v>297.76600000000002</c:v>
                      </c:pt>
                      <c:pt idx="277" formatCode="General">
                        <c:v>7797.8739999999998</c:v>
                      </c:pt>
                      <c:pt idx="278" formatCode="General">
                        <c:v>7585.9989999999998</c:v>
                      </c:pt>
                      <c:pt idx="279" formatCode="General">
                        <c:v>525.43700000000001</c:v>
                      </c:pt>
                      <c:pt idx="280" formatCode="General">
                        <c:v>386.21</c:v>
                      </c:pt>
                      <c:pt idx="281" formatCode="General">
                        <c:v>108.40600000000001</c:v>
                      </c:pt>
                      <c:pt idx="282" formatCode="General">
                        <c:v>1191.6010000000001</c:v>
                      </c:pt>
                      <c:pt idx="283" formatCode="General">
                        <c:v>2212.3710000000001</c:v>
                      </c:pt>
                      <c:pt idx="284" formatCode="General">
                        <c:v>1298.3440000000001</c:v>
                      </c:pt>
                      <c:pt idx="285" formatCode="General">
                        <c:v>586.01</c:v>
                      </c:pt>
                      <c:pt idx="286" formatCode="General">
                        <c:v>379.19200000000001</c:v>
                      </c:pt>
                      <c:pt idx="287" formatCode="General">
                        <c:v>672.11099999999999</c:v>
                      </c:pt>
                      <c:pt idx="288" formatCode="General">
                        <c:v>2001.0530000000001</c:v>
                      </c:pt>
                      <c:pt idx="289" formatCode="General">
                        <c:v>19978.308000000001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5C6-4E19-973B-91C5491E87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(2)'!$F$1</c15:sqref>
                        </c15:formulaRef>
                      </c:ext>
                    </c:extLst>
                    <c:strCache>
                      <c:ptCount val="1"/>
                      <c:pt idx="0">
                        <c:v>Tài sản cố định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(2)'!$F$2:$F$311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23.645</c:v>
                      </c:pt>
                      <c:pt idx="1">
                        <c:v>171.61500000000001</c:v>
                      </c:pt>
                      <c:pt idx="2">
                        <c:v>13.837</c:v>
                      </c:pt>
                      <c:pt idx="3">
                        <c:v>90.275999999999996</c:v>
                      </c:pt>
                      <c:pt idx="4">
                        <c:v>250.49600000000001</c:v>
                      </c:pt>
                      <c:pt idx="5">
                        <c:v>156.62299999999999</c:v>
                      </c:pt>
                      <c:pt idx="6">
                        <c:v>1031.788</c:v>
                      </c:pt>
                      <c:pt idx="7">
                        <c:v>6560.6469999999999</c:v>
                      </c:pt>
                      <c:pt idx="8">
                        <c:v>1617.376</c:v>
                      </c:pt>
                      <c:pt idx="9">
                        <c:v>596.68299999999999</c:v>
                      </c:pt>
                      <c:pt idx="10">
                        <c:v>1527.171</c:v>
                      </c:pt>
                      <c:pt idx="11">
                        <c:v>56.49</c:v>
                      </c:pt>
                      <c:pt idx="12">
                        <c:v>24.861999999999998</c:v>
                      </c:pt>
                      <c:pt idx="13">
                        <c:v>485.94499999999999</c:v>
                      </c:pt>
                      <c:pt idx="14">
                        <c:v>946.697</c:v>
                      </c:pt>
                      <c:pt idx="15">
                        <c:v>189.833</c:v>
                      </c:pt>
                      <c:pt idx="16">
                        <c:v>238.102</c:v>
                      </c:pt>
                      <c:pt idx="17">
                        <c:v>5148.4290000000001</c:v>
                      </c:pt>
                      <c:pt idx="18">
                        <c:v>331.75599999999997</c:v>
                      </c:pt>
                      <c:pt idx="19">
                        <c:v>938.83900000000006</c:v>
                      </c:pt>
                      <c:pt idx="20">
                        <c:v>352.16500000000002</c:v>
                      </c:pt>
                      <c:pt idx="21">
                        <c:v>848.375</c:v>
                      </c:pt>
                      <c:pt idx="22">
                        <c:v>128.70599999999999</c:v>
                      </c:pt>
                      <c:pt idx="23">
                        <c:v>249.25299999999999</c:v>
                      </c:pt>
                      <c:pt idx="24">
                        <c:v>152.857</c:v>
                      </c:pt>
                      <c:pt idx="25">
                        <c:v>5997.88</c:v>
                      </c:pt>
                      <c:pt idx="26">
                        <c:v>381.31</c:v>
                      </c:pt>
                      <c:pt idx="27">
                        <c:v>7.1130000000000004</c:v>
                      </c:pt>
                      <c:pt idx="28">
                        <c:v>46.207000000000001</c:v>
                      </c:pt>
                      <c:pt idx="29">
                        <c:v>665.74400000000003</c:v>
                      </c:pt>
                      <c:pt idx="30">
                        <c:v>30.574000000000002</c:v>
                      </c:pt>
                      <c:pt idx="31">
                        <c:v>909.00300000000004</c:v>
                      </c:pt>
                      <c:pt idx="32">
                        <c:v>2582.1799999999998</c:v>
                      </c:pt>
                      <c:pt idx="33">
                        <c:v>196.601</c:v>
                      </c:pt>
                      <c:pt idx="34">
                        <c:v>75.078000000000003</c:v>
                      </c:pt>
                      <c:pt idx="35">
                        <c:v>418.69</c:v>
                      </c:pt>
                      <c:pt idx="36">
                        <c:v>914.35799999999995</c:v>
                      </c:pt>
                      <c:pt idx="37">
                        <c:v>392.57799999999997</c:v>
                      </c:pt>
                      <c:pt idx="38">
                        <c:v>42885.822999999997</c:v>
                      </c:pt>
                      <c:pt idx="39">
                        <c:v>664.05</c:v>
                      </c:pt>
                      <c:pt idx="40">
                        <c:v>228.20099999999999</c:v>
                      </c:pt>
                      <c:pt idx="41">
                        <c:v>742.94299999999998</c:v>
                      </c:pt>
                      <c:pt idx="42">
                        <c:v>4122.1350000000002</c:v>
                      </c:pt>
                      <c:pt idx="43">
                        <c:v>882.71500000000003</c:v>
                      </c:pt>
                      <c:pt idx="44">
                        <c:v>309.64999999999998</c:v>
                      </c:pt>
                      <c:pt idx="45">
                        <c:v>3969.7240000000002</c:v>
                      </c:pt>
                      <c:pt idx="46">
                        <c:v>3996.473</c:v>
                      </c:pt>
                      <c:pt idx="47">
                        <c:v>313.48599999999999</c:v>
                      </c:pt>
                      <c:pt idx="48">
                        <c:v>52.201000000000001</c:v>
                      </c:pt>
                      <c:pt idx="49">
                        <c:v>105.95099999999999</c:v>
                      </c:pt>
                      <c:pt idx="50">
                        <c:v>642.36900000000003</c:v>
                      </c:pt>
                      <c:pt idx="51">
                        <c:v>911.83500000000004</c:v>
                      </c:pt>
                      <c:pt idx="52">
                        <c:v>960.92100000000005</c:v>
                      </c:pt>
                      <c:pt idx="53">
                        <c:v>575.58600000000001</c:v>
                      </c:pt>
                      <c:pt idx="54">
                        <c:v>302.19099999999997</c:v>
                      </c:pt>
                      <c:pt idx="55">
                        <c:v>368.49799999999999</c:v>
                      </c:pt>
                      <c:pt idx="56">
                        <c:v>3383.3389999999999</c:v>
                      </c:pt>
                      <c:pt idx="57">
                        <c:v>12689.652</c:v>
                      </c:pt>
                      <c:pt idx="58">
                        <c:v>26.114000000000001</c:v>
                      </c:pt>
                      <c:pt idx="59">
                        <c:v>180.167</c:v>
                      </c:pt>
                      <c:pt idx="60">
                        <c:v>14.808</c:v>
                      </c:pt>
                      <c:pt idx="61">
                        <c:v>92.004999999999995</c:v>
                      </c:pt>
                      <c:pt idx="62">
                        <c:v>257.61500000000001</c:v>
                      </c:pt>
                      <c:pt idx="63">
                        <c:v>180.333</c:v>
                      </c:pt>
                      <c:pt idx="64">
                        <c:v>1102.095</c:v>
                      </c:pt>
                      <c:pt idx="65">
                        <c:v>6845.6589999999997</c:v>
                      </c:pt>
                      <c:pt idx="66">
                        <c:v>1096.1010000000001</c:v>
                      </c:pt>
                      <c:pt idx="67">
                        <c:v>657.40800000000002</c:v>
                      </c:pt>
                      <c:pt idx="68">
                        <c:v>1840.3150000000001</c:v>
                      </c:pt>
                      <c:pt idx="69">
                        <c:v>60.73</c:v>
                      </c:pt>
                      <c:pt idx="70">
                        <c:v>37.664999999999999</c:v>
                      </c:pt>
                      <c:pt idx="71">
                        <c:v>373.68700000000001</c:v>
                      </c:pt>
                      <c:pt idx="72">
                        <c:v>1097.47</c:v>
                      </c:pt>
                      <c:pt idx="73">
                        <c:v>173.36099999999999</c:v>
                      </c:pt>
                      <c:pt idx="74">
                        <c:v>271.42099999999999</c:v>
                      </c:pt>
                      <c:pt idx="75">
                        <c:v>4301.7650000000003</c:v>
                      </c:pt>
                      <c:pt idx="76">
                        <c:v>337.43099999999998</c:v>
                      </c:pt>
                      <c:pt idx="77">
                        <c:v>900.54100000000005</c:v>
                      </c:pt>
                      <c:pt idx="78">
                        <c:v>165.51</c:v>
                      </c:pt>
                      <c:pt idx="79">
                        <c:v>418.63299999999998</c:v>
                      </c:pt>
                      <c:pt idx="80">
                        <c:v>96.876999999999995</c:v>
                      </c:pt>
                      <c:pt idx="81">
                        <c:v>255.624</c:v>
                      </c:pt>
                      <c:pt idx="82">
                        <c:v>139.99199999999999</c:v>
                      </c:pt>
                      <c:pt idx="83">
                        <c:v>3821.15</c:v>
                      </c:pt>
                      <c:pt idx="84">
                        <c:v>421.68900000000002</c:v>
                      </c:pt>
                      <c:pt idx="85">
                        <c:v>23.154</c:v>
                      </c:pt>
                      <c:pt idx="86">
                        <c:v>50.1</c:v>
                      </c:pt>
                      <c:pt idx="87">
                        <c:v>702.84299999999996</c:v>
                      </c:pt>
                      <c:pt idx="88">
                        <c:v>34.451999999999998</c:v>
                      </c:pt>
                      <c:pt idx="89">
                        <c:v>1000.208</c:v>
                      </c:pt>
                      <c:pt idx="90">
                        <c:v>2627.9540000000002</c:v>
                      </c:pt>
                      <c:pt idx="91">
                        <c:v>228.87700000000001</c:v>
                      </c:pt>
                      <c:pt idx="92">
                        <c:v>81.316000000000003</c:v>
                      </c:pt>
                      <c:pt idx="93">
                        <c:v>408.24400000000003</c:v>
                      </c:pt>
                      <c:pt idx="94">
                        <c:v>1050.5050000000001</c:v>
                      </c:pt>
                      <c:pt idx="95">
                        <c:v>226.82400000000001</c:v>
                      </c:pt>
                      <c:pt idx="96">
                        <c:v>43535.355000000003</c:v>
                      </c:pt>
                      <c:pt idx="97">
                        <c:v>418.13900000000001</c:v>
                      </c:pt>
                      <c:pt idx="98">
                        <c:v>285.291</c:v>
                      </c:pt>
                      <c:pt idx="99">
                        <c:v>720.60400000000004</c:v>
                      </c:pt>
                      <c:pt idx="100">
                        <c:v>3827.2660000000001</c:v>
                      </c:pt>
                      <c:pt idx="101">
                        <c:v>882.43299999999999</c:v>
                      </c:pt>
                      <c:pt idx="102">
                        <c:v>301.05900000000003</c:v>
                      </c:pt>
                      <c:pt idx="103">
                        <c:v>4454.982</c:v>
                      </c:pt>
                      <c:pt idx="104">
                        <c:v>4349.7579999999998</c:v>
                      </c:pt>
                      <c:pt idx="105">
                        <c:v>351.34500000000003</c:v>
                      </c:pt>
                      <c:pt idx="106">
                        <c:v>45.039000000000001</c:v>
                      </c:pt>
                      <c:pt idx="107">
                        <c:v>86.350999999999999</c:v>
                      </c:pt>
                      <c:pt idx="108">
                        <c:v>730.56700000000001</c:v>
                      </c:pt>
                      <c:pt idx="109">
                        <c:v>737.68600000000004</c:v>
                      </c:pt>
                      <c:pt idx="110">
                        <c:v>1037.018</c:v>
                      </c:pt>
                      <c:pt idx="111">
                        <c:v>478.35</c:v>
                      </c:pt>
                      <c:pt idx="112">
                        <c:v>308.67399999999998</c:v>
                      </c:pt>
                      <c:pt idx="113">
                        <c:v>358.637</c:v>
                      </c:pt>
                      <c:pt idx="114">
                        <c:v>2823.5059999999999</c:v>
                      </c:pt>
                      <c:pt idx="115">
                        <c:v>11903.208000000001</c:v>
                      </c:pt>
                      <c:pt idx="116">
                        <c:v>26.236999999999998</c:v>
                      </c:pt>
                      <c:pt idx="117">
                        <c:v>434.928</c:v>
                      </c:pt>
                      <c:pt idx="118">
                        <c:v>13.01</c:v>
                      </c:pt>
                      <c:pt idx="119">
                        <c:v>62.64</c:v>
                      </c:pt>
                      <c:pt idx="120">
                        <c:v>284.97500000000002</c:v>
                      </c:pt>
                      <c:pt idx="121">
                        <c:v>224.756</c:v>
                      </c:pt>
                      <c:pt idx="122">
                        <c:v>1046.1469999999999</c:v>
                      </c:pt>
                      <c:pt idx="123">
                        <c:v>6713.54</c:v>
                      </c:pt>
                      <c:pt idx="124">
                        <c:v>541.16899999999998</c:v>
                      </c:pt>
                      <c:pt idx="125">
                        <c:v>607.03200000000004</c:v>
                      </c:pt>
                      <c:pt idx="126">
                        <c:v>2184.9290000000001</c:v>
                      </c:pt>
                      <c:pt idx="127">
                        <c:v>57.258000000000003</c:v>
                      </c:pt>
                      <c:pt idx="128">
                        <c:v>31.033000000000001</c:v>
                      </c:pt>
                      <c:pt idx="129">
                        <c:v>334.32600000000002</c:v>
                      </c:pt>
                      <c:pt idx="130">
                        <c:v>1280.5260000000001</c:v>
                      </c:pt>
                      <c:pt idx="131">
                        <c:v>159.45400000000001</c:v>
                      </c:pt>
                      <c:pt idx="132">
                        <c:v>255.816</c:v>
                      </c:pt>
                      <c:pt idx="133">
                        <c:v>4581.9809999999998</c:v>
                      </c:pt>
                      <c:pt idx="134">
                        <c:v>358.36599999999999</c:v>
                      </c:pt>
                      <c:pt idx="135">
                        <c:v>975.46699999999998</c:v>
                      </c:pt>
                      <c:pt idx="136">
                        <c:v>189.55199999999999</c:v>
                      </c:pt>
                      <c:pt idx="137">
                        <c:v>262.96899999999999</c:v>
                      </c:pt>
                      <c:pt idx="138">
                        <c:v>96.811999999999998</c:v>
                      </c:pt>
                      <c:pt idx="139">
                        <c:v>259.185</c:v>
                      </c:pt>
                      <c:pt idx="140">
                        <c:v>150.86799999999999</c:v>
                      </c:pt>
                      <c:pt idx="141">
                        <c:v>2809.67</c:v>
                      </c:pt>
                      <c:pt idx="142">
                        <c:v>261.62900000000002</c:v>
                      </c:pt>
                      <c:pt idx="143">
                        <c:v>25.483000000000001</c:v>
                      </c:pt>
                      <c:pt idx="144">
                        <c:v>12.9</c:v>
                      </c:pt>
                      <c:pt idx="145">
                        <c:v>672.85500000000002</c:v>
                      </c:pt>
                      <c:pt idx="146">
                        <c:v>38.04</c:v>
                      </c:pt>
                      <c:pt idx="147">
                        <c:v>1086.8409999999999</c:v>
                      </c:pt>
                      <c:pt idx="148">
                        <c:v>2540.8310000000001</c:v>
                      </c:pt>
                      <c:pt idx="149">
                        <c:v>265.30599999999998</c:v>
                      </c:pt>
                      <c:pt idx="150">
                        <c:v>73.075000000000003</c:v>
                      </c:pt>
                      <c:pt idx="151">
                        <c:v>410.30700000000002</c:v>
                      </c:pt>
                      <c:pt idx="152">
                        <c:v>1186.7170000000001</c:v>
                      </c:pt>
                      <c:pt idx="153">
                        <c:v>141.76599999999999</c:v>
                      </c:pt>
                      <c:pt idx="154">
                        <c:v>42653.938999999998</c:v>
                      </c:pt>
                      <c:pt idx="155">
                        <c:v>363.97899999999998</c:v>
                      </c:pt>
                      <c:pt idx="156">
                        <c:v>314.37200000000001</c:v>
                      </c:pt>
                      <c:pt idx="157">
                        <c:v>735.346</c:v>
                      </c:pt>
                      <c:pt idx="158">
                        <c:v>3402.0590000000002</c:v>
                      </c:pt>
                      <c:pt idx="159">
                        <c:v>909.98500000000001</c:v>
                      </c:pt>
                      <c:pt idx="160">
                        <c:v>287.71699999999998</c:v>
                      </c:pt>
                      <c:pt idx="161">
                        <c:v>4401.8</c:v>
                      </c:pt>
                      <c:pt idx="162">
                        <c:v>4397.3450000000003</c:v>
                      </c:pt>
                      <c:pt idx="163">
                        <c:v>377.97899999999998</c:v>
                      </c:pt>
                      <c:pt idx="164">
                        <c:v>54.462000000000003</c:v>
                      </c:pt>
                      <c:pt idx="165">
                        <c:v>70.882000000000005</c:v>
                      </c:pt>
                      <c:pt idx="166">
                        <c:v>806.745</c:v>
                      </c:pt>
                      <c:pt idx="167">
                        <c:v>497.80799999999999</c:v>
                      </c:pt>
                      <c:pt idx="168">
                        <c:v>927.71699999999998</c:v>
                      </c:pt>
                      <c:pt idx="169">
                        <c:v>445.54399999999998</c:v>
                      </c:pt>
                      <c:pt idx="170">
                        <c:v>310.77999999999997</c:v>
                      </c:pt>
                      <c:pt idx="171">
                        <c:v>434.32</c:v>
                      </c:pt>
                      <c:pt idx="172">
                        <c:v>2066.6889999999999</c:v>
                      </c:pt>
                      <c:pt idx="173">
                        <c:v>12706.599</c:v>
                      </c:pt>
                      <c:pt idx="174">
                        <c:v>28.661000000000001</c:v>
                      </c:pt>
                      <c:pt idx="175">
                        <c:v>297.48</c:v>
                      </c:pt>
                      <c:pt idx="176">
                        <c:v>15.265000000000001</c:v>
                      </c:pt>
                      <c:pt idx="177">
                        <c:v>64.001000000000005</c:v>
                      </c:pt>
                      <c:pt idx="178">
                        <c:v>322.25799999999998</c:v>
                      </c:pt>
                      <c:pt idx="179">
                        <c:v>273.85000000000002</c:v>
                      </c:pt>
                      <c:pt idx="180">
                        <c:v>1019.1130000000001</c:v>
                      </c:pt>
                      <c:pt idx="181">
                        <c:v>6957.4539999999997</c:v>
                      </c:pt>
                      <c:pt idx="182">
                        <c:v>213.768</c:v>
                      </c:pt>
                      <c:pt idx="183">
                        <c:v>474.71899999999999</c:v>
                      </c:pt>
                      <c:pt idx="184">
                        <c:v>2556.0210000000002</c:v>
                      </c:pt>
                      <c:pt idx="185">
                        <c:v>41.908999999999999</c:v>
                      </c:pt>
                      <c:pt idx="186">
                        <c:v>58.948</c:v>
                      </c:pt>
                      <c:pt idx="187">
                        <c:v>341.59399999999999</c:v>
                      </c:pt>
                      <c:pt idx="188">
                        <c:v>1470.7090000000001</c:v>
                      </c:pt>
                      <c:pt idx="189">
                        <c:v>160.852</c:v>
                      </c:pt>
                      <c:pt idx="190">
                        <c:v>308.07600000000002</c:v>
                      </c:pt>
                      <c:pt idx="191">
                        <c:v>4455.4690000000001</c:v>
                      </c:pt>
                      <c:pt idx="192">
                        <c:v>380.72199999999998</c:v>
                      </c:pt>
                      <c:pt idx="193">
                        <c:v>1063.6010000000001</c:v>
                      </c:pt>
                      <c:pt idx="194">
                        <c:v>206.17099999999999</c:v>
                      </c:pt>
                      <c:pt idx="195">
                        <c:v>307.81799999999998</c:v>
                      </c:pt>
                      <c:pt idx="196">
                        <c:v>98.167000000000002</c:v>
                      </c:pt>
                      <c:pt idx="197">
                        <c:v>185.46199999999999</c:v>
                      </c:pt>
                      <c:pt idx="198">
                        <c:v>160.91200000000001</c:v>
                      </c:pt>
                      <c:pt idx="199">
                        <c:v>12626.27</c:v>
                      </c:pt>
                      <c:pt idx="200">
                        <c:v>248.54599999999999</c:v>
                      </c:pt>
                      <c:pt idx="201">
                        <c:v>26.216999999999999</c:v>
                      </c:pt>
                      <c:pt idx="202">
                        <c:v>10.105</c:v>
                      </c:pt>
                      <c:pt idx="203">
                        <c:v>737.82600000000002</c:v>
                      </c:pt>
                      <c:pt idx="204">
                        <c:v>43.686999999999998</c:v>
                      </c:pt>
                      <c:pt idx="205">
                        <c:v>1175.1769999999999</c:v>
                      </c:pt>
                      <c:pt idx="206">
                        <c:v>2676.57</c:v>
                      </c:pt>
                      <c:pt idx="207">
                        <c:v>305.51499999999999</c:v>
                      </c:pt>
                      <c:pt idx="208">
                        <c:v>61.052</c:v>
                      </c:pt>
                      <c:pt idx="209">
                        <c:v>400.68400000000003</c:v>
                      </c:pt>
                      <c:pt idx="210">
                        <c:v>1174.0260000000001</c:v>
                      </c:pt>
                      <c:pt idx="211">
                        <c:v>151.32599999999999</c:v>
                      </c:pt>
                      <c:pt idx="212">
                        <c:v>49582.186999999998</c:v>
                      </c:pt>
                      <c:pt idx="213">
                        <c:v>350.70600000000002</c:v>
                      </c:pt>
                      <c:pt idx="214">
                        <c:v>357.07100000000003</c:v>
                      </c:pt>
                      <c:pt idx="215">
                        <c:v>775.07100000000003</c:v>
                      </c:pt>
                      <c:pt idx="216">
                        <c:v>3521.3049999999998</c:v>
                      </c:pt>
                      <c:pt idx="217">
                        <c:v>931.61699999999996</c:v>
                      </c:pt>
                      <c:pt idx="218">
                        <c:v>290.53500000000003</c:v>
                      </c:pt>
                      <c:pt idx="219">
                        <c:v>4874.5039999999999</c:v>
                      </c:pt>
                      <c:pt idx="220">
                        <c:v>4127.3620000000001</c:v>
                      </c:pt>
                      <c:pt idx="221">
                        <c:v>382.11</c:v>
                      </c:pt>
                      <c:pt idx="222">
                        <c:v>62.219000000000001</c:v>
                      </c:pt>
                      <c:pt idx="223">
                        <c:v>80.757000000000005</c:v>
                      </c:pt>
                      <c:pt idx="224">
                        <c:v>913.92200000000003</c:v>
                      </c:pt>
                      <c:pt idx="225">
                        <c:v>513.35</c:v>
                      </c:pt>
                      <c:pt idx="226">
                        <c:v>986.31399999999996</c:v>
                      </c:pt>
                      <c:pt idx="227">
                        <c:v>463.58800000000002</c:v>
                      </c:pt>
                      <c:pt idx="228">
                        <c:v>311.17500000000001</c:v>
                      </c:pt>
                      <c:pt idx="229">
                        <c:v>482.72</c:v>
                      </c:pt>
                      <c:pt idx="230">
                        <c:v>1808.481</c:v>
                      </c:pt>
                      <c:pt idx="231">
                        <c:v>13853.808000000001</c:v>
                      </c:pt>
                      <c:pt idx="232" formatCode="General">
                        <c:v>30.504999999999999</c:v>
                      </c:pt>
                      <c:pt idx="233" formatCode="General">
                        <c:v>342.94299999999998</c:v>
                      </c:pt>
                      <c:pt idx="234" formatCode="General">
                        <c:v>16.309999999999999</c:v>
                      </c:pt>
                      <c:pt idx="235" formatCode="General">
                        <c:v>54.286000000000001</c:v>
                      </c:pt>
                      <c:pt idx="236" formatCode="General">
                        <c:v>344.91199999999998</c:v>
                      </c:pt>
                      <c:pt idx="237" formatCode="General">
                        <c:v>331.05799999999999</c:v>
                      </c:pt>
                      <c:pt idx="238" formatCode="General">
                        <c:v>552.76599999999996</c:v>
                      </c:pt>
                      <c:pt idx="239" formatCode="General">
                        <c:v>5749.2380000000003</c:v>
                      </c:pt>
                      <c:pt idx="240" formatCode="General">
                        <c:v>45.054000000000002</c:v>
                      </c:pt>
                      <c:pt idx="241" formatCode="General">
                        <c:v>192.505</c:v>
                      </c:pt>
                      <c:pt idx="242" formatCode="General">
                        <c:v>2887.0369999999998</c:v>
                      </c:pt>
                      <c:pt idx="243" formatCode="General">
                        <c:v>22.65</c:v>
                      </c:pt>
                      <c:pt idx="244" formatCode="General">
                        <c:v>95.558000000000007</c:v>
                      </c:pt>
                      <c:pt idx="245" formatCode="General">
                        <c:v>205.584</c:v>
                      </c:pt>
                      <c:pt idx="246" formatCode="General">
                        <c:v>1576.5840000000001</c:v>
                      </c:pt>
                      <c:pt idx="247" formatCode="General">
                        <c:v>131.72800000000001</c:v>
                      </c:pt>
                      <c:pt idx="248" formatCode="General">
                        <c:v>327.97699999999998</c:v>
                      </c:pt>
                      <c:pt idx="249" formatCode="General">
                        <c:v>4560.8770000000004</c:v>
                      </c:pt>
                      <c:pt idx="250" formatCode="General">
                        <c:v>119.465</c:v>
                      </c:pt>
                      <c:pt idx="251" formatCode="General">
                        <c:v>1260.4829999999999</c:v>
                      </c:pt>
                      <c:pt idx="252" formatCode="General">
                        <c:v>244.47800000000001</c:v>
                      </c:pt>
                      <c:pt idx="253" formatCode="General">
                        <c:v>267.15300000000002</c:v>
                      </c:pt>
                      <c:pt idx="254" formatCode="General">
                        <c:v>42.359000000000002</c:v>
                      </c:pt>
                      <c:pt idx="255" formatCode="General">
                        <c:v>138.54900000000001</c:v>
                      </c:pt>
                      <c:pt idx="256" formatCode="General">
                        <c:v>158.33500000000001</c:v>
                      </c:pt>
                      <c:pt idx="257" formatCode="General">
                        <c:v>10280.436</c:v>
                      </c:pt>
                      <c:pt idx="258" formatCode="General">
                        <c:v>333.46499999999997</c:v>
                      </c:pt>
                      <c:pt idx="259" formatCode="General">
                        <c:v>21.422000000000001</c:v>
                      </c:pt>
                      <c:pt idx="260" formatCode="General">
                        <c:v>11.336</c:v>
                      </c:pt>
                      <c:pt idx="261" formatCode="General">
                        <c:v>743.07</c:v>
                      </c:pt>
                      <c:pt idx="262" formatCode="General">
                        <c:v>43.133000000000003</c:v>
                      </c:pt>
                      <c:pt idx="263" formatCode="General">
                        <c:v>1185.231</c:v>
                      </c:pt>
                      <c:pt idx="264" formatCode="General">
                        <c:v>2851.64</c:v>
                      </c:pt>
                      <c:pt idx="265" formatCode="General">
                        <c:v>345.92200000000003</c:v>
                      </c:pt>
                      <c:pt idx="266" formatCode="General">
                        <c:v>57.631999999999998</c:v>
                      </c:pt>
                      <c:pt idx="267" formatCode="General">
                        <c:v>324.13600000000002</c:v>
                      </c:pt>
                      <c:pt idx="268" formatCode="General">
                        <c:v>1104.0999999999999</c:v>
                      </c:pt>
                      <c:pt idx="269" formatCode="General">
                        <c:v>193.608</c:v>
                      </c:pt>
                      <c:pt idx="270" formatCode="General">
                        <c:v>40791.699000000001</c:v>
                      </c:pt>
                      <c:pt idx="271" formatCode="General">
                        <c:v>359.18599999999998</c:v>
                      </c:pt>
                      <c:pt idx="272" formatCode="General">
                        <c:v>152.286</c:v>
                      </c:pt>
                      <c:pt idx="273" formatCode="General">
                        <c:v>458.60700000000003</c:v>
                      </c:pt>
                      <c:pt idx="274" formatCode="General">
                        <c:v>3039.866</c:v>
                      </c:pt>
                      <c:pt idx="275" formatCode="General">
                        <c:v>923.87</c:v>
                      </c:pt>
                      <c:pt idx="276" formatCode="General">
                        <c:v>292.54599999999999</c:v>
                      </c:pt>
                      <c:pt idx="277" formatCode="General">
                        <c:v>4685.4399999999996</c:v>
                      </c:pt>
                      <c:pt idx="278" formatCode="General">
                        <c:v>4220.3149999999996</c:v>
                      </c:pt>
                      <c:pt idx="279" formatCode="General">
                        <c:v>439.41399999999999</c:v>
                      </c:pt>
                      <c:pt idx="280" formatCode="General">
                        <c:v>80.992999999999995</c:v>
                      </c:pt>
                      <c:pt idx="281" formatCode="General">
                        <c:v>80.882000000000005</c:v>
                      </c:pt>
                      <c:pt idx="282" formatCode="General">
                        <c:v>1048.021</c:v>
                      </c:pt>
                      <c:pt idx="283" formatCode="General">
                        <c:v>502.79599999999999</c:v>
                      </c:pt>
                      <c:pt idx="284" formatCode="General">
                        <c:v>1090.578</c:v>
                      </c:pt>
                      <c:pt idx="285" formatCode="General">
                        <c:v>464.23700000000002</c:v>
                      </c:pt>
                      <c:pt idx="286" formatCode="General">
                        <c:v>323.18099999999998</c:v>
                      </c:pt>
                      <c:pt idx="287" formatCode="General">
                        <c:v>556.745</c:v>
                      </c:pt>
                      <c:pt idx="288" formatCode="General">
                        <c:v>1504.403</c:v>
                      </c:pt>
                      <c:pt idx="289" formatCode="General">
                        <c:v>14893.54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5C6-4E19-973B-91C5491E87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(2)'!$G$1</c15:sqref>
                        </c15:formulaRef>
                      </c:ext>
                    </c:extLst>
                    <c:strCache>
                      <c:ptCount val="1"/>
                      <c:pt idx="0">
                        <c:v>Tổng tài sản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(2)'!$G$2:$G$311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212.857</c:v>
                      </c:pt>
                      <c:pt idx="1">
                        <c:v>1053.1559999999999</c:v>
                      </c:pt>
                      <c:pt idx="2">
                        <c:v>1579.2049999999999</c:v>
                      </c:pt>
                      <c:pt idx="3">
                        <c:v>651.38400000000001</c:v>
                      </c:pt>
                      <c:pt idx="4">
                        <c:v>1749.18</c:v>
                      </c:pt>
                      <c:pt idx="5">
                        <c:v>2503.7919999999999</c:v>
                      </c:pt>
                      <c:pt idx="6">
                        <c:v>5112.67</c:v>
                      </c:pt>
                      <c:pt idx="7">
                        <c:v>20307.453000000001</c:v>
                      </c:pt>
                      <c:pt idx="8">
                        <c:v>6533.6610000000001</c:v>
                      </c:pt>
                      <c:pt idx="9">
                        <c:v>2327.7910000000002</c:v>
                      </c:pt>
                      <c:pt idx="10">
                        <c:v>7149.9809999999998</c:v>
                      </c:pt>
                      <c:pt idx="11">
                        <c:v>915.41800000000001</c:v>
                      </c:pt>
                      <c:pt idx="12">
                        <c:v>1566.7929999999999</c:v>
                      </c:pt>
                      <c:pt idx="13">
                        <c:v>3425.7620000000002</c:v>
                      </c:pt>
                      <c:pt idx="14">
                        <c:v>3884.3009999999999</c:v>
                      </c:pt>
                      <c:pt idx="15">
                        <c:v>3657.4569999999999</c:v>
                      </c:pt>
                      <c:pt idx="16">
                        <c:v>1662.6</c:v>
                      </c:pt>
                      <c:pt idx="17">
                        <c:v>13011.704</c:v>
                      </c:pt>
                      <c:pt idx="18">
                        <c:v>1444.059</c:v>
                      </c:pt>
                      <c:pt idx="19">
                        <c:v>3384.337</c:v>
                      </c:pt>
                      <c:pt idx="20">
                        <c:v>1355.8710000000001</c:v>
                      </c:pt>
                      <c:pt idx="21">
                        <c:v>3356.1840000000002</c:v>
                      </c:pt>
                      <c:pt idx="22">
                        <c:v>408.90699999999998</c:v>
                      </c:pt>
                      <c:pt idx="23">
                        <c:v>3357.1590000000001</c:v>
                      </c:pt>
                      <c:pt idx="24">
                        <c:v>419.07799999999997</c:v>
                      </c:pt>
                      <c:pt idx="25">
                        <c:v>20903.255000000001</c:v>
                      </c:pt>
                      <c:pt idx="26">
                        <c:v>2006.288</c:v>
                      </c:pt>
                      <c:pt idx="27">
                        <c:v>4673.5910000000003</c:v>
                      </c:pt>
                      <c:pt idx="28">
                        <c:v>480.11500000000001</c:v>
                      </c:pt>
                      <c:pt idx="29">
                        <c:v>2507.721</c:v>
                      </c:pt>
                      <c:pt idx="30">
                        <c:v>448.19499999999999</c:v>
                      </c:pt>
                      <c:pt idx="31">
                        <c:v>8277.4480000000003</c:v>
                      </c:pt>
                      <c:pt idx="32">
                        <c:v>12391.013999999999</c:v>
                      </c:pt>
                      <c:pt idx="33">
                        <c:v>879.404</c:v>
                      </c:pt>
                      <c:pt idx="34">
                        <c:v>332.13600000000002</c:v>
                      </c:pt>
                      <c:pt idx="35">
                        <c:v>1306.037</c:v>
                      </c:pt>
                      <c:pt idx="36">
                        <c:v>2714.9639999999999</c:v>
                      </c:pt>
                      <c:pt idx="37">
                        <c:v>2606.0630000000001</c:v>
                      </c:pt>
                      <c:pt idx="38">
                        <c:v>147383.47200000001</c:v>
                      </c:pt>
                      <c:pt idx="39">
                        <c:v>2043.2349999999999</c:v>
                      </c:pt>
                      <c:pt idx="40">
                        <c:v>599.21400000000006</c:v>
                      </c:pt>
                      <c:pt idx="41">
                        <c:v>2221.165</c:v>
                      </c:pt>
                      <c:pt idx="42">
                        <c:v>20188.141</c:v>
                      </c:pt>
                      <c:pt idx="43">
                        <c:v>14427.558000000001</c:v>
                      </c:pt>
                      <c:pt idx="44">
                        <c:v>7751.6880000000001</c:v>
                      </c:pt>
                      <c:pt idx="45">
                        <c:v>34056.625</c:v>
                      </c:pt>
                      <c:pt idx="46">
                        <c:v>34137.216</c:v>
                      </c:pt>
                      <c:pt idx="47">
                        <c:v>1016.567</c:v>
                      </c:pt>
                      <c:pt idx="48">
                        <c:v>1346.84</c:v>
                      </c:pt>
                      <c:pt idx="49">
                        <c:v>546.06700000000001</c:v>
                      </c:pt>
                      <c:pt idx="50">
                        <c:v>2973.8589999999999</c:v>
                      </c:pt>
                      <c:pt idx="51">
                        <c:v>7173.8630000000003</c:v>
                      </c:pt>
                      <c:pt idx="52">
                        <c:v>3279.364</c:v>
                      </c:pt>
                      <c:pt idx="53">
                        <c:v>2808.4479999999999</c:v>
                      </c:pt>
                      <c:pt idx="54">
                        <c:v>2169.752</c:v>
                      </c:pt>
                      <c:pt idx="55">
                        <c:v>1456.3</c:v>
                      </c:pt>
                      <c:pt idx="56">
                        <c:v>11942.549000000001</c:v>
                      </c:pt>
                      <c:pt idx="57">
                        <c:v>52673.370999999999</c:v>
                      </c:pt>
                      <c:pt idx="58">
                        <c:v>218.58</c:v>
                      </c:pt>
                      <c:pt idx="59">
                        <c:v>1053.4459999999999</c:v>
                      </c:pt>
                      <c:pt idx="60">
                        <c:v>1669.271</c:v>
                      </c:pt>
                      <c:pt idx="61">
                        <c:v>622.54</c:v>
                      </c:pt>
                      <c:pt idx="62">
                        <c:v>1481.37</c:v>
                      </c:pt>
                      <c:pt idx="63">
                        <c:v>2181.6950000000002</c:v>
                      </c:pt>
                      <c:pt idx="64">
                        <c:v>5467.6530000000002</c:v>
                      </c:pt>
                      <c:pt idx="65">
                        <c:v>19086.345000000001</c:v>
                      </c:pt>
                      <c:pt idx="66">
                        <c:v>4729.0959999999995</c:v>
                      </c:pt>
                      <c:pt idx="67">
                        <c:v>1850.3779999999999</c:v>
                      </c:pt>
                      <c:pt idx="68">
                        <c:v>7233.1779999999999</c:v>
                      </c:pt>
                      <c:pt idx="69">
                        <c:v>924.31600000000003</c:v>
                      </c:pt>
                      <c:pt idx="70">
                        <c:v>1385.1130000000001</c:v>
                      </c:pt>
                      <c:pt idx="71">
                        <c:v>2914.0320000000002</c:v>
                      </c:pt>
                      <c:pt idx="72">
                        <c:v>4204.2370000000001</c:v>
                      </c:pt>
                      <c:pt idx="73">
                        <c:v>2526.6959999999999</c:v>
                      </c:pt>
                      <c:pt idx="74">
                        <c:v>1752.664</c:v>
                      </c:pt>
                      <c:pt idx="75">
                        <c:v>12974.103999999999</c:v>
                      </c:pt>
                      <c:pt idx="76">
                        <c:v>1485.088</c:v>
                      </c:pt>
                      <c:pt idx="77">
                        <c:v>3417.799</c:v>
                      </c:pt>
                      <c:pt idx="78">
                        <c:v>1456.6949999999999</c:v>
                      </c:pt>
                      <c:pt idx="79">
                        <c:v>2988.8069999999998</c:v>
                      </c:pt>
                      <c:pt idx="80">
                        <c:v>406.00599999999997</c:v>
                      </c:pt>
                      <c:pt idx="81">
                        <c:v>3988.337</c:v>
                      </c:pt>
                      <c:pt idx="82">
                        <c:v>535.39200000000005</c:v>
                      </c:pt>
                      <c:pt idx="83">
                        <c:v>19798.387999999999</c:v>
                      </c:pt>
                      <c:pt idx="84">
                        <c:v>2578.65</c:v>
                      </c:pt>
                      <c:pt idx="85">
                        <c:v>4492.5910000000003</c:v>
                      </c:pt>
                      <c:pt idx="86">
                        <c:v>488.63600000000002</c:v>
                      </c:pt>
                      <c:pt idx="87">
                        <c:v>2394.663</c:v>
                      </c:pt>
                      <c:pt idx="88">
                        <c:v>357.49200000000002</c:v>
                      </c:pt>
                      <c:pt idx="89">
                        <c:v>8084.1080000000002</c:v>
                      </c:pt>
                      <c:pt idx="90">
                        <c:v>14004.793</c:v>
                      </c:pt>
                      <c:pt idx="91">
                        <c:v>926.75199999999995</c:v>
                      </c:pt>
                      <c:pt idx="92">
                        <c:v>403.64600000000002</c:v>
                      </c:pt>
                      <c:pt idx="93">
                        <c:v>1232.2080000000001</c:v>
                      </c:pt>
                      <c:pt idx="94">
                        <c:v>2492.1750000000002</c:v>
                      </c:pt>
                      <c:pt idx="95">
                        <c:v>2455.2460000000001</c:v>
                      </c:pt>
                      <c:pt idx="96">
                        <c:v>141342.815</c:v>
                      </c:pt>
                      <c:pt idx="97">
                        <c:v>1743.748</c:v>
                      </c:pt>
                      <c:pt idx="98">
                        <c:v>751.86400000000003</c:v>
                      </c:pt>
                      <c:pt idx="99">
                        <c:v>2025.729</c:v>
                      </c:pt>
                      <c:pt idx="100">
                        <c:v>16081.598</c:v>
                      </c:pt>
                      <c:pt idx="101">
                        <c:v>13337.125</c:v>
                      </c:pt>
                      <c:pt idx="102">
                        <c:v>6716.4830000000002</c:v>
                      </c:pt>
                      <c:pt idx="103">
                        <c:v>34465.076000000001</c:v>
                      </c:pt>
                      <c:pt idx="104">
                        <c:v>29041.225999999999</c:v>
                      </c:pt>
                      <c:pt idx="105">
                        <c:v>978.49599999999998</c:v>
                      </c:pt>
                      <c:pt idx="106">
                        <c:v>1245.0260000000001</c:v>
                      </c:pt>
                      <c:pt idx="107">
                        <c:v>526.95799999999997</c:v>
                      </c:pt>
                      <c:pt idx="108">
                        <c:v>2125.0329999999999</c:v>
                      </c:pt>
                      <c:pt idx="109">
                        <c:v>6146.7250000000004</c:v>
                      </c:pt>
                      <c:pt idx="110">
                        <c:v>3477.067</c:v>
                      </c:pt>
                      <c:pt idx="111">
                        <c:v>2869.0360000000001</c:v>
                      </c:pt>
                      <c:pt idx="112">
                        <c:v>3506.4209999999998</c:v>
                      </c:pt>
                      <c:pt idx="113">
                        <c:v>1813.28</c:v>
                      </c:pt>
                      <c:pt idx="114">
                        <c:v>11583.29</c:v>
                      </c:pt>
                      <c:pt idx="115">
                        <c:v>48482.663999999997</c:v>
                      </c:pt>
                      <c:pt idx="116">
                        <c:v>201.08799999999999</c:v>
                      </c:pt>
                      <c:pt idx="117">
                        <c:v>976.61199999999997</c:v>
                      </c:pt>
                      <c:pt idx="118">
                        <c:v>1592.952</c:v>
                      </c:pt>
                      <c:pt idx="119">
                        <c:v>594.274</c:v>
                      </c:pt>
                      <c:pt idx="120">
                        <c:v>1458.1790000000001</c:v>
                      </c:pt>
                      <c:pt idx="121">
                        <c:v>1985.1690000000001</c:v>
                      </c:pt>
                      <c:pt idx="122">
                        <c:v>4887.18</c:v>
                      </c:pt>
                      <c:pt idx="123">
                        <c:v>18169.114000000001</c:v>
                      </c:pt>
                      <c:pt idx="124">
                        <c:v>5457.2460000000001</c:v>
                      </c:pt>
                      <c:pt idx="125">
                        <c:v>1639.538</c:v>
                      </c:pt>
                      <c:pt idx="126">
                        <c:v>7087.73</c:v>
                      </c:pt>
                      <c:pt idx="127">
                        <c:v>463.327</c:v>
                      </c:pt>
                      <c:pt idx="128">
                        <c:v>1050.1690000000001</c:v>
                      </c:pt>
                      <c:pt idx="129">
                        <c:v>2421.5839999999998</c:v>
                      </c:pt>
                      <c:pt idx="130">
                        <c:v>4153.3130000000001</c:v>
                      </c:pt>
                      <c:pt idx="131">
                        <c:v>1762.0920000000001</c:v>
                      </c:pt>
                      <c:pt idx="132">
                        <c:v>1626.2470000000001</c:v>
                      </c:pt>
                      <c:pt idx="133">
                        <c:v>10862.554</c:v>
                      </c:pt>
                      <c:pt idx="134">
                        <c:v>1410.153</c:v>
                      </c:pt>
                      <c:pt idx="135">
                        <c:v>3135.9430000000002</c:v>
                      </c:pt>
                      <c:pt idx="136">
                        <c:v>1268.7429999999999</c:v>
                      </c:pt>
                      <c:pt idx="137">
                        <c:v>2699.7829999999999</c:v>
                      </c:pt>
                      <c:pt idx="138">
                        <c:v>380.96499999999997</c:v>
                      </c:pt>
                      <c:pt idx="139">
                        <c:v>3765.8009999999999</c:v>
                      </c:pt>
                      <c:pt idx="140">
                        <c:v>827.38199999999995</c:v>
                      </c:pt>
                      <c:pt idx="141">
                        <c:v>18439.685000000001</c:v>
                      </c:pt>
                      <c:pt idx="142">
                        <c:v>1277.2170000000001</c:v>
                      </c:pt>
                      <c:pt idx="143">
                        <c:v>4265.2569999999996</c:v>
                      </c:pt>
                      <c:pt idx="144">
                        <c:v>327.07100000000003</c:v>
                      </c:pt>
                      <c:pt idx="145">
                        <c:v>2340.7649999999999</c:v>
                      </c:pt>
                      <c:pt idx="146">
                        <c:v>337.75799999999998</c:v>
                      </c:pt>
                      <c:pt idx="147">
                        <c:v>7553.8590000000004</c:v>
                      </c:pt>
                      <c:pt idx="148">
                        <c:v>14072.706</c:v>
                      </c:pt>
                      <c:pt idx="149">
                        <c:v>1074.9829999999999</c:v>
                      </c:pt>
                      <c:pt idx="150">
                        <c:v>279.75200000000001</c:v>
                      </c:pt>
                      <c:pt idx="151">
                        <c:v>1167.644</c:v>
                      </c:pt>
                      <c:pt idx="152">
                        <c:v>2526.866</c:v>
                      </c:pt>
                      <c:pt idx="153">
                        <c:v>2486.9659999999999</c:v>
                      </c:pt>
                      <c:pt idx="154">
                        <c:v>126093.47100000001</c:v>
                      </c:pt>
                      <c:pt idx="155">
                        <c:v>1654.056</c:v>
                      </c:pt>
                      <c:pt idx="156">
                        <c:v>867.01199999999994</c:v>
                      </c:pt>
                      <c:pt idx="157">
                        <c:v>1931.9590000000001</c:v>
                      </c:pt>
                      <c:pt idx="158">
                        <c:v>15023.901</c:v>
                      </c:pt>
                      <c:pt idx="159">
                        <c:v>10619.017</c:v>
                      </c:pt>
                      <c:pt idx="160">
                        <c:v>5392.2969999999996</c:v>
                      </c:pt>
                      <c:pt idx="161">
                        <c:v>30487.024000000001</c:v>
                      </c:pt>
                      <c:pt idx="162">
                        <c:v>23499.947</c:v>
                      </c:pt>
                      <c:pt idx="163">
                        <c:v>937.09799999999996</c:v>
                      </c:pt>
                      <c:pt idx="164">
                        <c:v>1235.3710000000001</c:v>
                      </c:pt>
                      <c:pt idx="165">
                        <c:v>514.43200000000002</c:v>
                      </c:pt>
                      <c:pt idx="166">
                        <c:v>1971.14</c:v>
                      </c:pt>
                      <c:pt idx="167">
                        <c:v>4429.01</c:v>
                      </c:pt>
                      <c:pt idx="168">
                        <c:v>3606.3910000000001</c:v>
                      </c:pt>
                      <c:pt idx="169">
                        <c:v>2446.1390000000001</c:v>
                      </c:pt>
                      <c:pt idx="170">
                        <c:v>3120.7710000000002</c:v>
                      </c:pt>
                      <c:pt idx="171">
                        <c:v>1390.788</c:v>
                      </c:pt>
                      <c:pt idx="172">
                        <c:v>8737.6270000000004</c:v>
                      </c:pt>
                      <c:pt idx="173">
                        <c:v>53332.402999999998</c:v>
                      </c:pt>
                      <c:pt idx="174">
                        <c:v>210.81899999999999</c:v>
                      </c:pt>
                      <c:pt idx="175">
                        <c:v>579.86400000000003</c:v>
                      </c:pt>
                      <c:pt idx="176">
                        <c:v>1170.096</c:v>
                      </c:pt>
                      <c:pt idx="177">
                        <c:v>543.67499999999995</c:v>
                      </c:pt>
                      <c:pt idx="178">
                        <c:v>1659.5419999999999</c:v>
                      </c:pt>
                      <c:pt idx="179">
                        <c:v>1837.8910000000001</c:v>
                      </c:pt>
                      <c:pt idx="180">
                        <c:v>4834.08</c:v>
                      </c:pt>
                      <c:pt idx="181">
                        <c:v>17604.595000000001</c:v>
                      </c:pt>
                      <c:pt idx="182">
                        <c:v>5245.8329999999996</c:v>
                      </c:pt>
                      <c:pt idx="183">
                        <c:v>1543.1020000000001</c:v>
                      </c:pt>
                      <c:pt idx="184">
                        <c:v>7684.0829999999996</c:v>
                      </c:pt>
                      <c:pt idx="185">
                        <c:v>450.755</c:v>
                      </c:pt>
                      <c:pt idx="186">
                        <c:v>911.62</c:v>
                      </c:pt>
                      <c:pt idx="187">
                        <c:v>1492.6679999999999</c:v>
                      </c:pt>
                      <c:pt idx="188">
                        <c:v>3813.25</c:v>
                      </c:pt>
                      <c:pt idx="189">
                        <c:v>1578.6969999999999</c:v>
                      </c:pt>
                      <c:pt idx="190">
                        <c:v>1639.1659999999999</c:v>
                      </c:pt>
                      <c:pt idx="191">
                        <c:v>10101.271000000001</c:v>
                      </c:pt>
                      <c:pt idx="192">
                        <c:v>1409.6489999999999</c:v>
                      </c:pt>
                      <c:pt idx="193">
                        <c:v>2430.71</c:v>
                      </c:pt>
                      <c:pt idx="194">
                        <c:v>1353.0329999999999</c:v>
                      </c:pt>
                      <c:pt idx="195">
                        <c:v>1711.162</c:v>
                      </c:pt>
                      <c:pt idx="196">
                        <c:v>398.86200000000002</c:v>
                      </c:pt>
                      <c:pt idx="197">
                        <c:v>2708.5619999999999</c:v>
                      </c:pt>
                      <c:pt idx="198">
                        <c:v>1222.79</c:v>
                      </c:pt>
                      <c:pt idx="199">
                        <c:v>37265.82</c:v>
                      </c:pt>
                      <c:pt idx="200">
                        <c:v>1232.3699999999999</c:v>
                      </c:pt>
                      <c:pt idx="201">
                        <c:v>3946.663</c:v>
                      </c:pt>
                      <c:pt idx="202">
                        <c:v>259.75</c:v>
                      </c:pt>
                      <c:pt idx="203">
                        <c:v>1751.2370000000001</c:v>
                      </c:pt>
                      <c:pt idx="204">
                        <c:v>360.154</c:v>
                      </c:pt>
                      <c:pt idx="205">
                        <c:v>7713.6360000000004</c:v>
                      </c:pt>
                      <c:pt idx="206">
                        <c:v>12349.155000000001</c:v>
                      </c:pt>
                      <c:pt idx="207">
                        <c:v>1105.2919999999999</c:v>
                      </c:pt>
                      <c:pt idx="208">
                        <c:v>207.54499999999999</c:v>
                      </c:pt>
                      <c:pt idx="209">
                        <c:v>1017.669</c:v>
                      </c:pt>
                      <c:pt idx="210">
                        <c:v>2322.4119999999998</c:v>
                      </c:pt>
                      <c:pt idx="211">
                        <c:v>1222.596</c:v>
                      </c:pt>
                      <c:pt idx="212">
                        <c:v>115736.56200000001</c:v>
                      </c:pt>
                      <c:pt idx="213">
                        <c:v>1533.3789999999999</c:v>
                      </c:pt>
                      <c:pt idx="214">
                        <c:v>882.74900000000002</c:v>
                      </c:pt>
                      <c:pt idx="215">
                        <c:v>1801.5519999999999</c:v>
                      </c:pt>
                      <c:pt idx="216">
                        <c:v>11336.295</c:v>
                      </c:pt>
                      <c:pt idx="217">
                        <c:v>8483.1460000000006</c:v>
                      </c:pt>
                      <c:pt idx="218">
                        <c:v>4026.0120000000002</c:v>
                      </c:pt>
                      <c:pt idx="219">
                        <c:v>27374.973000000002</c:v>
                      </c:pt>
                      <c:pt idx="220">
                        <c:v>18296.648000000001</c:v>
                      </c:pt>
                      <c:pt idx="221">
                        <c:v>804.07</c:v>
                      </c:pt>
                      <c:pt idx="222">
                        <c:v>1405.3430000000001</c:v>
                      </c:pt>
                      <c:pt idx="223">
                        <c:v>482.411</c:v>
                      </c:pt>
                      <c:pt idx="224">
                        <c:v>1703.3889999999999</c:v>
                      </c:pt>
                      <c:pt idx="225">
                        <c:v>4260.5820000000003</c:v>
                      </c:pt>
                      <c:pt idx="226">
                        <c:v>2976.4229999999998</c:v>
                      </c:pt>
                      <c:pt idx="227">
                        <c:v>2314.5990000000002</c:v>
                      </c:pt>
                      <c:pt idx="228">
                        <c:v>1706.528</c:v>
                      </c:pt>
                      <c:pt idx="229">
                        <c:v>1614.002</c:v>
                      </c:pt>
                      <c:pt idx="230">
                        <c:v>7201.8620000000001</c:v>
                      </c:pt>
                      <c:pt idx="231">
                        <c:v>48432.481</c:v>
                      </c:pt>
                      <c:pt idx="232" formatCode="General">
                        <c:v>227.50800000000001</c:v>
                      </c:pt>
                      <c:pt idx="233" formatCode="General">
                        <c:v>600.88</c:v>
                      </c:pt>
                      <c:pt idx="234" formatCode="General">
                        <c:v>663.35</c:v>
                      </c:pt>
                      <c:pt idx="235" formatCode="General">
                        <c:v>538.46199999999999</c:v>
                      </c:pt>
                      <c:pt idx="236" formatCode="General">
                        <c:v>1461.1880000000001</c:v>
                      </c:pt>
                      <c:pt idx="237" formatCode="General">
                        <c:v>1733.4829999999999</c:v>
                      </c:pt>
                      <c:pt idx="238" formatCode="General">
                        <c:v>4134.598</c:v>
                      </c:pt>
                      <c:pt idx="239" formatCode="General">
                        <c:v>15596.312</c:v>
                      </c:pt>
                      <c:pt idx="240" formatCode="General">
                        <c:v>6337.73</c:v>
                      </c:pt>
                      <c:pt idx="241" formatCode="General">
                        <c:v>1570.4480000000001</c:v>
                      </c:pt>
                      <c:pt idx="242" formatCode="General">
                        <c:v>7772.1760000000004</c:v>
                      </c:pt>
                      <c:pt idx="243" formatCode="General">
                        <c:v>408.61599999999999</c:v>
                      </c:pt>
                      <c:pt idx="244" formatCode="General">
                        <c:v>1024.3710000000001</c:v>
                      </c:pt>
                      <c:pt idx="245" formatCode="General">
                        <c:v>1423.796</c:v>
                      </c:pt>
                      <c:pt idx="246" formatCode="General">
                        <c:v>3816.0230000000001</c:v>
                      </c:pt>
                      <c:pt idx="247" formatCode="General">
                        <c:v>1546.9269999999999</c:v>
                      </c:pt>
                      <c:pt idx="248" formatCode="General">
                        <c:v>1575.3510000000001</c:v>
                      </c:pt>
                      <c:pt idx="249" formatCode="General">
                        <c:v>9591.9249999999993</c:v>
                      </c:pt>
                      <c:pt idx="250" formatCode="General">
                        <c:v>1502.0440000000001</c:v>
                      </c:pt>
                      <c:pt idx="251" formatCode="General">
                        <c:v>2708.2809999999999</c:v>
                      </c:pt>
                      <c:pt idx="252" formatCode="General">
                        <c:v>1537.633</c:v>
                      </c:pt>
                      <c:pt idx="253" formatCode="General">
                        <c:v>1520.8389999999999</c:v>
                      </c:pt>
                      <c:pt idx="254" formatCode="General">
                        <c:v>387.38</c:v>
                      </c:pt>
                      <c:pt idx="255" formatCode="General">
                        <c:v>1898.4490000000001</c:v>
                      </c:pt>
                      <c:pt idx="256" formatCode="General">
                        <c:v>1028.9880000000001</c:v>
                      </c:pt>
                      <c:pt idx="257" formatCode="General">
                        <c:v>38632.487000000001</c:v>
                      </c:pt>
                      <c:pt idx="258" formatCode="General">
                        <c:v>1632.201</c:v>
                      </c:pt>
                      <c:pt idx="259" formatCode="General">
                        <c:v>3627.7240000000002</c:v>
                      </c:pt>
                      <c:pt idx="260" formatCode="General">
                        <c:v>246.07499999999999</c:v>
                      </c:pt>
                      <c:pt idx="261" formatCode="General">
                        <c:v>1772.501</c:v>
                      </c:pt>
                      <c:pt idx="262" formatCode="General">
                        <c:v>379.61500000000001</c:v>
                      </c:pt>
                      <c:pt idx="263" formatCode="General">
                        <c:v>7493.5680000000002</c:v>
                      </c:pt>
                      <c:pt idx="264" formatCode="General">
                        <c:v>11932.154</c:v>
                      </c:pt>
                      <c:pt idx="265" formatCode="General">
                        <c:v>995.18899999999996</c:v>
                      </c:pt>
                      <c:pt idx="266" formatCode="General">
                        <c:v>253.08500000000001</c:v>
                      </c:pt>
                      <c:pt idx="267" formatCode="General">
                        <c:v>896.69899999999996</c:v>
                      </c:pt>
                      <c:pt idx="268" formatCode="General">
                        <c:v>2219.2310000000002</c:v>
                      </c:pt>
                      <c:pt idx="269" formatCode="General">
                        <c:v>1072.2139999999999</c:v>
                      </c:pt>
                      <c:pt idx="270" formatCode="General">
                        <c:v>97297.251000000004</c:v>
                      </c:pt>
                      <c:pt idx="271" formatCode="General">
                        <c:v>1271.5329999999999</c:v>
                      </c:pt>
                      <c:pt idx="272" formatCode="General">
                        <c:v>390.78699999999998</c:v>
                      </c:pt>
                      <c:pt idx="273" formatCode="General">
                        <c:v>1767.692</c:v>
                      </c:pt>
                      <c:pt idx="274" formatCode="General">
                        <c:v>10764.554</c:v>
                      </c:pt>
                      <c:pt idx="275" formatCode="General">
                        <c:v>8602.9639999999999</c:v>
                      </c:pt>
                      <c:pt idx="276" formatCode="General">
                        <c:v>3014.7170000000001</c:v>
                      </c:pt>
                      <c:pt idx="277" formatCode="General">
                        <c:v>26962.475999999999</c:v>
                      </c:pt>
                      <c:pt idx="278" formatCode="General">
                        <c:v>17233.289000000001</c:v>
                      </c:pt>
                      <c:pt idx="279" formatCode="General">
                        <c:v>797.47500000000002</c:v>
                      </c:pt>
                      <c:pt idx="280" formatCode="General">
                        <c:v>806.80600000000004</c:v>
                      </c:pt>
                      <c:pt idx="281" formatCode="General">
                        <c:v>473.93200000000002</c:v>
                      </c:pt>
                      <c:pt idx="282" formatCode="General">
                        <c:v>2071.2730000000001</c:v>
                      </c:pt>
                      <c:pt idx="283" formatCode="General">
                        <c:v>4728.0370000000003</c:v>
                      </c:pt>
                      <c:pt idx="284" formatCode="General">
                        <c:v>2922.8049999999998</c:v>
                      </c:pt>
                      <c:pt idx="285" formatCode="General">
                        <c:v>2416.904</c:v>
                      </c:pt>
                      <c:pt idx="286" formatCode="General">
                        <c:v>1590.6279999999999</c:v>
                      </c:pt>
                      <c:pt idx="287" formatCode="General">
                        <c:v>1631.1949999999999</c:v>
                      </c:pt>
                      <c:pt idx="288" formatCode="General">
                        <c:v>6612.4139999999998</c:v>
                      </c:pt>
                      <c:pt idx="289" formatCode="General">
                        <c:v>44699.873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C6-4E19-973B-91C5491E87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(2)'!$H$1</c15:sqref>
                        </c15:formulaRef>
                      </c:ext>
                    </c:extLst>
                    <c:strCache>
                      <c:ptCount val="1"/>
                      <c:pt idx="0">
                        <c:v>Tổng nợ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(2)'!$H$2:$H$311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10.222</c:v>
                      </c:pt>
                      <c:pt idx="1">
                        <c:v>304.536</c:v>
                      </c:pt>
                      <c:pt idx="2">
                        <c:v>665.24199999999996</c:v>
                      </c:pt>
                      <c:pt idx="3">
                        <c:v>160.565</c:v>
                      </c:pt>
                      <c:pt idx="4">
                        <c:v>950.03800000000001</c:v>
                      </c:pt>
                      <c:pt idx="5">
                        <c:v>1585.5409999999999</c:v>
                      </c:pt>
                      <c:pt idx="6">
                        <c:v>2264.8029999999999</c:v>
                      </c:pt>
                      <c:pt idx="7">
                        <c:v>12481.171</c:v>
                      </c:pt>
                      <c:pt idx="8">
                        <c:v>4625.3389999999999</c:v>
                      </c:pt>
                      <c:pt idx="9">
                        <c:v>915.45799999999997</c:v>
                      </c:pt>
                      <c:pt idx="10">
                        <c:v>1842.472</c:v>
                      </c:pt>
                      <c:pt idx="11">
                        <c:v>33.536999999999999</c:v>
                      </c:pt>
                      <c:pt idx="12">
                        <c:v>691.19600000000003</c:v>
                      </c:pt>
                      <c:pt idx="13">
                        <c:v>1931.5889999999999</c:v>
                      </c:pt>
                      <c:pt idx="14">
                        <c:v>2560.1</c:v>
                      </c:pt>
                      <c:pt idx="15">
                        <c:v>2582.799</c:v>
                      </c:pt>
                      <c:pt idx="16">
                        <c:v>820.86199999999997</c:v>
                      </c:pt>
                      <c:pt idx="17">
                        <c:v>8345.4689999999991</c:v>
                      </c:pt>
                      <c:pt idx="18">
                        <c:v>543.51599999999996</c:v>
                      </c:pt>
                      <c:pt idx="19">
                        <c:v>1532.9590000000001</c:v>
                      </c:pt>
                      <c:pt idx="20">
                        <c:v>355.9</c:v>
                      </c:pt>
                      <c:pt idx="21">
                        <c:v>1122.0440000000001</c:v>
                      </c:pt>
                      <c:pt idx="22">
                        <c:v>117.251</c:v>
                      </c:pt>
                      <c:pt idx="23">
                        <c:v>813.58699999999999</c:v>
                      </c:pt>
                      <c:pt idx="24">
                        <c:v>26.7</c:v>
                      </c:pt>
                      <c:pt idx="25">
                        <c:v>14225.785</c:v>
                      </c:pt>
                      <c:pt idx="26">
                        <c:v>842.28399999999999</c:v>
                      </c:pt>
                      <c:pt idx="27">
                        <c:v>172.31</c:v>
                      </c:pt>
                      <c:pt idx="28">
                        <c:v>40.009</c:v>
                      </c:pt>
                      <c:pt idx="29">
                        <c:v>1670.915</c:v>
                      </c:pt>
                      <c:pt idx="30">
                        <c:v>189.44399999999999</c:v>
                      </c:pt>
                      <c:pt idx="31">
                        <c:v>4855.8919999999998</c:v>
                      </c:pt>
                      <c:pt idx="32">
                        <c:v>5277.0950000000003</c:v>
                      </c:pt>
                      <c:pt idx="33">
                        <c:v>238.36199999999999</c:v>
                      </c:pt>
                      <c:pt idx="34">
                        <c:v>110.38800000000001</c:v>
                      </c:pt>
                      <c:pt idx="35">
                        <c:v>423.70100000000002</c:v>
                      </c:pt>
                      <c:pt idx="36">
                        <c:v>1009.319</c:v>
                      </c:pt>
                      <c:pt idx="37">
                        <c:v>278.80799999999999</c:v>
                      </c:pt>
                      <c:pt idx="38">
                        <c:v>109146.231</c:v>
                      </c:pt>
                      <c:pt idx="39">
                        <c:v>1055.2729999999999</c:v>
                      </c:pt>
                      <c:pt idx="40">
                        <c:v>219.61</c:v>
                      </c:pt>
                      <c:pt idx="41">
                        <c:v>775.03</c:v>
                      </c:pt>
                      <c:pt idx="42">
                        <c:v>11844.691999999999</c:v>
                      </c:pt>
                      <c:pt idx="43">
                        <c:v>4621.3770000000004</c:v>
                      </c:pt>
                      <c:pt idx="44">
                        <c:v>4777.4160000000002</c:v>
                      </c:pt>
                      <c:pt idx="45">
                        <c:v>8571.4670000000006</c:v>
                      </c:pt>
                      <c:pt idx="46">
                        <c:v>23037.024000000001</c:v>
                      </c:pt>
                      <c:pt idx="47">
                        <c:v>418.18799999999999</c:v>
                      </c:pt>
                      <c:pt idx="48">
                        <c:v>903.49</c:v>
                      </c:pt>
                      <c:pt idx="49">
                        <c:v>156.869</c:v>
                      </c:pt>
                      <c:pt idx="50">
                        <c:v>1344.97</c:v>
                      </c:pt>
                      <c:pt idx="51">
                        <c:v>4733.9319999999998</c:v>
                      </c:pt>
                      <c:pt idx="52">
                        <c:v>1269.2280000000001</c:v>
                      </c:pt>
                      <c:pt idx="53">
                        <c:v>714.46799999999996</c:v>
                      </c:pt>
                      <c:pt idx="54">
                        <c:v>1732.299</c:v>
                      </c:pt>
                      <c:pt idx="55">
                        <c:v>880.43399999999997</c:v>
                      </c:pt>
                      <c:pt idx="56">
                        <c:v>3351.4940000000001</c:v>
                      </c:pt>
                      <c:pt idx="57">
                        <c:v>17647.627</c:v>
                      </c:pt>
                      <c:pt idx="58">
                        <c:v>9.0429999999999993</c:v>
                      </c:pt>
                      <c:pt idx="59">
                        <c:v>321.964</c:v>
                      </c:pt>
                      <c:pt idx="60">
                        <c:v>763.59500000000003</c:v>
                      </c:pt>
                      <c:pt idx="61">
                        <c:v>151.648</c:v>
                      </c:pt>
                      <c:pt idx="62">
                        <c:v>656.97</c:v>
                      </c:pt>
                      <c:pt idx="63">
                        <c:v>1524.6</c:v>
                      </c:pt>
                      <c:pt idx="64">
                        <c:v>2585.4499999999998</c:v>
                      </c:pt>
                      <c:pt idx="65">
                        <c:v>11246.527</c:v>
                      </c:pt>
                      <c:pt idx="66">
                        <c:v>2986.4279999999999</c:v>
                      </c:pt>
                      <c:pt idx="67">
                        <c:v>487.05599999999998</c:v>
                      </c:pt>
                      <c:pt idx="68">
                        <c:v>1928.325</c:v>
                      </c:pt>
                      <c:pt idx="69">
                        <c:v>52.892000000000003</c:v>
                      </c:pt>
                      <c:pt idx="70">
                        <c:v>543.47199999999998</c:v>
                      </c:pt>
                      <c:pt idx="71">
                        <c:v>1518.981</c:v>
                      </c:pt>
                      <c:pt idx="72">
                        <c:v>2902.8029999999999</c:v>
                      </c:pt>
                      <c:pt idx="73">
                        <c:v>1602.0509999999999</c:v>
                      </c:pt>
                      <c:pt idx="74">
                        <c:v>986.37199999999996</c:v>
                      </c:pt>
                      <c:pt idx="75">
                        <c:v>8332.8760000000002</c:v>
                      </c:pt>
                      <c:pt idx="76">
                        <c:v>551.13</c:v>
                      </c:pt>
                      <c:pt idx="77">
                        <c:v>1508.0360000000001</c:v>
                      </c:pt>
                      <c:pt idx="78">
                        <c:v>428.85399999999998</c:v>
                      </c:pt>
                      <c:pt idx="79">
                        <c:v>872.745</c:v>
                      </c:pt>
                      <c:pt idx="80">
                        <c:v>111.655</c:v>
                      </c:pt>
                      <c:pt idx="81">
                        <c:v>1476.6780000000001</c:v>
                      </c:pt>
                      <c:pt idx="82">
                        <c:v>87.346000000000004</c:v>
                      </c:pt>
                      <c:pt idx="83">
                        <c:v>14603.644</c:v>
                      </c:pt>
                      <c:pt idx="84">
                        <c:v>1609.731</c:v>
                      </c:pt>
                      <c:pt idx="85">
                        <c:v>326.45499999999998</c:v>
                      </c:pt>
                      <c:pt idx="86">
                        <c:v>59.529000000000003</c:v>
                      </c:pt>
                      <c:pt idx="87">
                        <c:v>1510.14</c:v>
                      </c:pt>
                      <c:pt idx="88">
                        <c:v>125.14</c:v>
                      </c:pt>
                      <c:pt idx="89">
                        <c:v>4717.6880000000001</c:v>
                      </c:pt>
                      <c:pt idx="90">
                        <c:v>6952.0649999999996</c:v>
                      </c:pt>
                      <c:pt idx="91">
                        <c:v>293.803</c:v>
                      </c:pt>
                      <c:pt idx="92">
                        <c:v>216.59200000000001</c:v>
                      </c:pt>
                      <c:pt idx="93">
                        <c:v>384.06799999999998</c:v>
                      </c:pt>
                      <c:pt idx="94">
                        <c:v>858.54100000000005</c:v>
                      </c:pt>
                      <c:pt idx="95">
                        <c:v>244.96700000000001</c:v>
                      </c:pt>
                      <c:pt idx="96">
                        <c:v>104706.076</c:v>
                      </c:pt>
                      <c:pt idx="97">
                        <c:v>851.56</c:v>
                      </c:pt>
                      <c:pt idx="98">
                        <c:v>315.85599999999999</c:v>
                      </c:pt>
                      <c:pt idx="99">
                        <c:v>674.471</c:v>
                      </c:pt>
                      <c:pt idx="100">
                        <c:v>8203.2139999999999</c:v>
                      </c:pt>
                      <c:pt idx="101">
                        <c:v>4893.03</c:v>
                      </c:pt>
                      <c:pt idx="102">
                        <c:v>4094.788</c:v>
                      </c:pt>
                      <c:pt idx="103">
                        <c:v>9874.23</c:v>
                      </c:pt>
                      <c:pt idx="104">
                        <c:v>18864.048999999999</c:v>
                      </c:pt>
                      <c:pt idx="105">
                        <c:v>371.80399999999997</c:v>
                      </c:pt>
                      <c:pt idx="106">
                        <c:v>805.69299999999998</c:v>
                      </c:pt>
                      <c:pt idx="107">
                        <c:v>147.75800000000001</c:v>
                      </c:pt>
                      <c:pt idx="108">
                        <c:v>583.94299999999998</c:v>
                      </c:pt>
                      <c:pt idx="109">
                        <c:v>3691.056</c:v>
                      </c:pt>
                      <c:pt idx="110">
                        <c:v>1498.2090000000001</c:v>
                      </c:pt>
                      <c:pt idx="111">
                        <c:v>911.16399999999999</c:v>
                      </c:pt>
                      <c:pt idx="112">
                        <c:v>3070.8809999999999</c:v>
                      </c:pt>
                      <c:pt idx="113">
                        <c:v>1191.2840000000001</c:v>
                      </c:pt>
                      <c:pt idx="114">
                        <c:v>3888.902</c:v>
                      </c:pt>
                      <c:pt idx="115">
                        <c:v>15666.146000000001</c:v>
                      </c:pt>
                      <c:pt idx="116">
                        <c:v>6.7610000000000001</c:v>
                      </c:pt>
                      <c:pt idx="117">
                        <c:v>307.87599999999998</c:v>
                      </c:pt>
                      <c:pt idx="118">
                        <c:v>666.548</c:v>
                      </c:pt>
                      <c:pt idx="119">
                        <c:v>175.678</c:v>
                      </c:pt>
                      <c:pt idx="120">
                        <c:v>751.72699999999998</c:v>
                      </c:pt>
                      <c:pt idx="121">
                        <c:v>1401.2660000000001</c:v>
                      </c:pt>
                      <c:pt idx="122">
                        <c:v>2551.5940000000001</c:v>
                      </c:pt>
                      <c:pt idx="123">
                        <c:v>10592.773999999999</c:v>
                      </c:pt>
                      <c:pt idx="124">
                        <c:v>4002.4279999999999</c:v>
                      </c:pt>
                      <c:pt idx="125">
                        <c:v>658.07399999999996</c:v>
                      </c:pt>
                      <c:pt idx="126">
                        <c:v>2252.8510000000001</c:v>
                      </c:pt>
                      <c:pt idx="127">
                        <c:v>62.326999999999998</c:v>
                      </c:pt>
                      <c:pt idx="128">
                        <c:v>276.178</c:v>
                      </c:pt>
                      <c:pt idx="129">
                        <c:v>1125.4280000000001</c:v>
                      </c:pt>
                      <c:pt idx="130">
                        <c:v>2896.011</c:v>
                      </c:pt>
                      <c:pt idx="131">
                        <c:v>950.26300000000003</c:v>
                      </c:pt>
                      <c:pt idx="132">
                        <c:v>942.68799999999999</c:v>
                      </c:pt>
                      <c:pt idx="133">
                        <c:v>6176.6310000000003</c:v>
                      </c:pt>
                      <c:pt idx="134">
                        <c:v>465.72</c:v>
                      </c:pt>
                      <c:pt idx="135">
                        <c:v>1362.0129999999999</c:v>
                      </c:pt>
                      <c:pt idx="136">
                        <c:v>304.70699999999999</c:v>
                      </c:pt>
                      <c:pt idx="137">
                        <c:v>723.02800000000002</c:v>
                      </c:pt>
                      <c:pt idx="138">
                        <c:v>115.572</c:v>
                      </c:pt>
                      <c:pt idx="139">
                        <c:v>2155.3609999999999</c:v>
                      </c:pt>
                      <c:pt idx="140">
                        <c:v>124.745</c:v>
                      </c:pt>
                      <c:pt idx="141">
                        <c:v>13766.451999999999</c:v>
                      </c:pt>
                      <c:pt idx="142">
                        <c:v>567.21100000000001</c:v>
                      </c:pt>
                      <c:pt idx="143">
                        <c:v>323.214</c:v>
                      </c:pt>
                      <c:pt idx="144">
                        <c:v>65.356999999999999</c:v>
                      </c:pt>
                      <c:pt idx="145">
                        <c:v>1686.9659999999999</c:v>
                      </c:pt>
                      <c:pt idx="146">
                        <c:v>136.40799999999999</c:v>
                      </c:pt>
                      <c:pt idx="147">
                        <c:v>4411.25</c:v>
                      </c:pt>
                      <c:pt idx="148">
                        <c:v>7178.0630000000001</c:v>
                      </c:pt>
                      <c:pt idx="149">
                        <c:v>457.03800000000001</c:v>
                      </c:pt>
                      <c:pt idx="150">
                        <c:v>83.292000000000002</c:v>
                      </c:pt>
                      <c:pt idx="151">
                        <c:v>418.54300000000001</c:v>
                      </c:pt>
                      <c:pt idx="152">
                        <c:v>922.745</c:v>
                      </c:pt>
                      <c:pt idx="153">
                        <c:v>313.58199999999999</c:v>
                      </c:pt>
                      <c:pt idx="154">
                        <c:v>83756.819000000003</c:v>
                      </c:pt>
                      <c:pt idx="155">
                        <c:v>817.65899999999999</c:v>
                      </c:pt>
                      <c:pt idx="156">
                        <c:v>488.91500000000002</c:v>
                      </c:pt>
                      <c:pt idx="157">
                        <c:v>627.32600000000002</c:v>
                      </c:pt>
                      <c:pt idx="158">
                        <c:v>7444.2470000000003</c:v>
                      </c:pt>
                      <c:pt idx="159">
                        <c:v>4606.3829999999998</c:v>
                      </c:pt>
                      <c:pt idx="160">
                        <c:v>4023.2049999999999</c:v>
                      </c:pt>
                      <c:pt idx="161">
                        <c:v>7892.2389999999996</c:v>
                      </c:pt>
                      <c:pt idx="162">
                        <c:v>14058.376</c:v>
                      </c:pt>
                      <c:pt idx="163">
                        <c:v>383.005</c:v>
                      </c:pt>
                      <c:pt idx="164">
                        <c:v>802.779</c:v>
                      </c:pt>
                      <c:pt idx="165">
                        <c:v>140.80099999999999</c:v>
                      </c:pt>
                      <c:pt idx="166">
                        <c:v>712.14599999999996</c:v>
                      </c:pt>
                      <c:pt idx="167">
                        <c:v>2559.0059999999999</c:v>
                      </c:pt>
                      <c:pt idx="168">
                        <c:v>1897.856</c:v>
                      </c:pt>
                      <c:pt idx="169">
                        <c:v>620.55999999999995</c:v>
                      </c:pt>
                      <c:pt idx="170">
                        <c:v>2661.9650000000001</c:v>
                      </c:pt>
                      <c:pt idx="171">
                        <c:v>761.34299999999996</c:v>
                      </c:pt>
                      <c:pt idx="172">
                        <c:v>2853.6779999999999</c:v>
                      </c:pt>
                      <c:pt idx="173">
                        <c:v>17482.289000000001</c:v>
                      </c:pt>
                      <c:pt idx="174">
                        <c:v>16.718</c:v>
                      </c:pt>
                      <c:pt idx="175">
                        <c:v>154.93</c:v>
                      </c:pt>
                      <c:pt idx="176">
                        <c:v>734.81</c:v>
                      </c:pt>
                      <c:pt idx="177">
                        <c:v>132.99199999999999</c:v>
                      </c:pt>
                      <c:pt idx="178">
                        <c:v>965.08199999999999</c:v>
                      </c:pt>
                      <c:pt idx="179">
                        <c:v>1415.7470000000001</c:v>
                      </c:pt>
                      <c:pt idx="180">
                        <c:v>2500.105</c:v>
                      </c:pt>
                      <c:pt idx="181">
                        <c:v>10732.486999999999</c:v>
                      </c:pt>
                      <c:pt idx="182">
                        <c:v>4680.2439999999997</c:v>
                      </c:pt>
                      <c:pt idx="183">
                        <c:v>447.38</c:v>
                      </c:pt>
                      <c:pt idx="184">
                        <c:v>1948.5450000000001</c:v>
                      </c:pt>
                      <c:pt idx="185">
                        <c:v>73.227000000000004</c:v>
                      </c:pt>
                      <c:pt idx="186">
                        <c:v>180.982</c:v>
                      </c:pt>
                      <c:pt idx="187">
                        <c:v>934.97400000000005</c:v>
                      </c:pt>
                      <c:pt idx="188">
                        <c:v>2537.8029999999999</c:v>
                      </c:pt>
                      <c:pt idx="189">
                        <c:v>1046.364</c:v>
                      </c:pt>
                      <c:pt idx="190">
                        <c:v>992.89300000000003</c:v>
                      </c:pt>
                      <c:pt idx="191">
                        <c:v>5894.3109999999997</c:v>
                      </c:pt>
                      <c:pt idx="192">
                        <c:v>486.46100000000001</c:v>
                      </c:pt>
                      <c:pt idx="193">
                        <c:v>743.41700000000003</c:v>
                      </c:pt>
                      <c:pt idx="194">
                        <c:v>408.70600000000002</c:v>
                      </c:pt>
                      <c:pt idx="195">
                        <c:v>630.01400000000001</c:v>
                      </c:pt>
                      <c:pt idx="196">
                        <c:v>128.327</c:v>
                      </c:pt>
                      <c:pt idx="197">
                        <c:v>1418.5740000000001</c:v>
                      </c:pt>
                      <c:pt idx="198">
                        <c:v>564.36199999999997</c:v>
                      </c:pt>
                      <c:pt idx="199">
                        <c:v>27238.024000000001</c:v>
                      </c:pt>
                      <c:pt idx="200">
                        <c:v>697.06899999999996</c:v>
                      </c:pt>
                      <c:pt idx="201">
                        <c:v>204.559</c:v>
                      </c:pt>
                      <c:pt idx="202">
                        <c:v>13.781000000000001</c:v>
                      </c:pt>
                      <c:pt idx="203">
                        <c:v>1273.248</c:v>
                      </c:pt>
                      <c:pt idx="204">
                        <c:v>173.82499999999999</c:v>
                      </c:pt>
                      <c:pt idx="205">
                        <c:v>4714.9520000000002</c:v>
                      </c:pt>
                      <c:pt idx="206">
                        <c:v>4649.768</c:v>
                      </c:pt>
                      <c:pt idx="207">
                        <c:v>505.36599999999999</c:v>
                      </c:pt>
                      <c:pt idx="208">
                        <c:v>48.981999999999999</c:v>
                      </c:pt>
                      <c:pt idx="209">
                        <c:v>380.17500000000001</c:v>
                      </c:pt>
                      <c:pt idx="210">
                        <c:v>806.80700000000002</c:v>
                      </c:pt>
                      <c:pt idx="211">
                        <c:v>310.68599999999998</c:v>
                      </c:pt>
                      <c:pt idx="212">
                        <c:v>90706.282999999996</c:v>
                      </c:pt>
                      <c:pt idx="213">
                        <c:v>782.47299999999996</c:v>
                      </c:pt>
                      <c:pt idx="214">
                        <c:v>520.87699999999995</c:v>
                      </c:pt>
                      <c:pt idx="215">
                        <c:v>600.10900000000004</c:v>
                      </c:pt>
                      <c:pt idx="216">
                        <c:v>5163.1419999999998</c:v>
                      </c:pt>
                      <c:pt idx="217">
                        <c:v>3241.2840000000001</c:v>
                      </c:pt>
                      <c:pt idx="218">
                        <c:v>2946.7040000000002</c:v>
                      </c:pt>
                      <c:pt idx="219">
                        <c:v>6159.6959999999999</c:v>
                      </c:pt>
                      <c:pt idx="220">
                        <c:v>10376.315000000001</c:v>
                      </c:pt>
                      <c:pt idx="221">
                        <c:v>308.83100000000002</c:v>
                      </c:pt>
                      <c:pt idx="222">
                        <c:v>977.14200000000005</c:v>
                      </c:pt>
                      <c:pt idx="223">
                        <c:v>139.821</c:v>
                      </c:pt>
                      <c:pt idx="224">
                        <c:v>620.59699999999998</c:v>
                      </c:pt>
                      <c:pt idx="225">
                        <c:v>2517.451</c:v>
                      </c:pt>
                      <c:pt idx="226">
                        <c:v>1337.6880000000001</c:v>
                      </c:pt>
                      <c:pt idx="227">
                        <c:v>566.34</c:v>
                      </c:pt>
                      <c:pt idx="228">
                        <c:v>1289.2329999999999</c:v>
                      </c:pt>
                      <c:pt idx="229">
                        <c:v>1021.4109999999999</c:v>
                      </c:pt>
                      <c:pt idx="230">
                        <c:v>2026.1310000000001</c:v>
                      </c:pt>
                      <c:pt idx="231">
                        <c:v>14785.358</c:v>
                      </c:pt>
                      <c:pt idx="232" formatCode="General">
                        <c:v>16.093</c:v>
                      </c:pt>
                      <c:pt idx="233" formatCode="General">
                        <c:v>189.98500000000001</c:v>
                      </c:pt>
                      <c:pt idx="234" formatCode="General">
                        <c:v>259.923</c:v>
                      </c:pt>
                      <c:pt idx="235" formatCode="General">
                        <c:v>125.32</c:v>
                      </c:pt>
                      <c:pt idx="236" formatCode="General">
                        <c:v>794.91200000000003</c:v>
                      </c:pt>
                      <c:pt idx="237" formatCode="General">
                        <c:v>1330.375</c:v>
                      </c:pt>
                      <c:pt idx="238" formatCode="General">
                        <c:v>1748.538</c:v>
                      </c:pt>
                      <c:pt idx="239" formatCode="General">
                        <c:v>9294.4390000000003</c:v>
                      </c:pt>
                      <c:pt idx="240" formatCode="General">
                        <c:v>6217.9690000000001</c:v>
                      </c:pt>
                      <c:pt idx="241" formatCode="General">
                        <c:v>566.57100000000003</c:v>
                      </c:pt>
                      <c:pt idx="242" formatCode="General">
                        <c:v>2590.6129999999998</c:v>
                      </c:pt>
                      <c:pt idx="243" formatCode="General">
                        <c:v>51.241</c:v>
                      </c:pt>
                      <c:pt idx="244" formatCode="General">
                        <c:v>331.40899999999999</c:v>
                      </c:pt>
                      <c:pt idx="245" formatCode="General">
                        <c:v>1079.328</c:v>
                      </c:pt>
                      <c:pt idx="246" formatCode="General">
                        <c:v>2575.078</c:v>
                      </c:pt>
                      <c:pt idx="247" formatCode="General">
                        <c:v>1014.423</c:v>
                      </c:pt>
                      <c:pt idx="248" formatCode="General">
                        <c:v>986.00199999999995</c:v>
                      </c:pt>
                      <c:pt idx="249" formatCode="General">
                        <c:v>6565.9669999999996</c:v>
                      </c:pt>
                      <c:pt idx="250" formatCode="General">
                        <c:v>529.57799999999997</c:v>
                      </c:pt>
                      <c:pt idx="251" formatCode="General">
                        <c:v>1076.19</c:v>
                      </c:pt>
                      <c:pt idx="252" formatCode="General">
                        <c:v>599.10599999999999</c:v>
                      </c:pt>
                      <c:pt idx="253" formatCode="General">
                        <c:v>582.08100000000002</c:v>
                      </c:pt>
                      <c:pt idx="254" formatCode="General">
                        <c:v>109.05500000000001</c:v>
                      </c:pt>
                      <c:pt idx="255" formatCode="General">
                        <c:v>1061.9739999999999</c:v>
                      </c:pt>
                      <c:pt idx="256" formatCode="General">
                        <c:v>545.56299999999999</c:v>
                      </c:pt>
                      <c:pt idx="257" formatCode="General">
                        <c:v>21823.683000000001</c:v>
                      </c:pt>
                      <c:pt idx="258" formatCode="General">
                        <c:v>1166.635</c:v>
                      </c:pt>
                      <c:pt idx="259" formatCode="General">
                        <c:v>195.66</c:v>
                      </c:pt>
                      <c:pt idx="260" formatCode="General">
                        <c:v>11.226000000000001</c:v>
                      </c:pt>
                      <c:pt idx="261" formatCode="General">
                        <c:v>1291.0409999999999</c:v>
                      </c:pt>
                      <c:pt idx="262" formatCode="General">
                        <c:v>186.41</c:v>
                      </c:pt>
                      <c:pt idx="263" formatCode="General">
                        <c:v>4602.1809999999996</c:v>
                      </c:pt>
                      <c:pt idx="264" formatCode="General">
                        <c:v>3776.502</c:v>
                      </c:pt>
                      <c:pt idx="265" formatCode="General">
                        <c:v>394.75599999999997</c:v>
                      </c:pt>
                      <c:pt idx="266" formatCode="General">
                        <c:v>118.77500000000001</c:v>
                      </c:pt>
                      <c:pt idx="267" formatCode="General">
                        <c:v>341.50299999999999</c:v>
                      </c:pt>
                      <c:pt idx="268" formatCode="General">
                        <c:v>722.44899999999996</c:v>
                      </c:pt>
                      <c:pt idx="269" formatCode="General">
                        <c:v>345.47399999999999</c:v>
                      </c:pt>
                      <c:pt idx="270" formatCode="General">
                        <c:v>45408.843999999997</c:v>
                      </c:pt>
                      <c:pt idx="271" formatCode="General">
                        <c:v>589.54499999999996</c:v>
                      </c:pt>
                      <c:pt idx="272" formatCode="General">
                        <c:v>242.75299999999999</c:v>
                      </c:pt>
                      <c:pt idx="273" formatCode="General">
                        <c:v>639.11300000000006</c:v>
                      </c:pt>
                      <c:pt idx="274" formatCode="General">
                        <c:v>4618.982</c:v>
                      </c:pt>
                      <c:pt idx="275" formatCode="General">
                        <c:v>4025.6990000000001</c:v>
                      </c:pt>
                      <c:pt idx="276" formatCode="General">
                        <c:v>2180.1950000000002</c:v>
                      </c:pt>
                      <c:pt idx="277" formatCode="General">
                        <c:v>6886.2290000000003</c:v>
                      </c:pt>
                      <c:pt idx="278" formatCode="General">
                        <c:v>9631.6200000000008</c:v>
                      </c:pt>
                      <c:pt idx="279" formatCode="General">
                        <c:v>325.464</c:v>
                      </c:pt>
                      <c:pt idx="280" formatCode="General">
                        <c:v>425.46800000000002</c:v>
                      </c:pt>
                      <c:pt idx="281" formatCode="General">
                        <c:v>144.834</c:v>
                      </c:pt>
                      <c:pt idx="282" formatCode="General">
                        <c:v>988.154</c:v>
                      </c:pt>
                      <c:pt idx="283" formatCode="General">
                        <c:v>3088.2260000000001</c:v>
                      </c:pt>
                      <c:pt idx="284" formatCode="General">
                        <c:v>1497.538</c:v>
                      </c:pt>
                      <c:pt idx="285" formatCode="General">
                        <c:v>609.91700000000003</c:v>
                      </c:pt>
                      <c:pt idx="286" formatCode="General">
                        <c:v>1175.0250000000001</c:v>
                      </c:pt>
                      <c:pt idx="287" formatCode="General">
                        <c:v>1045.45</c:v>
                      </c:pt>
                      <c:pt idx="288" formatCode="General">
                        <c:v>1735.134</c:v>
                      </c:pt>
                      <c:pt idx="289" formatCode="General">
                        <c:v>14968.618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5C6-4E19-973B-91C5491E87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(2)'!$I$1</c15:sqref>
                        </c15:formulaRef>
                      </c:ext>
                    </c:extLst>
                    <c:strCache>
                      <c:ptCount val="1"/>
                      <c:pt idx="0">
                        <c:v>Vốn chủ sở hữu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(2)'!$I$2:$I$311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202.636</c:v>
                      </c:pt>
                      <c:pt idx="1">
                        <c:v>748.62</c:v>
                      </c:pt>
                      <c:pt idx="2">
                        <c:v>913.96299999999997</c:v>
                      </c:pt>
                      <c:pt idx="3">
                        <c:v>490.81900000000002</c:v>
                      </c:pt>
                      <c:pt idx="4">
                        <c:v>799.14200000000005</c:v>
                      </c:pt>
                      <c:pt idx="5">
                        <c:v>918.25099999999998</c:v>
                      </c:pt>
                      <c:pt idx="6">
                        <c:v>2847.8670000000002</c:v>
                      </c:pt>
                      <c:pt idx="7">
                        <c:v>7826.2820000000002</c:v>
                      </c:pt>
                      <c:pt idx="8">
                        <c:v>1908.3219999999999</c:v>
                      </c:pt>
                      <c:pt idx="9">
                        <c:v>1412.3320000000001</c:v>
                      </c:pt>
                      <c:pt idx="10">
                        <c:v>5307.509</c:v>
                      </c:pt>
                      <c:pt idx="11">
                        <c:v>881.88099999999997</c:v>
                      </c:pt>
                      <c:pt idx="12">
                        <c:v>875.59699999999998</c:v>
                      </c:pt>
                      <c:pt idx="13">
                        <c:v>1494.173</c:v>
                      </c:pt>
                      <c:pt idx="14">
                        <c:v>1324.2</c:v>
                      </c:pt>
                      <c:pt idx="15">
                        <c:v>1074.6579999999999</c:v>
                      </c:pt>
                      <c:pt idx="16">
                        <c:v>841.73800000000006</c:v>
                      </c:pt>
                      <c:pt idx="17">
                        <c:v>4666.2349999999997</c:v>
                      </c:pt>
                      <c:pt idx="18">
                        <c:v>900.54399999999998</c:v>
                      </c:pt>
                      <c:pt idx="19">
                        <c:v>1851.3779999999999</c:v>
                      </c:pt>
                      <c:pt idx="20">
                        <c:v>999.971</c:v>
                      </c:pt>
                      <c:pt idx="21">
                        <c:v>2234.1410000000001</c:v>
                      </c:pt>
                      <c:pt idx="22">
                        <c:v>291.65600000000001</c:v>
                      </c:pt>
                      <c:pt idx="23">
                        <c:v>2543.5720000000001</c:v>
                      </c:pt>
                      <c:pt idx="24">
                        <c:v>392.37799999999999</c:v>
                      </c:pt>
                      <c:pt idx="25">
                        <c:v>6677.47</c:v>
                      </c:pt>
                      <c:pt idx="26">
                        <c:v>1164.0039999999999</c:v>
                      </c:pt>
                      <c:pt idx="27">
                        <c:v>4501.2809999999999</c:v>
                      </c:pt>
                      <c:pt idx="28">
                        <c:v>440.10599999999999</c:v>
                      </c:pt>
                      <c:pt idx="29">
                        <c:v>836.80600000000004</c:v>
                      </c:pt>
                      <c:pt idx="30">
                        <c:v>258.75099999999998</c:v>
                      </c:pt>
                      <c:pt idx="31">
                        <c:v>3421.5569999999998</c:v>
                      </c:pt>
                      <c:pt idx="32">
                        <c:v>7113.92</c:v>
                      </c:pt>
                      <c:pt idx="33">
                        <c:v>641.04300000000001</c:v>
                      </c:pt>
                      <c:pt idx="34">
                        <c:v>221.749</c:v>
                      </c:pt>
                      <c:pt idx="35">
                        <c:v>882.33500000000004</c:v>
                      </c:pt>
                      <c:pt idx="36">
                        <c:v>1705.646</c:v>
                      </c:pt>
                      <c:pt idx="37">
                        <c:v>2327.2550000000001</c:v>
                      </c:pt>
                      <c:pt idx="38">
                        <c:v>38237.241000000002</c:v>
                      </c:pt>
                      <c:pt idx="39">
                        <c:v>987.96199999999999</c:v>
                      </c:pt>
                      <c:pt idx="40">
                        <c:v>379.60300000000001</c:v>
                      </c:pt>
                      <c:pt idx="41">
                        <c:v>1446.135</c:v>
                      </c:pt>
                      <c:pt idx="42">
                        <c:v>8343.4480000000003</c:v>
                      </c:pt>
                      <c:pt idx="43">
                        <c:v>9806.1810000000005</c:v>
                      </c:pt>
                      <c:pt idx="44">
                        <c:v>2974.2719999999999</c:v>
                      </c:pt>
                      <c:pt idx="45">
                        <c:v>25485.157999999999</c:v>
                      </c:pt>
                      <c:pt idx="46">
                        <c:v>11100.191999999999</c:v>
                      </c:pt>
                      <c:pt idx="47">
                        <c:v>598.37800000000004</c:v>
                      </c:pt>
                      <c:pt idx="48">
                        <c:v>443.35</c:v>
                      </c:pt>
                      <c:pt idx="49">
                        <c:v>389.19799999999998</c:v>
                      </c:pt>
                      <c:pt idx="50">
                        <c:v>1628.8889999999999</c:v>
                      </c:pt>
                      <c:pt idx="51">
                        <c:v>2439.931</c:v>
                      </c:pt>
                      <c:pt idx="52">
                        <c:v>2010.1369999999999</c:v>
                      </c:pt>
                      <c:pt idx="53">
                        <c:v>2093.98</c:v>
                      </c:pt>
                      <c:pt idx="54">
                        <c:v>437.45299999999997</c:v>
                      </c:pt>
                      <c:pt idx="55">
                        <c:v>575.86599999999999</c:v>
                      </c:pt>
                      <c:pt idx="56">
                        <c:v>8591.0560000000005</c:v>
                      </c:pt>
                      <c:pt idx="57">
                        <c:v>35025.743999999999</c:v>
                      </c:pt>
                      <c:pt idx="58">
                        <c:v>209.536</c:v>
                      </c:pt>
                      <c:pt idx="59">
                        <c:v>731.48199999999997</c:v>
                      </c:pt>
                      <c:pt idx="60">
                        <c:v>905.67600000000004</c:v>
                      </c:pt>
                      <c:pt idx="61">
                        <c:v>470.89100000000002</c:v>
                      </c:pt>
                      <c:pt idx="62">
                        <c:v>824.4</c:v>
                      </c:pt>
                      <c:pt idx="63">
                        <c:v>657.09500000000003</c:v>
                      </c:pt>
                      <c:pt idx="64">
                        <c:v>2882.203</c:v>
                      </c:pt>
                      <c:pt idx="65">
                        <c:v>7839.8180000000002</c:v>
                      </c:pt>
                      <c:pt idx="66">
                        <c:v>1742.6679999999999</c:v>
                      </c:pt>
                      <c:pt idx="67">
                        <c:v>1363.3209999999999</c:v>
                      </c:pt>
                      <c:pt idx="68">
                        <c:v>5304.8530000000001</c:v>
                      </c:pt>
                      <c:pt idx="69">
                        <c:v>871.42399999999998</c:v>
                      </c:pt>
                      <c:pt idx="70">
                        <c:v>841.64099999999996</c:v>
                      </c:pt>
                      <c:pt idx="71">
                        <c:v>1395.05</c:v>
                      </c:pt>
                      <c:pt idx="72">
                        <c:v>1301.434</c:v>
                      </c:pt>
                      <c:pt idx="73">
                        <c:v>924.64499999999998</c:v>
                      </c:pt>
                      <c:pt idx="74">
                        <c:v>766.29200000000003</c:v>
                      </c:pt>
                      <c:pt idx="75">
                        <c:v>4641.2280000000001</c:v>
                      </c:pt>
                      <c:pt idx="76">
                        <c:v>933.95799999999997</c:v>
                      </c:pt>
                      <c:pt idx="77">
                        <c:v>1909.7629999999999</c:v>
                      </c:pt>
                      <c:pt idx="78">
                        <c:v>1027.8409999999999</c:v>
                      </c:pt>
                      <c:pt idx="79">
                        <c:v>2116.0619999999999</c:v>
                      </c:pt>
                      <c:pt idx="80">
                        <c:v>294.351</c:v>
                      </c:pt>
                      <c:pt idx="81">
                        <c:v>2511.6590000000001</c:v>
                      </c:pt>
                      <c:pt idx="82">
                        <c:v>448.04599999999999</c:v>
                      </c:pt>
                      <c:pt idx="83">
                        <c:v>5194.7430000000004</c:v>
                      </c:pt>
                      <c:pt idx="84">
                        <c:v>968.91899999999998</c:v>
                      </c:pt>
                      <c:pt idx="85">
                        <c:v>4166.1369999999997</c:v>
                      </c:pt>
                      <c:pt idx="86">
                        <c:v>429.10700000000003</c:v>
                      </c:pt>
                      <c:pt idx="87">
                        <c:v>884.52200000000005</c:v>
                      </c:pt>
                      <c:pt idx="88">
                        <c:v>232.352</c:v>
                      </c:pt>
                      <c:pt idx="89">
                        <c:v>3366.42</c:v>
                      </c:pt>
                      <c:pt idx="90">
                        <c:v>7052.7280000000001</c:v>
                      </c:pt>
                      <c:pt idx="91">
                        <c:v>632.94899999999996</c:v>
                      </c:pt>
                      <c:pt idx="92">
                        <c:v>187.054</c:v>
                      </c:pt>
                      <c:pt idx="93">
                        <c:v>848.14099999999996</c:v>
                      </c:pt>
                      <c:pt idx="94">
                        <c:v>1633.634</c:v>
                      </c:pt>
                      <c:pt idx="95">
                        <c:v>2210.279</c:v>
                      </c:pt>
                      <c:pt idx="96">
                        <c:v>36636.739000000001</c:v>
                      </c:pt>
                      <c:pt idx="97">
                        <c:v>892.18799999999999</c:v>
                      </c:pt>
                      <c:pt idx="98">
                        <c:v>436.00900000000001</c:v>
                      </c:pt>
                      <c:pt idx="99">
                        <c:v>1351.258</c:v>
                      </c:pt>
                      <c:pt idx="100">
                        <c:v>7878.384</c:v>
                      </c:pt>
                      <c:pt idx="101">
                        <c:v>8444.0949999999993</c:v>
                      </c:pt>
                      <c:pt idx="102">
                        <c:v>2621.6950000000002</c:v>
                      </c:pt>
                      <c:pt idx="103">
                        <c:v>24590.846000000001</c:v>
                      </c:pt>
                      <c:pt idx="104">
                        <c:v>10177.178</c:v>
                      </c:pt>
                      <c:pt idx="105">
                        <c:v>606.69200000000001</c:v>
                      </c:pt>
                      <c:pt idx="106">
                        <c:v>439.33300000000003</c:v>
                      </c:pt>
                      <c:pt idx="107">
                        <c:v>379.20100000000002</c:v>
                      </c:pt>
                      <c:pt idx="108">
                        <c:v>1541.09</c:v>
                      </c:pt>
                      <c:pt idx="109">
                        <c:v>2455.6689999999999</c:v>
                      </c:pt>
                      <c:pt idx="110">
                        <c:v>1978.857</c:v>
                      </c:pt>
                      <c:pt idx="111">
                        <c:v>1957.8720000000001</c:v>
                      </c:pt>
                      <c:pt idx="112">
                        <c:v>435.541</c:v>
                      </c:pt>
                      <c:pt idx="113">
                        <c:v>621.99599999999998</c:v>
                      </c:pt>
                      <c:pt idx="114">
                        <c:v>7694.3879999999999</c:v>
                      </c:pt>
                      <c:pt idx="115">
                        <c:v>32816.517999999996</c:v>
                      </c:pt>
                      <c:pt idx="116">
                        <c:v>194.32599999999999</c:v>
                      </c:pt>
                      <c:pt idx="117">
                        <c:v>668.73699999999997</c:v>
                      </c:pt>
                      <c:pt idx="118">
                        <c:v>926.404</c:v>
                      </c:pt>
                      <c:pt idx="119">
                        <c:v>418.596</c:v>
                      </c:pt>
                      <c:pt idx="120">
                        <c:v>706.45299999999997</c:v>
                      </c:pt>
                      <c:pt idx="121">
                        <c:v>583.90200000000004</c:v>
                      </c:pt>
                      <c:pt idx="122">
                        <c:v>2335.5859999999998</c:v>
                      </c:pt>
                      <c:pt idx="123">
                        <c:v>7576.34</c:v>
                      </c:pt>
                      <c:pt idx="124">
                        <c:v>1454.818</c:v>
                      </c:pt>
                      <c:pt idx="125">
                        <c:v>981.46400000000006</c:v>
                      </c:pt>
                      <c:pt idx="126">
                        <c:v>4834.8779999999997</c:v>
                      </c:pt>
                      <c:pt idx="127">
                        <c:v>401</c:v>
                      </c:pt>
                      <c:pt idx="128">
                        <c:v>773.99099999999999</c:v>
                      </c:pt>
                      <c:pt idx="129">
                        <c:v>1296.1559999999999</c:v>
                      </c:pt>
                      <c:pt idx="130">
                        <c:v>1257.3019999999999</c:v>
                      </c:pt>
                      <c:pt idx="131">
                        <c:v>811.82799999999997</c:v>
                      </c:pt>
                      <c:pt idx="132">
                        <c:v>683.56</c:v>
                      </c:pt>
                      <c:pt idx="133">
                        <c:v>4685.9229999999998</c:v>
                      </c:pt>
                      <c:pt idx="134">
                        <c:v>944.43299999999999</c:v>
                      </c:pt>
                      <c:pt idx="135">
                        <c:v>1773.93</c:v>
                      </c:pt>
                      <c:pt idx="136">
                        <c:v>964.03599999999994</c:v>
                      </c:pt>
                      <c:pt idx="137">
                        <c:v>1976.7550000000001</c:v>
                      </c:pt>
                      <c:pt idx="138">
                        <c:v>265.39299999999997</c:v>
                      </c:pt>
                      <c:pt idx="139">
                        <c:v>1610.44</c:v>
                      </c:pt>
                      <c:pt idx="140">
                        <c:v>702.63699999999994</c:v>
                      </c:pt>
                      <c:pt idx="141">
                        <c:v>4673.2330000000002</c:v>
                      </c:pt>
                      <c:pt idx="142">
                        <c:v>710.00599999999997</c:v>
                      </c:pt>
                      <c:pt idx="143">
                        <c:v>3942.0430000000001</c:v>
                      </c:pt>
                      <c:pt idx="144">
                        <c:v>261.714</c:v>
                      </c:pt>
                      <c:pt idx="145">
                        <c:v>653.79899999999998</c:v>
                      </c:pt>
                      <c:pt idx="146">
                        <c:v>201.35</c:v>
                      </c:pt>
                      <c:pt idx="147">
                        <c:v>3142.6080000000002</c:v>
                      </c:pt>
                      <c:pt idx="148">
                        <c:v>6894.643</c:v>
                      </c:pt>
                      <c:pt idx="149">
                        <c:v>617.94500000000005</c:v>
                      </c:pt>
                      <c:pt idx="150">
                        <c:v>196.459</c:v>
                      </c:pt>
                      <c:pt idx="151">
                        <c:v>749.101</c:v>
                      </c:pt>
                      <c:pt idx="152">
                        <c:v>1604.1220000000001</c:v>
                      </c:pt>
                      <c:pt idx="153">
                        <c:v>2173.3850000000002</c:v>
                      </c:pt>
                      <c:pt idx="154">
                        <c:v>42336.652000000002</c:v>
                      </c:pt>
                      <c:pt idx="155">
                        <c:v>836.39800000000002</c:v>
                      </c:pt>
                      <c:pt idx="156">
                        <c:v>378.09699999999998</c:v>
                      </c:pt>
                      <c:pt idx="157">
                        <c:v>1304.633</c:v>
                      </c:pt>
                      <c:pt idx="158">
                        <c:v>7579.6540000000005</c:v>
                      </c:pt>
                      <c:pt idx="159">
                        <c:v>6012.634</c:v>
                      </c:pt>
                      <c:pt idx="160">
                        <c:v>1369.0909999999999</c:v>
                      </c:pt>
                      <c:pt idx="161">
                        <c:v>22594.786</c:v>
                      </c:pt>
                      <c:pt idx="162">
                        <c:v>9441.5720000000001</c:v>
                      </c:pt>
                      <c:pt idx="163">
                        <c:v>554.09400000000005</c:v>
                      </c:pt>
                      <c:pt idx="164">
                        <c:v>432.59300000000002</c:v>
                      </c:pt>
                      <c:pt idx="165">
                        <c:v>373.63099999999997</c:v>
                      </c:pt>
                      <c:pt idx="166">
                        <c:v>1258.9929999999999</c:v>
                      </c:pt>
                      <c:pt idx="167">
                        <c:v>1870.0039999999999</c:v>
                      </c:pt>
                      <c:pt idx="168">
                        <c:v>1708.5350000000001</c:v>
                      </c:pt>
                      <c:pt idx="169">
                        <c:v>1825.578</c:v>
                      </c:pt>
                      <c:pt idx="170">
                        <c:v>458.80599999999998</c:v>
                      </c:pt>
                      <c:pt idx="171">
                        <c:v>629.44500000000005</c:v>
                      </c:pt>
                      <c:pt idx="172">
                        <c:v>5883.9489999999996</c:v>
                      </c:pt>
                      <c:pt idx="173">
                        <c:v>35850.114000000001</c:v>
                      </c:pt>
                      <c:pt idx="174">
                        <c:v>194.101</c:v>
                      </c:pt>
                      <c:pt idx="175">
                        <c:v>424.93400000000003</c:v>
                      </c:pt>
                      <c:pt idx="176">
                        <c:v>435.286</c:v>
                      </c:pt>
                      <c:pt idx="177">
                        <c:v>410.68299999999999</c:v>
                      </c:pt>
                      <c:pt idx="178">
                        <c:v>694.46</c:v>
                      </c:pt>
                      <c:pt idx="179">
                        <c:v>422.14400000000001</c:v>
                      </c:pt>
                      <c:pt idx="180">
                        <c:v>2333.9740000000002</c:v>
                      </c:pt>
                      <c:pt idx="181">
                        <c:v>6872.1090000000004</c:v>
                      </c:pt>
                      <c:pt idx="182">
                        <c:v>565.58799999999997</c:v>
                      </c:pt>
                      <c:pt idx="183">
                        <c:v>1095.722</c:v>
                      </c:pt>
                      <c:pt idx="184">
                        <c:v>5735.5379999999996</c:v>
                      </c:pt>
                      <c:pt idx="185">
                        <c:v>377.52800000000002</c:v>
                      </c:pt>
                      <c:pt idx="186">
                        <c:v>730.63800000000003</c:v>
                      </c:pt>
                      <c:pt idx="187">
                        <c:v>557.69399999999996</c:v>
                      </c:pt>
                      <c:pt idx="188">
                        <c:v>1275.4469999999999</c:v>
                      </c:pt>
                      <c:pt idx="189">
                        <c:v>532.33299999999997</c:v>
                      </c:pt>
                      <c:pt idx="190">
                        <c:v>646.27300000000002</c:v>
                      </c:pt>
                      <c:pt idx="191">
                        <c:v>4206.96</c:v>
                      </c:pt>
                      <c:pt idx="192">
                        <c:v>923.18799999999999</c:v>
                      </c:pt>
                      <c:pt idx="193">
                        <c:v>1687.2929999999999</c:v>
                      </c:pt>
                      <c:pt idx="194">
                        <c:v>944.327</c:v>
                      </c:pt>
                      <c:pt idx="195">
                        <c:v>1081.1469999999999</c:v>
                      </c:pt>
                      <c:pt idx="196">
                        <c:v>270.53399999999999</c:v>
                      </c:pt>
                      <c:pt idx="197">
                        <c:v>1289.9880000000001</c:v>
                      </c:pt>
                      <c:pt idx="198">
                        <c:v>658.428</c:v>
                      </c:pt>
                      <c:pt idx="199">
                        <c:v>10027.795</c:v>
                      </c:pt>
                      <c:pt idx="200">
                        <c:v>535.30100000000004</c:v>
                      </c:pt>
                      <c:pt idx="201">
                        <c:v>3742.1030000000001</c:v>
                      </c:pt>
                      <c:pt idx="202">
                        <c:v>245.96899999999999</c:v>
                      </c:pt>
                      <c:pt idx="203">
                        <c:v>477.99</c:v>
                      </c:pt>
                      <c:pt idx="204">
                        <c:v>186.32900000000001</c:v>
                      </c:pt>
                      <c:pt idx="205">
                        <c:v>2998.6840000000002</c:v>
                      </c:pt>
                      <c:pt idx="206">
                        <c:v>7699.3869999999997</c:v>
                      </c:pt>
                      <c:pt idx="207">
                        <c:v>599.92700000000002</c:v>
                      </c:pt>
                      <c:pt idx="208">
                        <c:v>158.56299999999999</c:v>
                      </c:pt>
                      <c:pt idx="209">
                        <c:v>637.49400000000003</c:v>
                      </c:pt>
                      <c:pt idx="210">
                        <c:v>1515.605</c:v>
                      </c:pt>
                      <c:pt idx="211">
                        <c:v>911.91</c:v>
                      </c:pt>
                      <c:pt idx="212">
                        <c:v>25030.278999999999</c:v>
                      </c:pt>
                      <c:pt idx="213">
                        <c:v>750.90599999999995</c:v>
                      </c:pt>
                      <c:pt idx="214">
                        <c:v>361.87099999999998</c:v>
                      </c:pt>
                      <c:pt idx="215">
                        <c:v>1201.443</c:v>
                      </c:pt>
                      <c:pt idx="216">
                        <c:v>6173.1540000000005</c:v>
                      </c:pt>
                      <c:pt idx="217">
                        <c:v>5241.8620000000001</c:v>
                      </c:pt>
                      <c:pt idx="218">
                        <c:v>1079.308</c:v>
                      </c:pt>
                      <c:pt idx="219">
                        <c:v>21215.276000000002</c:v>
                      </c:pt>
                      <c:pt idx="220">
                        <c:v>7920.3329999999996</c:v>
                      </c:pt>
                      <c:pt idx="221">
                        <c:v>495.238</c:v>
                      </c:pt>
                      <c:pt idx="222">
                        <c:v>428.202</c:v>
                      </c:pt>
                      <c:pt idx="223">
                        <c:v>342.59</c:v>
                      </c:pt>
                      <c:pt idx="224">
                        <c:v>1082.7919999999999</c:v>
                      </c:pt>
                      <c:pt idx="225">
                        <c:v>1743.1310000000001</c:v>
                      </c:pt>
                      <c:pt idx="226">
                        <c:v>1638.7349999999999</c:v>
                      </c:pt>
                      <c:pt idx="227">
                        <c:v>1748.26</c:v>
                      </c:pt>
                      <c:pt idx="228">
                        <c:v>417.29500000000002</c:v>
                      </c:pt>
                      <c:pt idx="229">
                        <c:v>592.59100000000001</c:v>
                      </c:pt>
                      <c:pt idx="230">
                        <c:v>5175.7309999999998</c:v>
                      </c:pt>
                      <c:pt idx="231">
                        <c:v>33647.122000000003</c:v>
                      </c:pt>
                      <c:pt idx="232" formatCode="General">
                        <c:v>211.41499999999999</c:v>
                      </c:pt>
                      <c:pt idx="233" formatCode="General">
                        <c:v>410.89499999999998</c:v>
                      </c:pt>
                      <c:pt idx="234" formatCode="General">
                        <c:v>403.428</c:v>
                      </c:pt>
                      <c:pt idx="235" formatCode="General">
                        <c:v>413.142</c:v>
                      </c:pt>
                      <c:pt idx="236" formatCode="General">
                        <c:v>666.27599999999995</c:v>
                      </c:pt>
                      <c:pt idx="237" formatCode="General">
                        <c:v>403.108</c:v>
                      </c:pt>
                      <c:pt idx="238" formatCode="General">
                        <c:v>2386.06</c:v>
                      </c:pt>
                      <c:pt idx="239" formatCode="General">
                        <c:v>6301.8720000000003</c:v>
                      </c:pt>
                      <c:pt idx="240" formatCode="General">
                        <c:v>119.762</c:v>
                      </c:pt>
                      <c:pt idx="241" formatCode="General">
                        <c:v>1003.877</c:v>
                      </c:pt>
                      <c:pt idx="242" formatCode="General">
                        <c:v>5181.5630000000001</c:v>
                      </c:pt>
                      <c:pt idx="243" formatCode="General">
                        <c:v>357.375</c:v>
                      </c:pt>
                      <c:pt idx="244" formatCode="General">
                        <c:v>692.96299999999997</c:v>
                      </c:pt>
                      <c:pt idx="245" formatCode="General">
                        <c:v>344.46800000000002</c:v>
                      </c:pt>
                      <c:pt idx="246" formatCode="General">
                        <c:v>1240.944</c:v>
                      </c:pt>
                      <c:pt idx="247" formatCode="General">
                        <c:v>532.50400000000002</c:v>
                      </c:pt>
                      <c:pt idx="248" formatCode="General">
                        <c:v>589.34900000000005</c:v>
                      </c:pt>
                      <c:pt idx="249" formatCode="General">
                        <c:v>3025.9569999999999</c:v>
                      </c:pt>
                      <c:pt idx="250" formatCode="General">
                        <c:v>972.46600000000001</c:v>
                      </c:pt>
                      <c:pt idx="251" formatCode="General">
                        <c:v>1632.0909999999999</c:v>
                      </c:pt>
                      <c:pt idx="252" formatCode="General">
                        <c:v>938.52800000000002</c:v>
                      </c:pt>
                      <c:pt idx="253" formatCode="General">
                        <c:v>938.75800000000004</c:v>
                      </c:pt>
                      <c:pt idx="254" formatCode="General">
                        <c:v>278.32499999999999</c:v>
                      </c:pt>
                      <c:pt idx="255" formatCode="General">
                        <c:v>836.47500000000002</c:v>
                      </c:pt>
                      <c:pt idx="256" formatCode="General">
                        <c:v>483.42500000000001</c:v>
                      </c:pt>
                      <c:pt idx="257" formatCode="General">
                        <c:v>16808.804</c:v>
                      </c:pt>
                      <c:pt idx="258" formatCode="General">
                        <c:v>465.56599999999997</c:v>
                      </c:pt>
                      <c:pt idx="259" formatCode="General">
                        <c:v>3432.0639999999999</c:v>
                      </c:pt>
                      <c:pt idx="260" formatCode="General">
                        <c:v>234.84800000000001</c:v>
                      </c:pt>
                      <c:pt idx="261" formatCode="General">
                        <c:v>481.46</c:v>
                      </c:pt>
                      <c:pt idx="262" formatCode="General">
                        <c:v>193.20500000000001</c:v>
                      </c:pt>
                      <c:pt idx="263" formatCode="General">
                        <c:v>2891.3870000000002</c:v>
                      </c:pt>
                      <c:pt idx="264" formatCode="General">
                        <c:v>8155.652</c:v>
                      </c:pt>
                      <c:pt idx="265" formatCode="General">
                        <c:v>600.43299999999999</c:v>
                      </c:pt>
                      <c:pt idx="266" formatCode="General">
                        <c:v>134.31</c:v>
                      </c:pt>
                      <c:pt idx="267" formatCode="General">
                        <c:v>555.19600000000003</c:v>
                      </c:pt>
                      <c:pt idx="268" formatCode="General">
                        <c:v>1496.7819999999999</c:v>
                      </c:pt>
                      <c:pt idx="269" formatCode="General">
                        <c:v>726.74</c:v>
                      </c:pt>
                      <c:pt idx="270" formatCode="General">
                        <c:v>51888.406999999999</c:v>
                      </c:pt>
                      <c:pt idx="271" formatCode="General">
                        <c:v>681.98800000000006</c:v>
                      </c:pt>
                      <c:pt idx="272" formatCode="General">
                        <c:v>148.03299999999999</c:v>
                      </c:pt>
                      <c:pt idx="273" formatCode="General">
                        <c:v>1128.58</c:v>
                      </c:pt>
                      <c:pt idx="274" formatCode="General">
                        <c:v>6145.5720000000001</c:v>
                      </c:pt>
                      <c:pt idx="275" formatCode="General">
                        <c:v>4577.2659999999996</c:v>
                      </c:pt>
                      <c:pt idx="276" formatCode="General">
                        <c:v>834.52200000000005</c:v>
                      </c:pt>
                      <c:pt idx="277" formatCode="General">
                        <c:v>20076.246999999999</c:v>
                      </c:pt>
                      <c:pt idx="278" formatCode="General">
                        <c:v>7601.6689999999999</c:v>
                      </c:pt>
                      <c:pt idx="279" formatCode="General">
                        <c:v>472.01</c:v>
                      </c:pt>
                      <c:pt idx="280" formatCode="General">
                        <c:v>381.33800000000002</c:v>
                      </c:pt>
                      <c:pt idx="281" formatCode="General">
                        <c:v>329.09699999999998</c:v>
                      </c:pt>
                      <c:pt idx="282" formatCode="General">
                        <c:v>1083.1199999999999</c:v>
                      </c:pt>
                      <c:pt idx="283" formatCode="General">
                        <c:v>1639.8109999999999</c:v>
                      </c:pt>
                      <c:pt idx="284" formatCode="General">
                        <c:v>1425.2670000000001</c:v>
                      </c:pt>
                      <c:pt idx="285" formatCode="General">
                        <c:v>1806.9870000000001</c:v>
                      </c:pt>
                      <c:pt idx="286" formatCode="General">
                        <c:v>415.60300000000001</c:v>
                      </c:pt>
                      <c:pt idx="287" formatCode="General">
                        <c:v>585.745</c:v>
                      </c:pt>
                      <c:pt idx="288" formatCode="General">
                        <c:v>4877.28</c:v>
                      </c:pt>
                      <c:pt idx="289" formatCode="General">
                        <c:v>29731.255000000001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5C6-4E19-973B-91C5491E87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(2)'!$J$1</c15:sqref>
                        </c15:formulaRef>
                      </c:ext>
                    </c:extLst>
                    <c:strCache>
                      <c:ptCount val="1"/>
                      <c:pt idx="0">
                        <c:v>Nợ ngắn hạn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(2)'!$J$2:$J$311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9.15</c:v>
                      </c:pt>
                      <c:pt idx="1">
                        <c:v>227.95</c:v>
                      </c:pt>
                      <c:pt idx="2">
                        <c:v>664.3</c:v>
                      </c:pt>
                      <c:pt idx="3">
                        <c:v>157.46</c:v>
                      </c:pt>
                      <c:pt idx="4">
                        <c:v>950.04</c:v>
                      </c:pt>
                      <c:pt idx="5">
                        <c:v>1472.93</c:v>
                      </c:pt>
                      <c:pt idx="6">
                        <c:v>2103.11</c:v>
                      </c:pt>
                      <c:pt idx="7">
                        <c:v>8203.9699999999993</c:v>
                      </c:pt>
                      <c:pt idx="8">
                        <c:v>3011.07</c:v>
                      </c:pt>
                      <c:pt idx="9">
                        <c:v>900.37</c:v>
                      </c:pt>
                      <c:pt idx="10">
                        <c:v>1726.34</c:v>
                      </c:pt>
                      <c:pt idx="11">
                        <c:v>31.85</c:v>
                      </c:pt>
                      <c:pt idx="12">
                        <c:v>690.69</c:v>
                      </c:pt>
                      <c:pt idx="13">
                        <c:v>1575.22</c:v>
                      </c:pt>
                      <c:pt idx="14">
                        <c:v>2458.35</c:v>
                      </c:pt>
                      <c:pt idx="15">
                        <c:v>2220.3000000000002</c:v>
                      </c:pt>
                      <c:pt idx="16">
                        <c:v>795.84</c:v>
                      </c:pt>
                      <c:pt idx="17">
                        <c:v>7141.61</c:v>
                      </c:pt>
                      <c:pt idx="18">
                        <c:v>533.80999999999995</c:v>
                      </c:pt>
                      <c:pt idx="19">
                        <c:v>1508.14</c:v>
                      </c:pt>
                      <c:pt idx="20">
                        <c:v>233.68</c:v>
                      </c:pt>
                      <c:pt idx="21">
                        <c:v>1111.72</c:v>
                      </c:pt>
                      <c:pt idx="22">
                        <c:v>114.61</c:v>
                      </c:pt>
                      <c:pt idx="23">
                        <c:v>641.5</c:v>
                      </c:pt>
                      <c:pt idx="24">
                        <c:v>10.61</c:v>
                      </c:pt>
                      <c:pt idx="25">
                        <c:v>9710.4</c:v>
                      </c:pt>
                      <c:pt idx="26">
                        <c:v>839.43</c:v>
                      </c:pt>
                      <c:pt idx="27">
                        <c:v>171.64</c:v>
                      </c:pt>
                      <c:pt idx="28">
                        <c:v>31.77</c:v>
                      </c:pt>
                      <c:pt idx="29">
                        <c:v>1441.46</c:v>
                      </c:pt>
                      <c:pt idx="30">
                        <c:v>188</c:v>
                      </c:pt>
                      <c:pt idx="31">
                        <c:v>4530.16</c:v>
                      </c:pt>
                      <c:pt idx="32">
                        <c:v>4214.0600000000004</c:v>
                      </c:pt>
                      <c:pt idx="33">
                        <c:v>234.28</c:v>
                      </c:pt>
                      <c:pt idx="34">
                        <c:v>107.75</c:v>
                      </c:pt>
                      <c:pt idx="35">
                        <c:v>415.66</c:v>
                      </c:pt>
                      <c:pt idx="36">
                        <c:v>949.3</c:v>
                      </c:pt>
                      <c:pt idx="37">
                        <c:v>274.45999999999998</c:v>
                      </c:pt>
                      <c:pt idx="38">
                        <c:v>50422.5</c:v>
                      </c:pt>
                      <c:pt idx="39">
                        <c:v>964.51</c:v>
                      </c:pt>
                      <c:pt idx="40">
                        <c:v>172.22</c:v>
                      </c:pt>
                      <c:pt idx="41">
                        <c:v>742.91</c:v>
                      </c:pt>
                      <c:pt idx="42">
                        <c:v>10865.68</c:v>
                      </c:pt>
                      <c:pt idx="43">
                        <c:v>4611.96</c:v>
                      </c:pt>
                      <c:pt idx="44">
                        <c:v>4776.58</c:v>
                      </c:pt>
                      <c:pt idx="45">
                        <c:v>8224.61</c:v>
                      </c:pt>
                      <c:pt idx="46">
                        <c:v>20031.22</c:v>
                      </c:pt>
                      <c:pt idx="47">
                        <c:v>400.97</c:v>
                      </c:pt>
                      <c:pt idx="48">
                        <c:v>621.09</c:v>
                      </c:pt>
                      <c:pt idx="49">
                        <c:v>156.87</c:v>
                      </c:pt>
                      <c:pt idx="50">
                        <c:v>935.58</c:v>
                      </c:pt>
                      <c:pt idx="51">
                        <c:v>2878.58</c:v>
                      </c:pt>
                      <c:pt idx="52">
                        <c:v>1173.4100000000001</c:v>
                      </c:pt>
                      <c:pt idx="53">
                        <c:v>659.54</c:v>
                      </c:pt>
                      <c:pt idx="54">
                        <c:v>1545.48</c:v>
                      </c:pt>
                      <c:pt idx="55">
                        <c:v>776.12</c:v>
                      </c:pt>
                      <c:pt idx="56">
                        <c:v>3232.91</c:v>
                      </c:pt>
                      <c:pt idx="57">
                        <c:v>17138.689999999999</c:v>
                      </c:pt>
                      <c:pt idx="58">
                        <c:v>7.94</c:v>
                      </c:pt>
                      <c:pt idx="59">
                        <c:v>212.85</c:v>
                      </c:pt>
                      <c:pt idx="60">
                        <c:v>762.42</c:v>
                      </c:pt>
                      <c:pt idx="61">
                        <c:v>148.07</c:v>
                      </c:pt>
                      <c:pt idx="62">
                        <c:v>656.97</c:v>
                      </c:pt>
                      <c:pt idx="63">
                        <c:v>1364.73</c:v>
                      </c:pt>
                      <c:pt idx="64">
                        <c:v>2417.5100000000002</c:v>
                      </c:pt>
                      <c:pt idx="65">
                        <c:v>7597.61</c:v>
                      </c:pt>
                      <c:pt idx="66">
                        <c:v>2291.7199999999998</c:v>
                      </c:pt>
                      <c:pt idx="67">
                        <c:v>472.47</c:v>
                      </c:pt>
                      <c:pt idx="68">
                        <c:v>1815.51</c:v>
                      </c:pt>
                      <c:pt idx="69">
                        <c:v>51.49</c:v>
                      </c:pt>
                      <c:pt idx="70">
                        <c:v>542.97</c:v>
                      </c:pt>
                      <c:pt idx="71">
                        <c:v>1491.1</c:v>
                      </c:pt>
                      <c:pt idx="72">
                        <c:v>2751.26</c:v>
                      </c:pt>
                      <c:pt idx="73">
                        <c:v>1473.3</c:v>
                      </c:pt>
                      <c:pt idx="74">
                        <c:v>942.67</c:v>
                      </c:pt>
                      <c:pt idx="75">
                        <c:v>7213.03</c:v>
                      </c:pt>
                      <c:pt idx="76">
                        <c:v>519.02</c:v>
                      </c:pt>
                      <c:pt idx="77">
                        <c:v>1506.93</c:v>
                      </c:pt>
                      <c:pt idx="78">
                        <c:v>312.01</c:v>
                      </c:pt>
                      <c:pt idx="79">
                        <c:v>862.55</c:v>
                      </c:pt>
                      <c:pt idx="80">
                        <c:v>107.68</c:v>
                      </c:pt>
                      <c:pt idx="81">
                        <c:v>1329.86</c:v>
                      </c:pt>
                      <c:pt idx="82">
                        <c:v>73.14</c:v>
                      </c:pt>
                      <c:pt idx="83">
                        <c:v>9218.06</c:v>
                      </c:pt>
                      <c:pt idx="84">
                        <c:v>1425.13</c:v>
                      </c:pt>
                      <c:pt idx="85">
                        <c:v>315.14999999999998</c:v>
                      </c:pt>
                      <c:pt idx="86">
                        <c:v>44.78</c:v>
                      </c:pt>
                      <c:pt idx="87">
                        <c:v>1238.1300000000001</c:v>
                      </c:pt>
                      <c:pt idx="88">
                        <c:v>124.3</c:v>
                      </c:pt>
                      <c:pt idx="89">
                        <c:v>4524.45</c:v>
                      </c:pt>
                      <c:pt idx="90">
                        <c:v>5427.18</c:v>
                      </c:pt>
                      <c:pt idx="91">
                        <c:v>288.81</c:v>
                      </c:pt>
                      <c:pt idx="92">
                        <c:v>213.85</c:v>
                      </c:pt>
                      <c:pt idx="93">
                        <c:v>376.99</c:v>
                      </c:pt>
                      <c:pt idx="94">
                        <c:v>784.38</c:v>
                      </c:pt>
                      <c:pt idx="95">
                        <c:v>238</c:v>
                      </c:pt>
                      <c:pt idx="96">
                        <c:v>65320.88</c:v>
                      </c:pt>
                      <c:pt idx="97">
                        <c:v>772.28</c:v>
                      </c:pt>
                      <c:pt idx="98">
                        <c:v>271.3</c:v>
                      </c:pt>
                      <c:pt idx="99">
                        <c:v>642.83000000000004</c:v>
                      </c:pt>
                      <c:pt idx="100">
                        <c:v>7812.64</c:v>
                      </c:pt>
                      <c:pt idx="101">
                        <c:v>4883.0600000000004</c:v>
                      </c:pt>
                      <c:pt idx="102">
                        <c:v>4093.95</c:v>
                      </c:pt>
                      <c:pt idx="103">
                        <c:v>9213.86</c:v>
                      </c:pt>
                      <c:pt idx="104">
                        <c:v>16227.01</c:v>
                      </c:pt>
                      <c:pt idx="105">
                        <c:v>346.11</c:v>
                      </c:pt>
                      <c:pt idx="106">
                        <c:v>520.67999999999995</c:v>
                      </c:pt>
                      <c:pt idx="107">
                        <c:v>147.76</c:v>
                      </c:pt>
                      <c:pt idx="108">
                        <c:v>583.66999999999996</c:v>
                      </c:pt>
                      <c:pt idx="109">
                        <c:v>3232.12</c:v>
                      </c:pt>
                      <c:pt idx="110">
                        <c:v>1311.89</c:v>
                      </c:pt>
                      <c:pt idx="111">
                        <c:v>831.26</c:v>
                      </c:pt>
                      <c:pt idx="112">
                        <c:v>2947.61</c:v>
                      </c:pt>
                      <c:pt idx="113">
                        <c:v>1135.04</c:v>
                      </c:pt>
                      <c:pt idx="114">
                        <c:v>3698.13</c:v>
                      </c:pt>
                      <c:pt idx="115">
                        <c:v>15308.42</c:v>
                      </c:pt>
                      <c:pt idx="116">
                        <c:v>5.54</c:v>
                      </c:pt>
                      <c:pt idx="117">
                        <c:v>115.7</c:v>
                      </c:pt>
                      <c:pt idx="118">
                        <c:v>666.16</c:v>
                      </c:pt>
                      <c:pt idx="119">
                        <c:v>171.51</c:v>
                      </c:pt>
                      <c:pt idx="120">
                        <c:v>751.73</c:v>
                      </c:pt>
                      <c:pt idx="121">
                        <c:v>1299.46</c:v>
                      </c:pt>
                      <c:pt idx="122">
                        <c:v>2336.52</c:v>
                      </c:pt>
                      <c:pt idx="123">
                        <c:v>6531.47</c:v>
                      </c:pt>
                      <c:pt idx="124">
                        <c:v>3851.38</c:v>
                      </c:pt>
                      <c:pt idx="125">
                        <c:v>520.24</c:v>
                      </c:pt>
                      <c:pt idx="126">
                        <c:v>2104.9899999999998</c:v>
                      </c:pt>
                      <c:pt idx="127">
                        <c:v>59.24</c:v>
                      </c:pt>
                      <c:pt idx="128">
                        <c:v>277.37</c:v>
                      </c:pt>
                      <c:pt idx="129">
                        <c:v>896.55</c:v>
                      </c:pt>
                      <c:pt idx="130">
                        <c:v>2663.65</c:v>
                      </c:pt>
                      <c:pt idx="131">
                        <c:v>883.31</c:v>
                      </c:pt>
                      <c:pt idx="132">
                        <c:v>868.5</c:v>
                      </c:pt>
                      <c:pt idx="133">
                        <c:v>5171.7</c:v>
                      </c:pt>
                      <c:pt idx="134">
                        <c:v>413.89</c:v>
                      </c:pt>
                      <c:pt idx="135">
                        <c:v>1359.99</c:v>
                      </c:pt>
                      <c:pt idx="136">
                        <c:v>271.92</c:v>
                      </c:pt>
                      <c:pt idx="137">
                        <c:v>713.1</c:v>
                      </c:pt>
                      <c:pt idx="138">
                        <c:v>111.27</c:v>
                      </c:pt>
                      <c:pt idx="139">
                        <c:v>2084.75</c:v>
                      </c:pt>
                      <c:pt idx="140">
                        <c:v>107.62</c:v>
                      </c:pt>
                      <c:pt idx="141">
                        <c:v>6754.51</c:v>
                      </c:pt>
                      <c:pt idx="142">
                        <c:v>563.21</c:v>
                      </c:pt>
                      <c:pt idx="143">
                        <c:v>290.70999999999998</c:v>
                      </c:pt>
                      <c:pt idx="144">
                        <c:v>65.36</c:v>
                      </c:pt>
                      <c:pt idx="145">
                        <c:v>1374.87</c:v>
                      </c:pt>
                      <c:pt idx="146">
                        <c:v>135.49</c:v>
                      </c:pt>
                      <c:pt idx="147">
                        <c:v>4115.8900000000003</c:v>
                      </c:pt>
                      <c:pt idx="148">
                        <c:v>5397.24</c:v>
                      </c:pt>
                      <c:pt idx="149">
                        <c:v>450.15</c:v>
                      </c:pt>
                      <c:pt idx="150">
                        <c:v>80.52</c:v>
                      </c:pt>
                      <c:pt idx="151">
                        <c:v>410.2</c:v>
                      </c:pt>
                      <c:pt idx="152">
                        <c:v>846.11</c:v>
                      </c:pt>
                      <c:pt idx="153">
                        <c:v>289.93</c:v>
                      </c:pt>
                      <c:pt idx="154">
                        <c:v>34547.839999999997</c:v>
                      </c:pt>
                      <c:pt idx="155">
                        <c:v>700.84</c:v>
                      </c:pt>
                      <c:pt idx="156">
                        <c:v>419.16</c:v>
                      </c:pt>
                      <c:pt idx="157">
                        <c:v>595.38</c:v>
                      </c:pt>
                      <c:pt idx="158">
                        <c:v>5992.75</c:v>
                      </c:pt>
                      <c:pt idx="159">
                        <c:v>4563</c:v>
                      </c:pt>
                      <c:pt idx="160">
                        <c:v>4022.37</c:v>
                      </c:pt>
                      <c:pt idx="161">
                        <c:v>7258.02</c:v>
                      </c:pt>
                      <c:pt idx="162">
                        <c:v>10576.66</c:v>
                      </c:pt>
                      <c:pt idx="163">
                        <c:v>357</c:v>
                      </c:pt>
                      <c:pt idx="164">
                        <c:v>514.73</c:v>
                      </c:pt>
                      <c:pt idx="165">
                        <c:v>140.80000000000001</c:v>
                      </c:pt>
                      <c:pt idx="166">
                        <c:v>711.87</c:v>
                      </c:pt>
                      <c:pt idx="167">
                        <c:v>2148.56</c:v>
                      </c:pt>
                      <c:pt idx="168">
                        <c:v>1757.42</c:v>
                      </c:pt>
                      <c:pt idx="169">
                        <c:v>578.29999999999995</c:v>
                      </c:pt>
                      <c:pt idx="170">
                        <c:v>2597.12</c:v>
                      </c:pt>
                      <c:pt idx="171">
                        <c:v>694.22</c:v>
                      </c:pt>
                      <c:pt idx="172">
                        <c:v>2680.07</c:v>
                      </c:pt>
                      <c:pt idx="173">
                        <c:v>17068.419999999998</c:v>
                      </c:pt>
                      <c:pt idx="174">
                        <c:v>15.5</c:v>
                      </c:pt>
                      <c:pt idx="175">
                        <c:v>92.18</c:v>
                      </c:pt>
                      <c:pt idx="176">
                        <c:v>734.52</c:v>
                      </c:pt>
                      <c:pt idx="177">
                        <c:v>128.44</c:v>
                      </c:pt>
                      <c:pt idx="178">
                        <c:v>965.08</c:v>
                      </c:pt>
                      <c:pt idx="179">
                        <c:v>1317.85</c:v>
                      </c:pt>
                      <c:pt idx="180">
                        <c:v>2338.9899999999998</c:v>
                      </c:pt>
                      <c:pt idx="181">
                        <c:v>6533.71</c:v>
                      </c:pt>
                      <c:pt idx="182">
                        <c:v>4615.93</c:v>
                      </c:pt>
                      <c:pt idx="183">
                        <c:v>430.84</c:v>
                      </c:pt>
                      <c:pt idx="184">
                        <c:v>1746.19</c:v>
                      </c:pt>
                      <c:pt idx="185">
                        <c:v>67.11</c:v>
                      </c:pt>
                      <c:pt idx="186">
                        <c:v>180.48</c:v>
                      </c:pt>
                      <c:pt idx="187">
                        <c:v>902.69</c:v>
                      </c:pt>
                      <c:pt idx="188">
                        <c:v>2179.9</c:v>
                      </c:pt>
                      <c:pt idx="189">
                        <c:v>869.32</c:v>
                      </c:pt>
                      <c:pt idx="190">
                        <c:v>841.37</c:v>
                      </c:pt>
                      <c:pt idx="191">
                        <c:v>4254.59</c:v>
                      </c:pt>
                      <c:pt idx="192">
                        <c:v>432.76</c:v>
                      </c:pt>
                      <c:pt idx="193">
                        <c:v>742.18</c:v>
                      </c:pt>
                      <c:pt idx="194">
                        <c:v>153.16999999999999</c:v>
                      </c:pt>
                      <c:pt idx="195">
                        <c:v>619.65</c:v>
                      </c:pt>
                      <c:pt idx="196">
                        <c:v>123.93</c:v>
                      </c:pt>
                      <c:pt idx="197">
                        <c:v>1415.97</c:v>
                      </c:pt>
                      <c:pt idx="198">
                        <c:v>547.99</c:v>
                      </c:pt>
                      <c:pt idx="199">
                        <c:v>15428.98</c:v>
                      </c:pt>
                      <c:pt idx="200">
                        <c:v>693.39</c:v>
                      </c:pt>
                      <c:pt idx="201">
                        <c:v>149.88</c:v>
                      </c:pt>
                      <c:pt idx="202">
                        <c:v>13.78</c:v>
                      </c:pt>
                      <c:pt idx="203">
                        <c:v>946.95</c:v>
                      </c:pt>
                      <c:pt idx="204">
                        <c:v>172.24</c:v>
                      </c:pt>
                      <c:pt idx="205">
                        <c:v>4265.93</c:v>
                      </c:pt>
                      <c:pt idx="206">
                        <c:v>3805.34</c:v>
                      </c:pt>
                      <c:pt idx="207">
                        <c:v>497.07</c:v>
                      </c:pt>
                      <c:pt idx="208">
                        <c:v>46.43</c:v>
                      </c:pt>
                      <c:pt idx="209">
                        <c:v>372.27</c:v>
                      </c:pt>
                      <c:pt idx="210">
                        <c:v>731.74</c:v>
                      </c:pt>
                      <c:pt idx="211">
                        <c:v>250.6</c:v>
                      </c:pt>
                      <c:pt idx="212">
                        <c:v>38874.660000000003</c:v>
                      </c:pt>
                      <c:pt idx="213">
                        <c:v>594.80999999999995</c:v>
                      </c:pt>
                      <c:pt idx="214">
                        <c:v>405.91</c:v>
                      </c:pt>
                      <c:pt idx="215">
                        <c:v>534.53</c:v>
                      </c:pt>
                      <c:pt idx="216">
                        <c:v>3639.46</c:v>
                      </c:pt>
                      <c:pt idx="217">
                        <c:v>3231.91</c:v>
                      </c:pt>
                      <c:pt idx="218">
                        <c:v>2945.87</c:v>
                      </c:pt>
                      <c:pt idx="219">
                        <c:v>5173.04</c:v>
                      </c:pt>
                      <c:pt idx="220">
                        <c:v>8740.48</c:v>
                      </c:pt>
                      <c:pt idx="221">
                        <c:v>283.77999999999997</c:v>
                      </c:pt>
                      <c:pt idx="222">
                        <c:v>694.15</c:v>
                      </c:pt>
                      <c:pt idx="223">
                        <c:v>139.82</c:v>
                      </c:pt>
                      <c:pt idx="224">
                        <c:v>568.58000000000004</c:v>
                      </c:pt>
                      <c:pt idx="225">
                        <c:v>2066.4299999999998</c:v>
                      </c:pt>
                      <c:pt idx="226">
                        <c:v>1256.93</c:v>
                      </c:pt>
                      <c:pt idx="227">
                        <c:v>499.56</c:v>
                      </c:pt>
                      <c:pt idx="228">
                        <c:v>1218.33</c:v>
                      </c:pt>
                      <c:pt idx="229">
                        <c:v>957.35</c:v>
                      </c:pt>
                      <c:pt idx="230">
                        <c:v>1941</c:v>
                      </c:pt>
                      <c:pt idx="231">
                        <c:v>14212.65</c:v>
                      </c:pt>
                      <c:pt idx="232" formatCode="General">
                        <c:v>15.02</c:v>
                      </c:pt>
                      <c:pt idx="233" formatCode="General">
                        <c:v>71.34</c:v>
                      </c:pt>
                      <c:pt idx="234" formatCode="General">
                        <c:v>259.39999999999998</c:v>
                      </c:pt>
                      <c:pt idx="235" formatCode="General">
                        <c:v>120.18</c:v>
                      </c:pt>
                      <c:pt idx="236" formatCode="General">
                        <c:v>794.91</c:v>
                      </c:pt>
                      <c:pt idx="237" formatCode="General">
                        <c:v>1217.1400000000001</c:v>
                      </c:pt>
                      <c:pt idx="238" formatCode="General">
                        <c:v>1728.26</c:v>
                      </c:pt>
                      <c:pt idx="239" formatCode="General">
                        <c:v>6553.95</c:v>
                      </c:pt>
                      <c:pt idx="240" formatCode="General">
                        <c:v>5966.52</c:v>
                      </c:pt>
                      <c:pt idx="241" formatCode="General">
                        <c:v>548.16</c:v>
                      </c:pt>
                      <c:pt idx="242" formatCode="General">
                        <c:v>2328.5100000000002</c:v>
                      </c:pt>
                      <c:pt idx="243" formatCode="General">
                        <c:v>44.88</c:v>
                      </c:pt>
                      <c:pt idx="244" formatCode="General">
                        <c:v>331.41</c:v>
                      </c:pt>
                      <c:pt idx="245" formatCode="General">
                        <c:v>1036.6199999999999</c:v>
                      </c:pt>
                      <c:pt idx="246" formatCode="General">
                        <c:v>2157.65</c:v>
                      </c:pt>
                      <c:pt idx="247" formatCode="General">
                        <c:v>1011.73</c:v>
                      </c:pt>
                      <c:pt idx="248" formatCode="General">
                        <c:v>854.23</c:v>
                      </c:pt>
                      <c:pt idx="249" formatCode="General">
                        <c:v>4819.68</c:v>
                      </c:pt>
                      <c:pt idx="250" formatCode="General">
                        <c:v>459.3</c:v>
                      </c:pt>
                      <c:pt idx="251" formatCode="General">
                        <c:v>927.1</c:v>
                      </c:pt>
                      <c:pt idx="252" formatCode="General">
                        <c:v>241.89</c:v>
                      </c:pt>
                      <c:pt idx="253" formatCode="General">
                        <c:v>571.85</c:v>
                      </c:pt>
                      <c:pt idx="254" formatCode="General">
                        <c:v>105.55</c:v>
                      </c:pt>
                      <c:pt idx="255" formatCode="General">
                        <c:v>1059.3699999999999</c:v>
                      </c:pt>
                      <c:pt idx="256" formatCode="General">
                        <c:v>535.59</c:v>
                      </c:pt>
                      <c:pt idx="257" formatCode="General">
                        <c:v>8089.79</c:v>
                      </c:pt>
                      <c:pt idx="258" formatCode="General">
                        <c:v>1162.6099999999999</c:v>
                      </c:pt>
                      <c:pt idx="259" formatCode="General">
                        <c:v>135.13</c:v>
                      </c:pt>
                      <c:pt idx="260" formatCode="General">
                        <c:v>11.23</c:v>
                      </c:pt>
                      <c:pt idx="261" formatCode="General">
                        <c:v>911.79</c:v>
                      </c:pt>
                      <c:pt idx="262" formatCode="General">
                        <c:v>184.77</c:v>
                      </c:pt>
                      <c:pt idx="263" formatCode="General">
                        <c:v>4095.66</c:v>
                      </c:pt>
                      <c:pt idx="264" formatCode="General">
                        <c:v>2684.94</c:v>
                      </c:pt>
                      <c:pt idx="265" formatCode="General">
                        <c:v>385</c:v>
                      </c:pt>
                      <c:pt idx="266" formatCode="General">
                        <c:v>116.16</c:v>
                      </c:pt>
                      <c:pt idx="267" formatCode="General">
                        <c:v>280.20999999999998</c:v>
                      </c:pt>
                      <c:pt idx="268" formatCode="General">
                        <c:v>666.56</c:v>
                      </c:pt>
                      <c:pt idx="269" formatCode="General">
                        <c:v>342.56</c:v>
                      </c:pt>
                      <c:pt idx="270" formatCode="General">
                        <c:v>30492.19</c:v>
                      </c:pt>
                      <c:pt idx="271" formatCode="General">
                        <c:v>464.56</c:v>
                      </c:pt>
                      <c:pt idx="272" formatCode="General">
                        <c:v>168.79</c:v>
                      </c:pt>
                      <c:pt idx="273" formatCode="General">
                        <c:v>544.62</c:v>
                      </c:pt>
                      <c:pt idx="274" formatCode="General">
                        <c:v>3060.15</c:v>
                      </c:pt>
                      <c:pt idx="275" formatCode="General">
                        <c:v>4017.86</c:v>
                      </c:pt>
                      <c:pt idx="276" formatCode="General">
                        <c:v>2179.36</c:v>
                      </c:pt>
                      <c:pt idx="277" formatCode="General">
                        <c:v>6087.83</c:v>
                      </c:pt>
                      <c:pt idx="278" formatCode="General">
                        <c:v>7789.93</c:v>
                      </c:pt>
                      <c:pt idx="279" formatCode="General">
                        <c:v>301.98</c:v>
                      </c:pt>
                      <c:pt idx="280" formatCode="General">
                        <c:v>141.56</c:v>
                      </c:pt>
                      <c:pt idx="281" formatCode="General">
                        <c:v>144.83000000000001</c:v>
                      </c:pt>
                      <c:pt idx="282" formatCode="General">
                        <c:v>823.67</c:v>
                      </c:pt>
                      <c:pt idx="283" formatCode="General">
                        <c:v>2592.15</c:v>
                      </c:pt>
                      <c:pt idx="284" formatCode="General">
                        <c:v>1331.36</c:v>
                      </c:pt>
                      <c:pt idx="285" formatCode="General">
                        <c:v>554.65</c:v>
                      </c:pt>
                      <c:pt idx="286" formatCode="General">
                        <c:v>1090.33</c:v>
                      </c:pt>
                      <c:pt idx="287" formatCode="General">
                        <c:v>966.81</c:v>
                      </c:pt>
                      <c:pt idx="288" formatCode="General">
                        <c:v>1715.66</c:v>
                      </c:pt>
                      <c:pt idx="289" formatCode="General">
                        <c:v>14442.85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5C6-4E19-973B-91C5491E87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(2)'!$K$1</c15:sqref>
                        </c15:formulaRef>
                      </c:ext>
                    </c:extLst>
                    <c:strCache>
                      <c:ptCount val="1"/>
                      <c:pt idx="0">
                        <c:v>Lạm phát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(2)'!$K$2:$K$311</c15:sqref>
                        </c15:formulaRef>
                      </c:ext>
                    </c:extLst>
                    <c:numCache>
                      <c:formatCode>0.00%</c:formatCode>
                      <c:ptCount val="290"/>
                      <c:pt idx="0">
                        <c:v>3.2528928266766205E-2</c:v>
                      </c:pt>
                      <c:pt idx="1">
                        <c:v>3.2528928266766205E-2</c:v>
                      </c:pt>
                      <c:pt idx="2">
                        <c:v>3.2528928266766205E-2</c:v>
                      </c:pt>
                      <c:pt idx="3">
                        <c:v>3.2528928266766205E-2</c:v>
                      </c:pt>
                      <c:pt idx="4">
                        <c:v>3.2528928266766205E-2</c:v>
                      </c:pt>
                      <c:pt idx="5">
                        <c:v>3.2528928266766205E-2</c:v>
                      </c:pt>
                      <c:pt idx="6">
                        <c:v>3.2528928266766205E-2</c:v>
                      </c:pt>
                      <c:pt idx="7">
                        <c:v>3.2528928266766205E-2</c:v>
                      </c:pt>
                      <c:pt idx="8">
                        <c:v>3.2528928266766205E-2</c:v>
                      </c:pt>
                      <c:pt idx="9">
                        <c:v>3.2528928266766205E-2</c:v>
                      </c:pt>
                      <c:pt idx="10">
                        <c:v>3.2528928266766205E-2</c:v>
                      </c:pt>
                      <c:pt idx="11">
                        <c:v>3.2528928266766205E-2</c:v>
                      </c:pt>
                      <c:pt idx="12">
                        <c:v>3.2528928266766205E-2</c:v>
                      </c:pt>
                      <c:pt idx="13">
                        <c:v>3.2528928266766205E-2</c:v>
                      </c:pt>
                      <c:pt idx="14">
                        <c:v>3.2528928266766205E-2</c:v>
                      </c:pt>
                      <c:pt idx="15">
                        <c:v>3.2528928266766205E-2</c:v>
                      </c:pt>
                      <c:pt idx="16">
                        <c:v>3.2528928266766205E-2</c:v>
                      </c:pt>
                      <c:pt idx="17">
                        <c:v>3.2528928266766205E-2</c:v>
                      </c:pt>
                      <c:pt idx="18">
                        <c:v>3.2528928266766205E-2</c:v>
                      </c:pt>
                      <c:pt idx="19">
                        <c:v>3.2528928266766205E-2</c:v>
                      </c:pt>
                      <c:pt idx="20">
                        <c:v>3.2528928266766205E-2</c:v>
                      </c:pt>
                      <c:pt idx="21">
                        <c:v>3.2528928266766205E-2</c:v>
                      </c:pt>
                      <c:pt idx="22">
                        <c:v>3.2528928266766205E-2</c:v>
                      </c:pt>
                      <c:pt idx="23">
                        <c:v>3.2528928266766205E-2</c:v>
                      </c:pt>
                      <c:pt idx="24">
                        <c:v>3.2528928266766205E-2</c:v>
                      </c:pt>
                      <c:pt idx="25">
                        <c:v>3.2528928266766205E-2</c:v>
                      </c:pt>
                      <c:pt idx="26">
                        <c:v>3.2528928266766205E-2</c:v>
                      </c:pt>
                      <c:pt idx="27">
                        <c:v>3.2528928266766205E-2</c:v>
                      </c:pt>
                      <c:pt idx="28">
                        <c:v>3.2528928266766205E-2</c:v>
                      </c:pt>
                      <c:pt idx="29">
                        <c:v>3.2528928266766205E-2</c:v>
                      </c:pt>
                      <c:pt idx="30">
                        <c:v>3.2528928266766205E-2</c:v>
                      </c:pt>
                      <c:pt idx="31">
                        <c:v>3.2528928266766205E-2</c:v>
                      </c:pt>
                      <c:pt idx="32">
                        <c:v>3.2528928266766205E-2</c:v>
                      </c:pt>
                      <c:pt idx="33">
                        <c:v>3.2528928266766205E-2</c:v>
                      </c:pt>
                      <c:pt idx="34">
                        <c:v>3.2528928266766205E-2</c:v>
                      </c:pt>
                      <c:pt idx="35">
                        <c:v>3.2528928266766205E-2</c:v>
                      </c:pt>
                      <c:pt idx="36">
                        <c:v>3.2528928266766205E-2</c:v>
                      </c:pt>
                      <c:pt idx="37">
                        <c:v>3.2528928266766205E-2</c:v>
                      </c:pt>
                      <c:pt idx="38">
                        <c:v>3.2528928266766205E-2</c:v>
                      </c:pt>
                      <c:pt idx="39">
                        <c:v>3.2528928266766205E-2</c:v>
                      </c:pt>
                      <c:pt idx="40">
                        <c:v>3.2528928266766205E-2</c:v>
                      </c:pt>
                      <c:pt idx="41">
                        <c:v>3.2528928266766205E-2</c:v>
                      </c:pt>
                      <c:pt idx="42">
                        <c:v>3.2528928266766205E-2</c:v>
                      </c:pt>
                      <c:pt idx="43">
                        <c:v>3.2528928266766205E-2</c:v>
                      </c:pt>
                      <c:pt idx="44">
                        <c:v>3.2528928266766205E-2</c:v>
                      </c:pt>
                      <c:pt idx="45">
                        <c:v>3.2528928266766205E-2</c:v>
                      </c:pt>
                      <c:pt idx="46">
                        <c:v>3.2528928266766205E-2</c:v>
                      </c:pt>
                      <c:pt idx="47">
                        <c:v>3.2528928266766205E-2</c:v>
                      </c:pt>
                      <c:pt idx="48">
                        <c:v>3.2528928266766205E-2</c:v>
                      </c:pt>
                      <c:pt idx="49">
                        <c:v>3.2528928266766205E-2</c:v>
                      </c:pt>
                      <c:pt idx="50">
                        <c:v>3.2528928266766205E-2</c:v>
                      </c:pt>
                      <c:pt idx="51">
                        <c:v>3.2528928266766205E-2</c:v>
                      </c:pt>
                      <c:pt idx="52">
                        <c:v>3.2528928266766205E-2</c:v>
                      </c:pt>
                      <c:pt idx="53">
                        <c:v>3.2528928266766205E-2</c:v>
                      </c:pt>
                      <c:pt idx="54">
                        <c:v>3.2528928266766205E-2</c:v>
                      </c:pt>
                      <c:pt idx="55">
                        <c:v>3.2528928266766205E-2</c:v>
                      </c:pt>
                      <c:pt idx="56">
                        <c:v>3.2528928266766205E-2</c:v>
                      </c:pt>
                      <c:pt idx="57">
                        <c:v>3.2528928266766205E-2</c:v>
                      </c:pt>
                      <c:pt idx="58">
                        <c:v>3.1565074996312899E-2</c:v>
                      </c:pt>
                      <c:pt idx="59">
                        <c:v>3.1565074996312899E-2</c:v>
                      </c:pt>
                      <c:pt idx="60">
                        <c:v>3.1565074996312899E-2</c:v>
                      </c:pt>
                      <c:pt idx="61">
                        <c:v>3.1565074996312899E-2</c:v>
                      </c:pt>
                      <c:pt idx="62">
                        <c:v>3.1565074996312899E-2</c:v>
                      </c:pt>
                      <c:pt idx="63">
                        <c:v>3.1565074996312899E-2</c:v>
                      </c:pt>
                      <c:pt idx="64">
                        <c:v>3.1565074996312899E-2</c:v>
                      </c:pt>
                      <c:pt idx="65">
                        <c:v>3.1565074996312899E-2</c:v>
                      </c:pt>
                      <c:pt idx="66">
                        <c:v>3.1565074996312899E-2</c:v>
                      </c:pt>
                      <c:pt idx="67">
                        <c:v>3.1565074996312899E-2</c:v>
                      </c:pt>
                      <c:pt idx="68">
                        <c:v>3.1565074996312899E-2</c:v>
                      </c:pt>
                      <c:pt idx="69">
                        <c:v>3.1565074996312899E-2</c:v>
                      </c:pt>
                      <c:pt idx="70">
                        <c:v>3.1565074996312899E-2</c:v>
                      </c:pt>
                      <c:pt idx="71">
                        <c:v>3.1565074996312899E-2</c:v>
                      </c:pt>
                      <c:pt idx="72">
                        <c:v>3.1565074996312899E-2</c:v>
                      </c:pt>
                      <c:pt idx="73">
                        <c:v>3.1565074996312899E-2</c:v>
                      </c:pt>
                      <c:pt idx="74">
                        <c:v>3.1565074996312899E-2</c:v>
                      </c:pt>
                      <c:pt idx="75">
                        <c:v>3.1565074996312899E-2</c:v>
                      </c:pt>
                      <c:pt idx="76">
                        <c:v>3.1565074996312899E-2</c:v>
                      </c:pt>
                      <c:pt idx="77">
                        <c:v>3.1565074996312899E-2</c:v>
                      </c:pt>
                      <c:pt idx="78">
                        <c:v>3.1565074996312899E-2</c:v>
                      </c:pt>
                      <c:pt idx="79">
                        <c:v>3.1565074996312899E-2</c:v>
                      </c:pt>
                      <c:pt idx="80">
                        <c:v>3.1565074996312899E-2</c:v>
                      </c:pt>
                      <c:pt idx="81">
                        <c:v>3.1565074996312899E-2</c:v>
                      </c:pt>
                      <c:pt idx="82">
                        <c:v>3.1565074996312899E-2</c:v>
                      </c:pt>
                      <c:pt idx="83">
                        <c:v>3.1565074996312899E-2</c:v>
                      </c:pt>
                      <c:pt idx="84">
                        <c:v>3.1565074996312899E-2</c:v>
                      </c:pt>
                      <c:pt idx="85">
                        <c:v>3.1565074996312899E-2</c:v>
                      </c:pt>
                      <c:pt idx="86">
                        <c:v>3.1565074996312899E-2</c:v>
                      </c:pt>
                      <c:pt idx="87">
                        <c:v>3.1565074996312899E-2</c:v>
                      </c:pt>
                      <c:pt idx="88">
                        <c:v>3.1565074996312899E-2</c:v>
                      </c:pt>
                      <c:pt idx="89">
                        <c:v>3.1565074996312899E-2</c:v>
                      </c:pt>
                      <c:pt idx="90">
                        <c:v>3.1565074996312899E-2</c:v>
                      </c:pt>
                      <c:pt idx="91">
                        <c:v>3.1565074996312899E-2</c:v>
                      </c:pt>
                      <c:pt idx="92">
                        <c:v>3.1565074996312899E-2</c:v>
                      </c:pt>
                      <c:pt idx="93">
                        <c:v>3.1565074996312899E-2</c:v>
                      </c:pt>
                      <c:pt idx="94">
                        <c:v>3.1565074996312899E-2</c:v>
                      </c:pt>
                      <c:pt idx="95">
                        <c:v>3.1565074996312899E-2</c:v>
                      </c:pt>
                      <c:pt idx="96">
                        <c:v>3.1565074996312899E-2</c:v>
                      </c:pt>
                      <c:pt idx="97">
                        <c:v>3.1565074996312899E-2</c:v>
                      </c:pt>
                      <c:pt idx="98">
                        <c:v>3.1565074996312899E-2</c:v>
                      </c:pt>
                      <c:pt idx="99">
                        <c:v>3.1565074996312899E-2</c:v>
                      </c:pt>
                      <c:pt idx="100">
                        <c:v>3.1565074996312899E-2</c:v>
                      </c:pt>
                      <c:pt idx="101">
                        <c:v>3.1565074996312899E-2</c:v>
                      </c:pt>
                      <c:pt idx="102">
                        <c:v>3.1565074996312899E-2</c:v>
                      </c:pt>
                      <c:pt idx="103">
                        <c:v>3.1565074996312899E-2</c:v>
                      </c:pt>
                      <c:pt idx="104">
                        <c:v>3.1565074996312899E-2</c:v>
                      </c:pt>
                      <c:pt idx="105">
                        <c:v>3.1565074996312899E-2</c:v>
                      </c:pt>
                      <c:pt idx="106">
                        <c:v>3.1565074996312899E-2</c:v>
                      </c:pt>
                      <c:pt idx="107">
                        <c:v>3.1565074996312899E-2</c:v>
                      </c:pt>
                      <c:pt idx="108">
                        <c:v>3.1565074996312899E-2</c:v>
                      </c:pt>
                      <c:pt idx="109">
                        <c:v>3.1565074996312899E-2</c:v>
                      </c:pt>
                      <c:pt idx="110">
                        <c:v>3.1565074996312899E-2</c:v>
                      </c:pt>
                      <c:pt idx="111">
                        <c:v>3.1565074996312899E-2</c:v>
                      </c:pt>
                      <c:pt idx="112">
                        <c:v>3.1565074996312899E-2</c:v>
                      </c:pt>
                      <c:pt idx="113">
                        <c:v>3.1565074996312899E-2</c:v>
                      </c:pt>
                      <c:pt idx="114">
                        <c:v>3.1565074996312899E-2</c:v>
                      </c:pt>
                      <c:pt idx="115">
                        <c:v>3.1565074996312899E-2</c:v>
                      </c:pt>
                      <c:pt idx="116">
                        <c:v>1.8347155481044399E-2</c:v>
                      </c:pt>
                      <c:pt idx="117">
                        <c:v>1.8347155481044399E-2</c:v>
                      </c:pt>
                      <c:pt idx="118">
                        <c:v>1.8347155481044399E-2</c:v>
                      </c:pt>
                      <c:pt idx="119">
                        <c:v>1.8347155481044399E-2</c:v>
                      </c:pt>
                      <c:pt idx="120">
                        <c:v>1.8347155481044399E-2</c:v>
                      </c:pt>
                      <c:pt idx="121">
                        <c:v>1.8347155481044399E-2</c:v>
                      </c:pt>
                      <c:pt idx="122">
                        <c:v>1.8347155481044399E-2</c:v>
                      </c:pt>
                      <c:pt idx="123">
                        <c:v>1.8347155481044399E-2</c:v>
                      </c:pt>
                      <c:pt idx="124">
                        <c:v>1.8347155481044399E-2</c:v>
                      </c:pt>
                      <c:pt idx="125">
                        <c:v>1.8347155481044399E-2</c:v>
                      </c:pt>
                      <c:pt idx="126">
                        <c:v>1.8347155481044399E-2</c:v>
                      </c:pt>
                      <c:pt idx="127">
                        <c:v>1.8347155481044399E-2</c:v>
                      </c:pt>
                      <c:pt idx="128">
                        <c:v>1.8347155481044399E-2</c:v>
                      </c:pt>
                      <c:pt idx="129">
                        <c:v>1.8347155481044399E-2</c:v>
                      </c:pt>
                      <c:pt idx="130">
                        <c:v>1.8347155481044399E-2</c:v>
                      </c:pt>
                      <c:pt idx="131">
                        <c:v>1.8347155481044399E-2</c:v>
                      </c:pt>
                      <c:pt idx="132">
                        <c:v>1.8347155481044399E-2</c:v>
                      </c:pt>
                      <c:pt idx="133">
                        <c:v>1.8347155481044399E-2</c:v>
                      </c:pt>
                      <c:pt idx="134">
                        <c:v>1.8347155481044399E-2</c:v>
                      </c:pt>
                      <c:pt idx="135">
                        <c:v>1.8347155481044399E-2</c:v>
                      </c:pt>
                      <c:pt idx="136">
                        <c:v>1.8347155481044399E-2</c:v>
                      </c:pt>
                      <c:pt idx="137">
                        <c:v>1.8347155481044399E-2</c:v>
                      </c:pt>
                      <c:pt idx="138">
                        <c:v>1.8347155481044399E-2</c:v>
                      </c:pt>
                      <c:pt idx="139">
                        <c:v>1.8347155481044399E-2</c:v>
                      </c:pt>
                      <c:pt idx="140">
                        <c:v>1.8347155481044399E-2</c:v>
                      </c:pt>
                      <c:pt idx="141">
                        <c:v>1.8347155481044399E-2</c:v>
                      </c:pt>
                      <c:pt idx="142">
                        <c:v>1.8347155481044399E-2</c:v>
                      </c:pt>
                      <c:pt idx="143">
                        <c:v>1.8347155481044399E-2</c:v>
                      </c:pt>
                      <c:pt idx="144">
                        <c:v>1.8347155481044399E-2</c:v>
                      </c:pt>
                      <c:pt idx="145">
                        <c:v>1.8347155481044399E-2</c:v>
                      </c:pt>
                      <c:pt idx="146">
                        <c:v>1.8347155481044399E-2</c:v>
                      </c:pt>
                      <c:pt idx="147">
                        <c:v>1.8347155481044399E-2</c:v>
                      </c:pt>
                      <c:pt idx="148">
                        <c:v>1.8347155481044399E-2</c:v>
                      </c:pt>
                      <c:pt idx="149">
                        <c:v>1.8347155481044399E-2</c:v>
                      </c:pt>
                      <c:pt idx="150">
                        <c:v>1.8347155481044399E-2</c:v>
                      </c:pt>
                      <c:pt idx="151">
                        <c:v>1.8347155481044399E-2</c:v>
                      </c:pt>
                      <c:pt idx="152">
                        <c:v>1.8347155481044399E-2</c:v>
                      </c:pt>
                      <c:pt idx="153">
                        <c:v>1.8347155481044399E-2</c:v>
                      </c:pt>
                      <c:pt idx="154">
                        <c:v>1.8347155481044399E-2</c:v>
                      </c:pt>
                      <c:pt idx="155">
                        <c:v>1.8347155481044399E-2</c:v>
                      </c:pt>
                      <c:pt idx="156">
                        <c:v>1.8347155481044399E-2</c:v>
                      </c:pt>
                      <c:pt idx="157">
                        <c:v>1.8347155481044399E-2</c:v>
                      </c:pt>
                      <c:pt idx="158">
                        <c:v>1.8347155481044399E-2</c:v>
                      </c:pt>
                      <c:pt idx="159">
                        <c:v>1.8347155481044399E-2</c:v>
                      </c:pt>
                      <c:pt idx="160">
                        <c:v>1.8347155481044399E-2</c:v>
                      </c:pt>
                      <c:pt idx="161">
                        <c:v>1.8347155481044399E-2</c:v>
                      </c:pt>
                      <c:pt idx="162">
                        <c:v>1.8347155481044399E-2</c:v>
                      </c:pt>
                      <c:pt idx="163">
                        <c:v>1.8347155481044399E-2</c:v>
                      </c:pt>
                      <c:pt idx="164">
                        <c:v>1.8347155481044399E-2</c:v>
                      </c:pt>
                      <c:pt idx="165">
                        <c:v>1.8347155481044399E-2</c:v>
                      </c:pt>
                      <c:pt idx="166">
                        <c:v>1.8347155481044399E-2</c:v>
                      </c:pt>
                      <c:pt idx="167">
                        <c:v>1.8347155481044399E-2</c:v>
                      </c:pt>
                      <c:pt idx="168">
                        <c:v>1.8347155481044399E-2</c:v>
                      </c:pt>
                      <c:pt idx="169">
                        <c:v>1.8347155481044399E-2</c:v>
                      </c:pt>
                      <c:pt idx="170">
                        <c:v>1.8347155481044399E-2</c:v>
                      </c:pt>
                      <c:pt idx="171">
                        <c:v>1.8347155481044399E-2</c:v>
                      </c:pt>
                      <c:pt idx="172">
                        <c:v>1.8347155481044399E-2</c:v>
                      </c:pt>
                      <c:pt idx="173">
                        <c:v>1.8347155481044399E-2</c:v>
                      </c:pt>
                      <c:pt idx="174">
                        <c:v>3.2209343665251404E-2</c:v>
                      </c:pt>
                      <c:pt idx="175">
                        <c:v>3.2209343665251404E-2</c:v>
                      </c:pt>
                      <c:pt idx="176">
                        <c:v>3.2209343665251404E-2</c:v>
                      </c:pt>
                      <c:pt idx="177">
                        <c:v>3.2209343665251404E-2</c:v>
                      </c:pt>
                      <c:pt idx="178">
                        <c:v>3.2209343665251404E-2</c:v>
                      </c:pt>
                      <c:pt idx="179">
                        <c:v>3.2209343665251404E-2</c:v>
                      </c:pt>
                      <c:pt idx="180">
                        <c:v>3.2209343665251404E-2</c:v>
                      </c:pt>
                      <c:pt idx="181">
                        <c:v>3.2209343665251404E-2</c:v>
                      </c:pt>
                      <c:pt idx="182">
                        <c:v>3.2209343665251404E-2</c:v>
                      </c:pt>
                      <c:pt idx="183">
                        <c:v>3.2209343665251404E-2</c:v>
                      </c:pt>
                      <c:pt idx="184">
                        <c:v>3.2209343665251404E-2</c:v>
                      </c:pt>
                      <c:pt idx="185">
                        <c:v>3.2209343665251404E-2</c:v>
                      </c:pt>
                      <c:pt idx="186">
                        <c:v>3.2209343665251404E-2</c:v>
                      </c:pt>
                      <c:pt idx="187">
                        <c:v>3.2209343665251404E-2</c:v>
                      </c:pt>
                      <c:pt idx="188">
                        <c:v>3.2209343665251404E-2</c:v>
                      </c:pt>
                      <c:pt idx="189">
                        <c:v>3.2209343665251404E-2</c:v>
                      </c:pt>
                      <c:pt idx="190">
                        <c:v>3.2209343665251404E-2</c:v>
                      </c:pt>
                      <c:pt idx="191">
                        <c:v>3.2209343665251404E-2</c:v>
                      </c:pt>
                      <c:pt idx="192">
                        <c:v>3.2209343665251404E-2</c:v>
                      </c:pt>
                      <c:pt idx="193">
                        <c:v>3.2209343665251404E-2</c:v>
                      </c:pt>
                      <c:pt idx="194">
                        <c:v>3.2209343665251404E-2</c:v>
                      </c:pt>
                      <c:pt idx="195">
                        <c:v>3.2209343665251404E-2</c:v>
                      </c:pt>
                      <c:pt idx="196">
                        <c:v>3.2209343665251404E-2</c:v>
                      </c:pt>
                      <c:pt idx="197">
                        <c:v>3.2209343665251404E-2</c:v>
                      </c:pt>
                      <c:pt idx="198">
                        <c:v>3.2209343665251404E-2</c:v>
                      </c:pt>
                      <c:pt idx="199">
                        <c:v>3.2209343665251404E-2</c:v>
                      </c:pt>
                      <c:pt idx="200">
                        <c:v>3.2209343665251404E-2</c:v>
                      </c:pt>
                      <c:pt idx="201">
                        <c:v>3.2209343665251404E-2</c:v>
                      </c:pt>
                      <c:pt idx="202">
                        <c:v>3.2209343665251404E-2</c:v>
                      </c:pt>
                      <c:pt idx="203">
                        <c:v>3.2209343665251404E-2</c:v>
                      </c:pt>
                      <c:pt idx="204">
                        <c:v>3.2209343665251404E-2</c:v>
                      </c:pt>
                      <c:pt idx="205">
                        <c:v>3.2209343665251404E-2</c:v>
                      </c:pt>
                      <c:pt idx="206">
                        <c:v>3.2209343665251404E-2</c:v>
                      </c:pt>
                      <c:pt idx="207">
                        <c:v>3.2209343665251404E-2</c:v>
                      </c:pt>
                      <c:pt idx="208">
                        <c:v>3.2209343665251404E-2</c:v>
                      </c:pt>
                      <c:pt idx="209">
                        <c:v>3.2209343665251404E-2</c:v>
                      </c:pt>
                      <c:pt idx="210">
                        <c:v>3.2209343665251404E-2</c:v>
                      </c:pt>
                      <c:pt idx="211">
                        <c:v>3.2209343665251404E-2</c:v>
                      </c:pt>
                      <c:pt idx="212">
                        <c:v>3.2209343665251404E-2</c:v>
                      </c:pt>
                      <c:pt idx="213">
                        <c:v>3.2209343665251404E-2</c:v>
                      </c:pt>
                      <c:pt idx="214">
                        <c:v>3.2209343665251404E-2</c:v>
                      </c:pt>
                      <c:pt idx="215">
                        <c:v>3.2209343665251404E-2</c:v>
                      </c:pt>
                      <c:pt idx="216">
                        <c:v>3.2209343665251404E-2</c:v>
                      </c:pt>
                      <c:pt idx="217">
                        <c:v>3.2209343665251404E-2</c:v>
                      </c:pt>
                      <c:pt idx="218">
                        <c:v>3.2209343665251404E-2</c:v>
                      </c:pt>
                      <c:pt idx="219">
                        <c:v>3.2209343665251404E-2</c:v>
                      </c:pt>
                      <c:pt idx="220">
                        <c:v>3.2209343665251404E-2</c:v>
                      </c:pt>
                      <c:pt idx="221">
                        <c:v>3.2209343665251404E-2</c:v>
                      </c:pt>
                      <c:pt idx="222">
                        <c:v>3.2209343665251404E-2</c:v>
                      </c:pt>
                      <c:pt idx="223">
                        <c:v>3.2209343665251404E-2</c:v>
                      </c:pt>
                      <c:pt idx="224">
                        <c:v>3.2209343665251404E-2</c:v>
                      </c:pt>
                      <c:pt idx="225">
                        <c:v>3.2209343665251404E-2</c:v>
                      </c:pt>
                      <c:pt idx="226">
                        <c:v>3.2209343665251404E-2</c:v>
                      </c:pt>
                      <c:pt idx="227">
                        <c:v>3.2209343665251404E-2</c:v>
                      </c:pt>
                      <c:pt idx="228">
                        <c:v>3.2209343665251404E-2</c:v>
                      </c:pt>
                      <c:pt idx="229">
                        <c:v>3.2209343665251404E-2</c:v>
                      </c:pt>
                      <c:pt idx="230">
                        <c:v>3.2209343665251404E-2</c:v>
                      </c:pt>
                      <c:pt idx="231">
                        <c:v>3.2209343665251404E-2</c:v>
                      </c:pt>
                      <c:pt idx="232">
                        <c:v>2.7958236745225001E-2</c:v>
                      </c:pt>
                      <c:pt idx="233">
                        <c:v>2.7958236745225001E-2</c:v>
                      </c:pt>
                      <c:pt idx="234">
                        <c:v>2.7958236745225001E-2</c:v>
                      </c:pt>
                      <c:pt idx="235">
                        <c:v>2.7958236745225001E-2</c:v>
                      </c:pt>
                      <c:pt idx="236">
                        <c:v>2.7958236745225001E-2</c:v>
                      </c:pt>
                      <c:pt idx="237">
                        <c:v>2.7958236745225001E-2</c:v>
                      </c:pt>
                      <c:pt idx="238">
                        <c:v>2.7958236745225001E-2</c:v>
                      </c:pt>
                      <c:pt idx="239">
                        <c:v>2.7958236745225001E-2</c:v>
                      </c:pt>
                      <c:pt idx="240">
                        <c:v>2.7958236745225001E-2</c:v>
                      </c:pt>
                      <c:pt idx="241">
                        <c:v>2.7958236745225001E-2</c:v>
                      </c:pt>
                      <c:pt idx="242">
                        <c:v>2.7958236745225001E-2</c:v>
                      </c:pt>
                      <c:pt idx="243">
                        <c:v>2.7958236745225001E-2</c:v>
                      </c:pt>
                      <c:pt idx="244">
                        <c:v>2.7958236745225001E-2</c:v>
                      </c:pt>
                      <c:pt idx="245">
                        <c:v>2.7958236745225001E-2</c:v>
                      </c:pt>
                      <c:pt idx="246">
                        <c:v>2.7958236745225001E-2</c:v>
                      </c:pt>
                      <c:pt idx="247">
                        <c:v>2.7958236745225001E-2</c:v>
                      </c:pt>
                      <c:pt idx="248">
                        <c:v>2.7958236745225001E-2</c:v>
                      </c:pt>
                      <c:pt idx="249">
                        <c:v>2.7958236745225001E-2</c:v>
                      </c:pt>
                      <c:pt idx="250">
                        <c:v>2.7958236745225001E-2</c:v>
                      </c:pt>
                      <c:pt idx="251">
                        <c:v>2.7958236745225001E-2</c:v>
                      </c:pt>
                      <c:pt idx="252">
                        <c:v>2.7958236745225001E-2</c:v>
                      </c:pt>
                      <c:pt idx="253">
                        <c:v>2.7958236745225001E-2</c:v>
                      </c:pt>
                      <c:pt idx="254">
                        <c:v>2.7958236745225001E-2</c:v>
                      </c:pt>
                      <c:pt idx="255">
                        <c:v>2.7958236745225001E-2</c:v>
                      </c:pt>
                      <c:pt idx="256">
                        <c:v>2.7958236745225001E-2</c:v>
                      </c:pt>
                      <c:pt idx="257">
                        <c:v>2.7958236745225001E-2</c:v>
                      </c:pt>
                      <c:pt idx="258">
                        <c:v>2.7958236745225001E-2</c:v>
                      </c:pt>
                      <c:pt idx="259">
                        <c:v>2.7958236745225001E-2</c:v>
                      </c:pt>
                      <c:pt idx="260">
                        <c:v>2.7958236745225001E-2</c:v>
                      </c:pt>
                      <c:pt idx="261">
                        <c:v>2.7958236745225001E-2</c:v>
                      </c:pt>
                      <c:pt idx="262">
                        <c:v>2.7958236745225001E-2</c:v>
                      </c:pt>
                      <c:pt idx="263">
                        <c:v>2.7958236745225001E-2</c:v>
                      </c:pt>
                      <c:pt idx="264">
                        <c:v>2.7958236745225001E-2</c:v>
                      </c:pt>
                      <c:pt idx="265">
                        <c:v>2.7958236745225001E-2</c:v>
                      </c:pt>
                      <c:pt idx="266">
                        <c:v>2.7958236745225001E-2</c:v>
                      </c:pt>
                      <c:pt idx="267">
                        <c:v>2.7958236745225001E-2</c:v>
                      </c:pt>
                      <c:pt idx="268">
                        <c:v>2.7958236745225001E-2</c:v>
                      </c:pt>
                      <c:pt idx="269">
                        <c:v>2.7958236745225001E-2</c:v>
                      </c:pt>
                      <c:pt idx="270">
                        <c:v>2.7958236745225001E-2</c:v>
                      </c:pt>
                      <c:pt idx="271">
                        <c:v>2.7958236745225001E-2</c:v>
                      </c:pt>
                      <c:pt idx="272">
                        <c:v>2.7958236745225001E-2</c:v>
                      </c:pt>
                      <c:pt idx="273">
                        <c:v>2.7958236745225001E-2</c:v>
                      </c:pt>
                      <c:pt idx="274">
                        <c:v>2.7958236745225001E-2</c:v>
                      </c:pt>
                      <c:pt idx="275">
                        <c:v>2.7958236745225001E-2</c:v>
                      </c:pt>
                      <c:pt idx="276">
                        <c:v>2.7958236745225001E-2</c:v>
                      </c:pt>
                      <c:pt idx="277">
                        <c:v>2.7958236745225001E-2</c:v>
                      </c:pt>
                      <c:pt idx="278">
                        <c:v>2.7958236745225001E-2</c:v>
                      </c:pt>
                      <c:pt idx="279">
                        <c:v>2.7958236745225001E-2</c:v>
                      </c:pt>
                      <c:pt idx="280">
                        <c:v>2.7958236745225001E-2</c:v>
                      </c:pt>
                      <c:pt idx="281">
                        <c:v>2.7958236745225001E-2</c:v>
                      </c:pt>
                      <c:pt idx="282">
                        <c:v>2.7958236745225001E-2</c:v>
                      </c:pt>
                      <c:pt idx="283">
                        <c:v>2.7958236745225001E-2</c:v>
                      </c:pt>
                      <c:pt idx="284">
                        <c:v>2.7958236745225001E-2</c:v>
                      </c:pt>
                      <c:pt idx="285">
                        <c:v>2.7958236745225001E-2</c:v>
                      </c:pt>
                      <c:pt idx="286">
                        <c:v>2.7958236745225001E-2</c:v>
                      </c:pt>
                      <c:pt idx="287">
                        <c:v>2.7958236745225001E-2</c:v>
                      </c:pt>
                      <c:pt idx="288">
                        <c:v>2.7958236745225001E-2</c:v>
                      </c:pt>
                      <c:pt idx="289">
                        <c:v>2.7958236745225001E-2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5C6-4E19-973B-91C5491E87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(2)'!$L$1</c15:sqref>
                        </c15:formulaRef>
                      </c:ext>
                    </c:extLst>
                    <c:strCache>
                      <c:ptCount val="1"/>
                      <c:pt idx="0">
                        <c:v>Tăng trưởng 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(2)'!$L$2:$L$311</c15:sqref>
                        </c15:formulaRef>
                      </c:ext>
                    </c:extLst>
                    <c:numCache>
                      <c:formatCode>0.00%</c:formatCode>
                      <c:ptCount val="290"/>
                      <c:pt idx="0">
                        <c:v>5.0464307361874884E-2</c:v>
                      </c:pt>
                      <c:pt idx="1">
                        <c:v>5.0464307361874884E-2</c:v>
                      </c:pt>
                      <c:pt idx="2">
                        <c:v>5.0464307361874884E-2</c:v>
                      </c:pt>
                      <c:pt idx="3">
                        <c:v>5.0464307361874884E-2</c:v>
                      </c:pt>
                      <c:pt idx="4">
                        <c:v>5.0464307361874884E-2</c:v>
                      </c:pt>
                      <c:pt idx="5">
                        <c:v>5.0464307361874884E-2</c:v>
                      </c:pt>
                      <c:pt idx="6">
                        <c:v>5.0464307361874884E-2</c:v>
                      </c:pt>
                      <c:pt idx="7">
                        <c:v>5.0464307361874884E-2</c:v>
                      </c:pt>
                      <c:pt idx="8">
                        <c:v>5.0464307361874884E-2</c:v>
                      </c:pt>
                      <c:pt idx="9">
                        <c:v>5.0464307361874884E-2</c:v>
                      </c:pt>
                      <c:pt idx="10">
                        <c:v>5.0464307361874884E-2</c:v>
                      </c:pt>
                      <c:pt idx="11">
                        <c:v>5.0464307361874884E-2</c:v>
                      </c:pt>
                      <c:pt idx="12">
                        <c:v>5.0464307361874884E-2</c:v>
                      </c:pt>
                      <c:pt idx="13">
                        <c:v>5.0464307361874884E-2</c:v>
                      </c:pt>
                      <c:pt idx="14">
                        <c:v>5.0464307361874884E-2</c:v>
                      </c:pt>
                      <c:pt idx="15">
                        <c:v>5.0464307361874884E-2</c:v>
                      </c:pt>
                      <c:pt idx="16">
                        <c:v>5.0464307361874884E-2</c:v>
                      </c:pt>
                      <c:pt idx="17">
                        <c:v>5.0464307361874884E-2</c:v>
                      </c:pt>
                      <c:pt idx="18">
                        <c:v>5.0464307361874884E-2</c:v>
                      </c:pt>
                      <c:pt idx="19">
                        <c:v>5.0464307361874884E-2</c:v>
                      </c:pt>
                      <c:pt idx="20">
                        <c:v>5.0464307361874884E-2</c:v>
                      </c:pt>
                      <c:pt idx="21">
                        <c:v>5.0464307361874884E-2</c:v>
                      </c:pt>
                      <c:pt idx="22">
                        <c:v>5.0464307361874884E-2</c:v>
                      </c:pt>
                      <c:pt idx="23">
                        <c:v>5.0464307361874884E-2</c:v>
                      </c:pt>
                      <c:pt idx="24">
                        <c:v>5.0464307361874884E-2</c:v>
                      </c:pt>
                      <c:pt idx="25">
                        <c:v>5.0464307361874884E-2</c:v>
                      </c:pt>
                      <c:pt idx="26">
                        <c:v>5.0464307361874884E-2</c:v>
                      </c:pt>
                      <c:pt idx="27">
                        <c:v>5.0464307361874884E-2</c:v>
                      </c:pt>
                      <c:pt idx="28">
                        <c:v>5.0464307361874884E-2</c:v>
                      </c:pt>
                      <c:pt idx="29">
                        <c:v>5.0464307361874884E-2</c:v>
                      </c:pt>
                      <c:pt idx="30">
                        <c:v>5.0464307361874884E-2</c:v>
                      </c:pt>
                      <c:pt idx="31">
                        <c:v>5.0464307361874884E-2</c:v>
                      </c:pt>
                      <c:pt idx="32">
                        <c:v>5.0464307361874884E-2</c:v>
                      </c:pt>
                      <c:pt idx="33">
                        <c:v>5.0464307361874884E-2</c:v>
                      </c:pt>
                      <c:pt idx="34">
                        <c:v>5.0464307361874884E-2</c:v>
                      </c:pt>
                      <c:pt idx="35">
                        <c:v>5.0464307361874884E-2</c:v>
                      </c:pt>
                      <c:pt idx="36">
                        <c:v>5.0464307361874884E-2</c:v>
                      </c:pt>
                      <c:pt idx="37">
                        <c:v>5.0464307361874884E-2</c:v>
                      </c:pt>
                      <c:pt idx="38">
                        <c:v>5.0464307361874884E-2</c:v>
                      </c:pt>
                      <c:pt idx="39">
                        <c:v>5.0464307361874884E-2</c:v>
                      </c:pt>
                      <c:pt idx="40">
                        <c:v>5.0464307361874884E-2</c:v>
                      </c:pt>
                      <c:pt idx="41">
                        <c:v>5.0464307361874884E-2</c:v>
                      </c:pt>
                      <c:pt idx="42">
                        <c:v>5.0464307361874884E-2</c:v>
                      </c:pt>
                      <c:pt idx="43">
                        <c:v>5.0464307361874884E-2</c:v>
                      </c:pt>
                      <c:pt idx="44">
                        <c:v>5.0464307361874884E-2</c:v>
                      </c:pt>
                      <c:pt idx="45">
                        <c:v>5.0464307361874884E-2</c:v>
                      </c:pt>
                      <c:pt idx="46">
                        <c:v>5.0464307361874884E-2</c:v>
                      </c:pt>
                      <c:pt idx="47">
                        <c:v>5.0464307361874884E-2</c:v>
                      </c:pt>
                      <c:pt idx="48">
                        <c:v>5.0464307361874884E-2</c:v>
                      </c:pt>
                      <c:pt idx="49">
                        <c:v>5.0464307361874884E-2</c:v>
                      </c:pt>
                      <c:pt idx="50">
                        <c:v>5.0464307361874884E-2</c:v>
                      </c:pt>
                      <c:pt idx="51">
                        <c:v>5.0464307361874884E-2</c:v>
                      </c:pt>
                      <c:pt idx="52">
                        <c:v>5.0464307361874884E-2</c:v>
                      </c:pt>
                      <c:pt idx="53">
                        <c:v>5.0464307361874884E-2</c:v>
                      </c:pt>
                      <c:pt idx="54">
                        <c:v>5.0464307361874884E-2</c:v>
                      </c:pt>
                      <c:pt idx="55">
                        <c:v>5.0464307361874884E-2</c:v>
                      </c:pt>
                      <c:pt idx="56">
                        <c:v>5.0464307361874884E-2</c:v>
                      </c:pt>
                      <c:pt idx="57">
                        <c:v>5.0464307361874884E-2</c:v>
                      </c:pt>
                      <c:pt idx="58">
                        <c:v>8.1235144676734303E-2</c:v>
                      </c:pt>
                      <c:pt idx="59">
                        <c:v>8.1235144676734303E-2</c:v>
                      </c:pt>
                      <c:pt idx="60">
                        <c:v>8.1235144676734303E-2</c:v>
                      </c:pt>
                      <c:pt idx="61">
                        <c:v>8.1235144676734303E-2</c:v>
                      </c:pt>
                      <c:pt idx="62">
                        <c:v>8.1235144676734303E-2</c:v>
                      </c:pt>
                      <c:pt idx="63">
                        <c:v>8.1235144676734303E-2</c:v>
                      </c:pt>
                      <c:pt idx="64">
                        <c:v>8.1235144676734303E-2</c:v>
                      </c:pt>
                      <c:pt idx="65">
                        <c:v>8.1235144676734303E-2</c:v>
                      </c:pt>
                      <c:pt idx="66">
                        <c:v>8.1235144676734303E-2</c:v>
                      </c:pt>
                      <c:pt idx="67">
                        <c:v>8.1235144676734303E-2</c:v>
                      </c:pt>
                      <c:pt idx="68">
                        <c:v>8.1235144676734303E-2</c:v>
                      </c:pt>
                      <c:pt idx="69">
                        <c:v>8.1235144676734303E-2</c:v>
                      </c:pt>
                      <c:pt idx="70">
                        <c:v>8.1235144676734303E-2</c:v>
                      </c:pt>
                      <c:pt idx="71">
                        <c:v>8.1235144676734303E-2</c:v>
                      </c:pt>
                      <c:pt idx="72">
                        <c:v>8.1235144676734303E-2</c:v>
                      </c:pt>
                      <c:pt idx="73">
                        <c:v>8.1235144676734303E-2</c:v>
                      </c:pt>
                      <c:pt idx="74">
                        <c:v>8.1235144676734303E-2</c:v>
                      </c:pt>
                      <c:pt idx="75">
                        <c:v>8.1235144676734303E-2</c:v>
                      </c:pt>
                      <c:pt idx="76">
                        <c:v>8.1235144676734303E-2</c:v>
                      </c:pt>
                      <c:pt idx="77">
                        <c:v>8.1235144676734303E-2</c:v>
                      </c:pt>
                      <c:pt idx="78">
                        <c:v>8.1235144676734303E-2</c:v>
                      </c:pt>
                      <c:pt idx="79">
                        <c:v>8.1235144676734303E-2</c:v>
                      </c:pt>
                      <c:pt idx="80">
                        <c:v>8.1235144676734303E-2</c:v>
                      </c:pt>
                      <c:pt idx="81">
                        <c:v>8.1235144676734303E-2</c:v>
                      </c:pt>
                      <c:pt idx="82">
                        <c:v>8.1235144676734303E-2</c:v>
                      </c:pt>
                      <c:pt idx="83">
                        <c:v>8.1235144676734303E-2</c:v>
                      </c:pt>
                      <c:pt idx="84">
                        <c:v>8.1235144676734303E-2</c:v>
                      </c:pt>
                      <c:pt idx="85">
                        <c:v>8.1235144676734303E-2</c:v>
                      </c:pt>
                      <c:pt idx="86">
                        <c:v>8.1235144676734303E-2</c:v>
                      </c:pt>
                      <c:pt idx="87">
                        <c:v>8.1235144676734303E-2</c:v>
                      </c:pt>
                      <c:pt idx="88">
                        <c:v>8.1235144676734303E-2</c:v>
                      </c:pt>
                      <c:pt idx="89">
                        <c:v>8.1235144676734303E-2</c:v>
                      </c:pt>
                      <c:pt idx="90">
                        <c:v>8.1235144676734303E-2</c:v>
                      </c:pt>
                      <c:pt idx="91">
                        <c:v>8.1235144676734303E-2</c:v>
                      </c:pt>
                      <c:pt idx="92">
                        <c:v>8.1235144676734303E-2</c:v>
                      </c:pt>
                      <c:pt idx="93">
                        <c:v>8.1235144676734303E-2</c:v>
                      </c:pt>
                      <c:pt idx="94">
                        <c:v>8.1235144676734303E-2</c:v>
                      </c:pt>
                      <c:pt idx="95">
                        <c:v>8.1235144676734303E-2</c:v>
                      </c:pt>
                      <c:pt idx="96">
                        <c:v>8.1235144676734303E-2</c:v>
                      </c:pt>
                      <c:pt idx="97">
                        <c:v>8.1235144676734303E-2</c:v>
                      </c:pt>
                      <c:pt idx="98">
                        <c:v>8.1235144676734303E-2</c:v>
                      </c:pt>
                      <c:pt idx="99">
                        <c:v>8.1235144676734303E-2</c:v>
                      </c:pt>
                      <c:pt idx="100">
                        <c:v>8.1235144676734303E-2</c:v>
                      </c:pt>
                      <c:pt idx="101">
                        <c:v>8.1235144676734303E-2</c:v>
                      </c:pt>
                      <c:pt idx="102">
                        <c:v>8.1235144676734303E-2</c:v>
                      </c:pt>
                      <c:pt idx="103">
                        <c:v>8.1235144676734303E-2</c:v>
                      </c:pt>
                      <c:pt idx="104">
                        <c:v>8.1235144676734303E-2</c:v>
                      </c:pt>
                      <c:pt idx="105">
                        <c:v>8.1235144676734303E-2</c:v>
                      </c:pt>
                      <c:pt idx="106">
                        <c:v>8.1235144676734303E-2</c:v>
                      </c:pt>
                      <c:pt idx="107">
                        <c:v>8.1235144676734303E-2</c:v>
                      </c:pt>
                      <c:pt idx="108">
                        <c:v>8.1235144676734303E-2</c:v>
                      </c:pt>
                      <c:pt idx="109">
                        <c:v>8.1235144676734303E-2</c:v>
                      </c:pt>
                      <c:pt idx="110">
                        <c:v>8.1235144676734303E-2</c:v>
                      </c:pt>
                      <c:pt idx="111">
                        <c:v>8.1235144676734303E-2</c:v>
                      </c:pt>
                      <c:pt idx="112">
                        <c:v>8.1235144676734303E-2</c:v>
                      </c:pt>
                      <c:pt idx="113">
                        <c:v>8.1235144676734303E-2</c:v>
                      </c:pt>
                      <c:pt idx="114">
                        <c:v>8.1235144676734303E-2</c:v>
                      </c:pt>
                      <c:pt idx="115">
                        <c:v>8.1235144676734303E-2</c:v>
                      </c:pt>
                      <c:pt idx="116">
                        <c:v>2.5537285264813078E-2</c:v>
                      </c:pt>
                      <c:pt idx="117">
                        <c:v>2.5537285264813078E-2</c:v>
                      </c:pt>
                      <c:pt idx="118">
                        <c:v>2.5537285264813078E-2</c:v>
                      </c:pt>
                      <c:pt idx="119">
                        <c:v>2.5537285264813078E-2</c:v>
                      </c:pt>
                      <c:pt idx="120">
                        <c:v>2.5537285264813078E-2</c:v>
                      </c:pt>
                      <c:pt idx="121">
                        <c:v>2.5537285264813078E-2</c:v>
                      </c:pt>
                      <c:pt idx="122">
                        <c:v>2.5537285264813078E-2</c:v>
                      </c:pt>
                      <c:pt idx="123">
                        <c:v>2.5537285264813078E-2</c:v>
                      </c:pt>
                      <c:pt idx="124">
                        <c:v>2.5537285264813078E-2</c:v>
                      </c:pt>
                      <c:pt idx="125">
                        <c:v>2.5537285264813078E-2</c:v>
                      </c:pt>
                      <c:pt idx="126">
                        <c:v>2.5537285264813078E-2</c:v>
                      </c:pt>
                      <c:pt idx="127">
                        <c:v>2.5537285264813078E-2</c:v>
                      </c:pt>
                      <c:pt idx="128">
                        <c:v>2.5537285264813078E-2</c:v>
                      </c:pt>
                      <c:pt idx="129">
                        <c:v>2.5537285264813078E-2</c:v>
                      </c:pt>
                      <c:pt idx="130">
                        <c:v>2.5537285264813078E-2</c:v>
                      </c:pt>
                      <c:pt idx="131">
                        <c:v>2.5537285264813078E-2</c:v>
                      </c:pt>
                      <c:pt idx="132">
                        <c:v>2.5537285264813078E-2</c:v>
                      </c:pt>
                      <c:pt idx="133">
                        <c:v>2.5537285264813078E-2</c:v>
                      </c:pt>
                      <c:pt idx="134">
                        <c:v>2.5537285264813078E-2</c:v>
                      </c:pt>
                      <c:pt idx="135">
                        <c:v>2.5537285264813078E-2</c:v>
                      </c:pt>
                      <c:pt idx="136">
                        <c:v>2.5537285264813078E-2</c:v>
                      </c:pt>
                      <c:pt idx="137">
                        <c:v>2.5537285264813078E-2</c:v>
                      </c:pt>
                      <c:pt idx="138">
                        <c:v>2.5537285264813078E-2</c:v>
                      </c:pt>
                      <c:pt idx="139">
                        <c:v>2.5537285264813078E-2</c:v>
                      </c:pt>
                      <c:pt idx="140">
                        <c:v>2.5537285264813078E-2</c:v>
                      </c:pt>
                      <c:pt idx="141">
                        <c:v>2.5537285264813078E-2</c:v>
                      </c:pt>
                      <c:pt idx="142">
                        <c:v>2.5537285264813078E-2</c:v>
                      </c:pt>
                      <c:pt idx="143">
                        <c:v>2.5537285264813078E-2</c:v>
                      </c:pt>
                      <c:pt idx="144">
                        <c:v>2.5537285264813078E-2</c:v>
                      </c:pt>
                      <c:pt idx="145">
                        <c:v>2.5537285264813078E-2</c:v>
                      </c:pt>
                      <c:pt idx="146">
                        <c:v>2.5537285264813078E-2</c:v>
                      </c:pt>
                      <c:pt idx="147">
                        <c:v>2.5537285264813078E-2</c:v>
                      </c:pt>
                      <c:pt idx="148">
                        <c:v>2.5537285264813078E-2</c:v>
                      </c:pt>
                      <c:pt idx="149">
                        <c:v>2.5537285264813078E-2</c:v>
                      </c:pt>
                      <c:pt idx="150">
                        <c:v>2.5537285264813078E-2</c:v>
                      </c:pt>
                      <c:pt idx="151">
                        <c:v>2.5537285264813078E-2</c:v>
                      </c:pt>
                      <c:pt idx="152">
                        <c:v>2.5537285264813078E-2</c:v>
                      </c:pt>
                      <c:pt idx="153">
                        <c:v>2.5537285264813078E-2</c:v>
                      </c:pt>
                      <c:pt idx="154">
                        <c:v>2.5537285264813078E-2</c:v>
                      </c:pt>
                      <c:pt idx="155">
                        <c:v>2.5537285264813078E-2</c:v>
                      </c:pt>
                      <c:pt idx="156">
                        <c:v>2.5537285264813078E-2</c:v>
                      </c:pt>
                      <c:pt idx="157">
                        <c:v>2.5537285264813078E-2</c:v>
                      </c:pt>
                      <c:pt idx="158">
                        <c:v>2.5537285264813078E-2</c:v>
                      </c:pt>
                      <c:pt idx="159">
                        <c:v>2.5537285264813078E-2</c:v>
                      </c:pt>
                      <c:pt idx="160">
                        <c:v>2.5537285264813078E-2</c:v>
                      </c:pt>
                      <c:pt idx="161">
                        <c:v>2.5537285264813078E-2</c:v>
                      </c:pt>
                      <c:pt idx="162">
                        <c:v>2.5537285264813078E-2</c:v>
                      </c:pt>
                      <c:pt idx="163">
                        <c:v>2.5537285264813078E-2</c:v>
                      </c:pt>
                      <c:pt idx="164">
                        <c:v>2.5537285264813078E-2</c:v>
                      </c:pt>
                      <c:pt idx="165">
                        <c:v>2.5537285264813078E-2</c:v>
                      </c:pt>
                      <c:pt idx="166">
                        <c:v>2.5537285264813078E-2</c:v>
                      </c:pt>
                      <c:pt idx="167">
                        <c:v>2.5537285264813078E-2</c:v>
                      </c:pt>
                      <c:pt idx="168">
                        <c:v>2.5537285264813078E-2</c:v>
                      </c:pt>
                      <c:pt idx="169">
                        <c:v>2.5537285264813078E-2</c:v>
                      </c:pt>
                      <c:pt idx="170">
                        <c:v>2.5537285264813078E-2</c:v>
                      </c:pt>
                      <c:pt idx="171">
                        <c:v>2.5537285264813078E-2</c:v>
                      </c:pt>
                      <c:pt idx="172">
                        <c:v>2.5537285264813078E-2</c:v>
                      </c:pt>
                      <c:pt idx="173">
                        <c:v>2.5537285264813078E-2</c:v>
                      </c:pt>
                      <c:pt idx="174">
                        <c:v>2.8654132091227212E-2</c:v>
                      </c:pt>
                      <c:pt idx="175">
                        <c:v>2.8654132091227212E-2</c:v>
                      </c:pt>
                      <c:pt idx="176">
                        <c:v>2.8654132091227212E-2</c:v>
                      </c:pt>
                      <c:pt idx="177">
                        <c:v>2.8654132091227212E-2</c:v>
                      </c:pt>
                      <c:pt idx="178">
                        <c:v>2.8654132091227212E-2</c:v>
                      </c:pt>
                      <c:pt idx="179">
                        <c:v>2.8654132091227212E-2</c:v>
                      </c:pt>
                      <c:pt idx="180">
                        <c:v>2.8654132091227212E-2</c:v>
                      </c:pt>
                      <c:pt idx="181">
                        <c:v>2.8654132091227212E-2</c:v>
                      </c:pt>
                      <c:pt idx="182">
                        <c:v>2.8654132091227212E-2</c:v>
                      </c:pt>
                      <c:pt idx="183">
                        <c:v>2.8654132091227212E-2</c:v>
                      </c:pt>
                      <c:pt idx="184">
                        <c:v>2.8654132091227212E-2</c:v>
                      </c:pt>
                      <c:pt idx="185">
                        <c:v>2.8654132091227212E-2</c:v>
                      </c:pt>
                      <c:pt idx="186">
                        <c:v>2.8654132091227212E-2</c:v>
                      </c:pt>
                      <c:pt idx="187">
                        <c:v>2.8654132091227212E-2</c:v>
                      </c:pt>
                      <c:pt idx="188">
                        <c:v>2.8654132091227212E-2</c:v>
                      </c:pt>
                      <c:pt idx="189">
                        <c:v>2.8654132091227212E-2</c:v>
                      </c:pt>
                      <c:pt idx="190">
                        <c:v>2.8654132091227212E-2</c:v>
                      </c:pt>
                      <c:pt idx="191">
                        <c:v>2.8654132091227212E-2</c:v>
                      </c:pt>
                      <c:pt idx="192">
                        <c:v>2.8654132091227212E-2</c:v>
                      </c:pt>
                      <c:pt idx="193">
                        <c:v>2.8654132091227212E-2</c:v>
                      </c:pt>
                      <c:pt idx="194">
                        <c:v>2.8654132091227212E-2</c:v>
                      </c:pt>
                      <c:pt idx="195">
                        <c:v>2.8654132091227212E-2</c:v>
                      </c:pt>
                      <c:pt idx="196">
                        <c:v>2.8654132091227212E-2</c:v>
                      </c:pt>
                      <c:pt idx="197">
                        <c:v>2.8654132091227212E-2</c:v>
                      </c:pt>
                      <c:pt idx="198">
                        <c:v>2.8654132091227212E-2</c:v>
                      </c:pt>
                      <c:pt idx="199">
                        <c:v>2.8654132091227212E-2</c:v>
                      </c:pt>
                      <c:pt idx="200">
                        <c:v>2.8654132091227212E-2</c:v>
                      </c:pt>
                      <c:pt idx="201">
                        <c:v>2.8654132091227212E-2</c:v>
                      </c:pt>
                      <c:pt idx="202">
                        <c:v>2.8654132091227212E-2</c:v>
                      </c:pt>
                      <c:pt idx="203">
                        <c:v>2.8654132091227212E-2</c:v>
                      </c:pt>
                      <c:pt idx="204">
                        <c:v>2.8654132091227212E-2</c:v>
                      </c:pt>
                      <c:pt idx="205">
                        <c:v>2.8654132091227212E-2</c:v>
                      </c:pt>
                      <c:pt idx="206">
                        <c:v>2.8654132091227212E-2</c:v>
                      </c:pt>
                      <c:pt idx="207">
                        <c:v>2.8654132091227212E-2</c:v>
                      </c:pt>
                      <c:pt idx="208">
                        <c:v>2.8654132091227212E-2</c:v>
                      </c:pt>
                      <c:pt idx="209">
                        <c:v>2.8654132091227212E-2</c:v>
                      </c:pt>
                      <c:pt idx="210">
                        <c:v>2.8654132091227212E-2</c:v>
                      </c:pt>
                      <c:pt idx="211">
                        <c:v>2.8654132091227212E-2</c:v>
                      </c:pt>
                      <c:pt idx="212">
                        <c:v>2.8654132091227212E-2</c:v>
                      </c:pt>
                      <c:pt idx="213">
                        <c:v>2.8654132091227212E-2</c:v>
                      </c:pt>
                      <c:pt idx="214">
                        <c:v>2.8654132091227212E-2</c:v>
                      </c:pt>
                      <c:pt idx="215">
                        <c:v>2.8654132091227212E-2</c:v>
                      </c:pt>
                      <c:pt idx="216">
                        <c:v>2.8654132091227212E-2</c:v>
                      </c:pt>
                      <c:pt idx="217">
                        <c:v>2.8654132091227212E-2</c:v>
                      </c:pt>
                      <c:pt idx="218">
                        <c:v>2.8654132091227212E-2</c:v>
                      </c:pt>
                      <c:pt idx="219">
                        <c:v>2.8654132091227212E-2</c:v>
                      </c:pt>
                      <c:pt idx="220">
                        <c:v>2.8654132091227212E-2</c:v>
                      </c:pt>
                      <c:pt idx="221">
                        <c:v>2.8654132091227212E-2</c:v>
                      </c:pt>
                      <c:pt idx="222">
                        <c:v>2.8654132091227212E-2</c:v>
                      </c:pt>
                      <c:pt idx="223">
                        <c:v>2.8654132091227212E-2</c:v>
                      </c:pt>
                      <c:pt idx="224">
                        <c:v>2.8654132091227212E-2</c:v>
                      </c:pt>
                      <c:pt idx="225">
                        <c:v>2.8654132091227212E-2</c:v>
                      </c:pt>
                      <c:pt idx="226">
                        <c:v>2.8654132091227212E-2</c:v>
                      </c:pt>
                      <c:pt idx="227">
                        <c:v>2.8654132091227212E-2</c:v>
                      </c:pt>
                      <c:pt idx="228">
                        <c:v>2.8654132091227212E-2</c:v>
                      </c:pt>
                      <c:pt idx="229">
                        <c:v>2.8654132091227212E-2</c:v>
                      </c:pt>
                      <c:pt idx="230">
                        <c:v>2.8654132091227212E-2</c:v>
                      </c:pt>
                      <c:pt idx="231">
                        <c:v>2.8654132091227212E-2</c:v>
                      </c:pt>
                      <c:pt idx="232">
                        <c:v>7.3592627010500566E-2</c:v>
                      </c:pt>
                      <c:pt idx="233">
                        <c:v>7.3592627010500566E-2</c:v>
                      </c:pt>
                      <c:pt idx="234">
                        <c:v>7.3592627010500566E-2</c:v>
                      </c:pt>
                      <c:pt idx="235">
                        <c:v>7.3592627010500566E-2</c:v>
                      </c:pt>
                      <c:pt idx="236">
                        <c:v>7.3592627010500566E-2</c:v>
                      </c:pt>
                      <c:pt idx="237">
                        <c:v>7.3592627010500566E-2</c:v>
                      </c:pt>
                      <c:pt idx="238">
                        <c:v>7.3592627010500566E-2</c:v>
                      </c:pt>
                      <c:pt idx="239">
                        <c:v>7.3592627010500566E-2</c:v>
                      </c:pt>
                      <c:pt idx="240">
                        <c:v>7.3592627010500566E-2</c:v>
                      </c:pt>
                      <c:pt idx="241">
                        <c:v>7.3592627010500566E-2</c:v>
                      </c:pt>
                      <c:pt idx="242">
                        <c:v>7.3592627010500566E-2</c:v>
                      </c:pt>
                      <c:pt idx="243">
                        <c:v>7.3592627010500566E-2</c:v>
                      </c:pt>
                      <c:pt idx="244">
                        <c:v>7.3592627010500566E-2</c:v>
                      </c:pt>
                      <c:pt idx="245">
                        <c:v>7.3592627010500566E-2</c:v>
                      </c:pt>
                      <c:pt idx="246">
                        <c:v>7.3592627010500566E-2</c:v>
                      </c:pt>
                      <c:pt idx="247">
                        <c:v>7.3592627010500566E-2</c:v>
                      </c:pt>
                      <c:pt idx="248">
                        <c:v>7.3592627010500566E-2</c:v>
                      </c:pt>
                      <c:pt idx="249">
                        <c:v>7.3592627010500566E-2</c:v>
                      </c:pt>
                      <c:pt idx="250">
                        <c:v>7.3592627010500566E-2</c:v>
                      </c:pt>
                      <c:pt idx="251">
                        <c:v>7.3592627010500566E-2</c:v>
                      </c:pt>
                      <c:pt idx="252">
                        <c:v>7.3592627010500566E-2</c:v>
                      </c:pt>
                      <c:pt idx="253">
                        <c:v>7.3592627010500566E-2</c:v>
                      </c:pt>
                      <c:pt idx="254">
                        <c:v>7.3592627010500566E-2</c:v>
                      </c:pt>
                      <c:pt idx="255">
                        <c:v>7.3592627010500566E-2</c:v>
                      </c:pt>
                      <c:pt idx="256">
                        <c:v>7.3592627010500566E-2</c:v>
                      </c:pt>
                      <c:pt idx="257">
                        <c:v>7.3592627010500566E-2</c:v>
                      </c:pt>
                      <c:pt idx="258">
                        <c:v>7.3592627010500566E-2</c:v>
                      </c:pt>
                      <c:pt idx="259">
                        <c:v>7.3592627010500566E-2</c:v>
                      </c:pt>
                      <c:pt idx="260">
                        <c:v>7.3592627010500566E-2</c:v>
                      </c:pt>
                      <c:pt idx="261">
                        <c:v>7.3592627010500566E-2</c:v>
                      </c:pt>
                      <c:pt idx="262">
                        <c:v>7.3592627010500566E-2</c:v>
                      </c:pt>
                      <c:pt idx="263">
                        <c:v>7.3592627010500566E-2</c:v>
                      </c:pt>
                      <c:pt idx="264">
                        <c:v>7.3592627010500566E-2</c:v>
                      </c:pt>
                      <c:pt idx="265">
                        <c:v>7.3592627010500566E-2</c:v>
                      </c:pt>
                      <c:pt idx="266">
                        <c:v>7.3592627010500566E-2</c:v>
                      </c:pt>
                      <c:pt idx="267">
                        <c:v>7.3592627010500566E-2</c:v>
                      </c:pt>
                      <c:pt idx="268">
                        <c:v>7.3592627010500566E-2</c:v>
                      </c:pt>
                      <c:pt idx="269">
                        <c:v>7.3592627010500566E-2</c:v>
                      </c:pt>
                      <c:pt idx="270">
                        <c:v>7.3592627010500566E-2</c:v>
                      </c:pt>
                      <c:pt idx="271">
                        <c:v>7.3592627010500566E-2</c:v>
                      </c:pt>
                      <c:pt idx="272">
                        <c:v>7.3592627010500566E-2</c:v>
                      </c:pt>
                      <c:pt idx="273">
                        <c:v>7.3592627010500566E-2</c:v>
                      </c:pt>
                      <c:pt idx="274">
                        <c:v>7.3592627010500566E-2</c:v>
                      </c:pt>
                      <c:pt idx="275">
                        <c:v>7.3592627010500566E-2</c:v>
                      </c:pt>
                      <c:pt idx="276">
                        <c:v>7.3592627010500566E-2</c:v>
                      </c:pt>
                      <c:pt idx="277">
                        <c:v>7.3592627010500566E-2</c:v>
                      </c:pt>
                      <c:pt idx="278">
                        <c:v>7.3592627010500566E-2</c:v>
                      </c:pt>
                      <c:pt idx="279">
                        <c:v>7.3592627010500566E-2</c:v>
                      </c:pt>
                      <c:pt idx="280">
                        <c:v>7.3592627010500566E-2</c:v>
                      </c:pt>
                      <c:pt idx="281">
                        <c:v>7.3592627010500566E-2</c:v>
                      </c:pt>
                      <c:pt idx="282">
                        <c:v>7.3592627010500566E-2</c:v>
                      </c:pt>
                      <c:pt idx="283">
                        <c:v>7.3592627010500566E-2</c:v>
                      </c:pt>
                      <c:pt idx="284">
                        <c:v>7.3592627010500566E-2</c:v>
                      </c:pt>
                      <c:pt idx="285">
                        <c:v>7.3592627010500566E-2</c:v>
                      </c:pt>
                      <c:pt idx="286">
                        <c:v>7.3592627010500566E-2</c:v>
                      </c:pt>
                      <c:pt idx="287">
                        <c:v>7.3592627010500566E-2</c:v>
                      </c:pt>
                      <c:pt idx="288">
                        <c:v>7.3592627010500566E-2</c:v>
                      </c:pt>
                      <c:pt idx="289">
                        <c:v>7.3592627010500566E-2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5C6-4E19-973B-91C5491E876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(2)'!$M$1</c15:sqref>
                        </c15:formulaRef>
                      </c:ext>
                    </c:extLst>
                    <c:strCache>
                      <c:ptCount val="1"/>
                      <c:pt idx="0">
                        <c:v>Lãi suất danh nghĩa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(2)'!$M$2:$M$311</c15:sqref>
                        </c15:formulaRef>
                      </c:ext>
                    </c:extLst>
                    <c:numCache>
                      <c:formatCode>0.00%</c:formatCode>
                      <c:ptCount val="290"/>
                      <c:pt idx="0">
                        <c:v>9.3200000000000005E-2</c:v>
                      </c:pt>
                      <c:pt idx="1">
                        <c:v>9.3200000000000005E-2</c:v>
                      </c:pt>
                      <c:pt idx="2">
                        <c:v>9.3200000000000005E-2</c:v>
                      </c:pt>
                      <c:pt idx="3">
                        <c:v>9.3200000000000005E-2</c:v>
                      </c:pt>
                      <c:pt idx="4">
                        <c:v>9.3200000000000005E-2</c:v>
                      </c:pt>
                      <c:pt idx="5">
                        <c:v>9.3200000000000005E-2</c:v>
                      </c:pt>
                      <c:pt idx="6">
                        <c:v>9.3200000000000005E-2</c:v>
                      </c:pt>
                      <c:pt idx="7">
                        <c:v>9.3200000000000005E-2</c:v>
                      </c:pt>
                      <c:pt idx="8">
                        <c:v>9.3200000000000005E-2</c:v>
                      </c:pt>
                      <c:pt idx="9">
                        <c:v>9.3200000000000005E-2</c:v>
                      </c:pt>
                      <c:pt idx="10">
                        <c:v>9.3200000000000005E-2</c:v>
                      </c:pt>
                      <c:pt idx="11">
                        <c:v>9.3200000000000005E-2</c:v>
                      </c:pt>
                      <c:pt idx="12">
                        <c:v>9.3200000000000005E-2</c:v>
                      </c:pt>
                      <c:pt idx="13">
                        <c:v>9.3200000000000005E-2</c:v>
                      </c:pt>
                      <c:pt idx="14">
                        <c:v>9.3200000000000005E-2</c:v>
                      </c:pt>
                      <c:pt idx="15">
                        <c:v>9.3200000000000005E-2</c:v>
                      </c:pt>
                      <c:pt idx="16">
                        <c:v>9.3200000000000005E-2</c:v>
                      </c:pt>
                      <c:pt idx="17">
                        <c:v>9.3200000000000005E-2</c:v>
                      </c:pt>
                      <c:pt idx="18">
                        <c:v>9.3200000000000005E-2</c:v>
                      </c:pt>
                      <c:pt idx="19">
                        <c:v>9.3200000000000005E-2</c:v>
                      </c:pt>
                      <c:pt idx="20">
                        <c:v>9.3200000000000005E-2</c:v>
                      </c:pt>
                      <c:pt idx="21">
                        <c:v>9.3200000000000005E-2</c:v>
                      </c:pt>
                      <c:pt idx="22">
                        <c:v>9.3200000000000005E-2</c:v>
                      </c:pt>
                      <c:pt idx="23">
                        <c:v>9.3200000000000005E-2</c:v>
                      </c:pt>
                      <c:pt idx="24">
                        <c:v>9.3200000000000005E-2</c:v>
                      </c:pt>
                      <c:pt idx="25">
                        <c:v>9.3200000000000005E-2</c:v>
                      </c:pt>
                      <c:pt idx="26">
                        <c:v>9.3200000000000005E-2</c:v>
                      </c:pt>
                      <c:pt idx="27">
                        <c:v>9.3200000000000005E-2</c:v>
                      </c:pt>
                      <c:pt idx="28">
                        <c:v>9.3200000000000005E-2</c:v>
                      </c:pt>
                      <c:pt idx="29">
                        <c:v>9.3200000000000005E-2</c:v>
                      </c:pt>
                      <c:pt idx="30">
                        <c:v>9.3200000000000005E-2</c:v>
                      </c:pt>
                      <c:pt idx="31">
                        <c:v>9.3200000000000005E-2</c:v>
                      </c:pt>
                      <c:pt idx="32">
                        <c:v>9.3200000000000005E-2</c:v>
                      </c:pt>
                      <c:pt idx="33">
                        <c:v>9.3200000000000005E-2</c:v>
                      </c:pt>
                      <c:pt idx="34">
                        <c:v>9.3200000000000005E-2</c:v>
                      </c:pt>
                      <c:pt idx="35">
                        <c:v>9.3200000000000005E-2</c:v>
                      </c:pt>
                      <c:pt idx="36">
                        <c:v>9.3200000000000005E-2</c:v>
                      </c:pt>
                      <c:pt idx="37">
                        <c:v>9.3200000000000005E-2</c:v>
                      </c:pt>
                      <c:pt idx="38">
                        <c:v>9.3200000000000005E-2</c:v>
                      </c:pt>
                      <c:pt idx="39">
                        <c:v>9.3200000000000005E-2</c:v>
                      </c:pt>
                      <c:pt idx="40">
                        <c:v>9.3200000000000005E-2</c:v>
                      </c:pt>
                      <c:pt idx="41">
                        <c:v>9.3200000000000005E-2</c:v>
                      </c:pt>
                      <c:pt idx="42">
                        <c:v>9.3200000000000005E-2</c:v>
                      </c:pt>
                      <c:pt idx="43">
                        <c:v>9.3200000000000005E-2</c:v>
                      </c:pt>
                      <c:pt idx="44">
                        <c:v>9.3200000000000005E-2</c:v>
                      </c:pt>
                      <c:pt idx="45">
                        <c:v>9.3200000000000005E-2</c:v>
                      </c:pt>
                      <c:pt idx="46">
                        <c:v>9.3200000000000005E-2</c:v>
                      </c:pt>
                      <c:pt idx="47">
                        <c:v>9.3200000000000005E-2</c:v>
                      </c:pt>
                      <c:pt idx="48">
                        <c:v>9.3200000000000005E-2</c:v>
                      </c:pt>
                      <c:pt idx="49">
                        <c:v>9.3200000000000005E-2</c:v>
                      </c:pt>
                      <c:pt idx="50">
                        <c:v>9.3200000000000005E-2</c:v>
                      </c:pt>
                      <c:pt idx="51">
                        <c:v>9.3200000000000005E-2</c:v>
                      </c:pt>
                      <c:pt idx="52">
                        <c:v>9.3200000000000005E-2</c:v>
                      </c:pt>
                      <c:pt idx="53">
                        <c:v>9.3200000000000005E-2</c:v>
                      </c:pt>
                      <c:pt idx="54">
                        <c:v>9.3200000000000005E-2</c:v>
                      </c:pt>
                      <c:pt idx="55">
                        <c:v>9.3200000000000005E-2</c:v>
                      </c:pt>
                      <c:pt idx="56">
                        <c:v>9.3200000000000005E-2</c:v>
                      </c:pt>
                      <c:pt idx="57">
                        <c:v>9.3200000000000005E-2</c:v>
                      </c:pt>
                      <c:pt idx="58">
                        <c:v>8.0100000000000005E-2</c:v>
                      </c:pt>
                      <c:pt idx="59">
                        <c:v>8.0100000000000005E-2</c:v>
                      </c:pt>
                      <c:pt idx="60">
                        <c:v>8.0100000000000005E-2</c:v>
                      </c:pt>
                      <c:pt idx="61">
                        <c:v>8.0100000000000005E-2</c:v>
                      </c:pt>
                      <c:pt idx="62">
                        <c:v>8.0100000000000005E-2</c:v>
                      </c:pt>
                      <c:pt idx="63">
                        <c:v>8.0100000000000005E-2</c:v>
                      </c:pt>
                      <c:pt idx="64">
                        <c:v>8.0100000000000005E-2</c:v>
                      </c:pt>
                      <c:pt idx="65">
                        <c:v>8.0100000000000005E-2</c:v>
                      </c:pt>
                      <c:pt idx="66">
                        <c:v>8.0100000000000005E-2</c:v>
                      </c:pt>
                      <c:pt idx="67">
                        <c:v>8.0100000000000005E-2</c:v>
                      </c:pt>
                      <c:pt idx="68">
                        <c:v>8.0100000000000005E-2</c:v>
                      </c:pt>
                      <c:pt idx="69">
                        <c:v>8.0100000000000005E-2</c:v>
                      </c:pt>
                      <c:pt idx="70">
                        <c:v>8.0100000000000005E-2</c:v>
                      </c:pt>
                      <c:pt idx="71">
                        <c:v>8.0100000000000005E-2</c:v>
                      </c:pt>
                      <c:pt idx="72">
                        <c:v>8.0100000000000005E-2</c:v>
                      </c:pt>
                      <c:pt idx="73">
                        <c:v>8.0100000000000005E-2</c:v>
                      </c:pt>
                      <c:pt idx="74">
                        <c:v>8.0100000000000005E-2</c:v>
                      </c:pt>
                      <c:pt idx="75">
                        <c:v>8.0100000000000005E-2</c:v>
                      </c:pt>
                      <c:pt idx="76">
                        <c:v>8.0100000000000005E-2</c:v>
                      </c:pt>
                      <c:pt idx="77">
                        <c:v>8.0100000000000005E-2</c:v>
                      </c:pt>
                      <c:pt idx="78">
                        <c:v>8.0100000000000005E-2</c:v>
                      </c:pt>
                      <c:pt idx="79">
                        <c:v>8.0100000000000005E-2</c:v>
                      </c:pt>
                      <c:pt idx="80">
                        <c:v>8.0100000000000005E-2</c:v>
                      </c:pt>
                      <c:pt idx="81">
                        <c:v>8.0100000000000005E-2</c:v>
                      </c:pt>
                      <c:pt idx="82">
                        <c:v>8.0100000000000005E-2</c:v>
                      </c:pt>
                      <c:pt idx="83">
                        <c:v>8.0100000000000005E-2</c:v>
                      </c:pt>
                      <c:pt idx="84">
                        <c:v>8.0100000000000005E-2</c:v>
                      </c:pt>
                      <c:pt idx="85">
                        <c:v>8.0100000000000005E-2</c:v>
                      </c:pt>
                      <c:pt idx="86">
                        <c:v>8.0100000000000005E-2</c:v>
                      </c:pt>
                      <c:pt idx="87">
                        <c:v>8.0100000000000005E-2</c:v>
                      </c:pt>
                      <c:pt idx="88">
                        <c:v>8.0100000000000005E-2</c:v>
                      </c:pt>
                      <c:pt idx="89">
                        <c:v>8.0100000000000005E-2</c:v>
                      </c:pt>
                      <c:pt idx="90">
                        <c:v>8.0100000000000005E-2</c:v>
                      </c:pt>
                      <c:pt idx="91">
                        <c:v>8.0100000000000005E-2</c:v>
                      </c:pt>
                      <c:pt idx="92">
                        <c:v>8.0100000000000005E-2</c:v>
                      </c:pt>
                      <c:pt idx="93">
                        <c:v>8.0100000000000005E-2</c:v>
                      </c:pt>
                      <c:pt idx="94">
                        <c:v>8.0100000000000005E-2</c:v>
                      </c:pt>
                      <c:pt idx="95">
                        <c:v>8.0100000000000005E-2</c:v>
                      </c:pt>
                      <c:pt idx="96">
                        <c:v>8.0100000000000005E-2</c:v>
                      </c:pt>
                      <c:pt idx="97">
                        <c:v>8.0100000000000005E-2</c:v>
                      </c:pt>
                      <c:pt idx="98">
                        <c:v>8.0100000000000005E-2</c:v>
                      </c:pt>
                      <c:pt idx="99">
                        <c:v>8.0100000000000005E-2</c:v>
                      </c:pt>
                      <c:pt idx="100">
                        <c:v>8.0100000000000005E-2</c:v>
                      </c:pt>
                      <c:pt idx="101">
                        <c:v>8.0100000000000005E-2</c:v>
                      </c:pt>
                      <c:pt idx="102">
                        <c:v>8.0100000000000005E-2</c:v>
                      </c:pt>
                      <c:pt idx="103">
                        <c:v>8.0100000000000005E-2</c:v>
                      </c:pt>
                      <c:pt idx="104">
                        <c:v>8.0100000000000005E-2</c:v>
                      </c:pt>
                      <c:pt idx="105">
                        <c:v>8.0100000000000005E-2</c:v>
                      </c:pt>
                      <c:pt idx="106">
                        <c:v>8.0100000000000005E-2</c:v>
                      </c:pt>
                      <c:pt idx="107">
                        <c:v>8.0100000000000005E-2</c:v>
                      </c:pt>
                      <c:pt idx="108">
                        <c:v>8.0100000000000005E-2</c:v>
                      </c:pt>
                      <c:pt idx="109">
                        <c:v>8.0100000000000005E-2</c:v>
                      </c:pt>
                      <c:pt idx="110">
                        <c:v>8.0100000000000005E-2</c:v>
                      </c:pt>
                      <c:pt idx="111">
                        <c:v>8.0100000000000005E-2</c:v>
                      </c:pt>
                      <c:pt idx="112">
                        <c:v>8.0100000000000005E-2</c:v>
                      </c:pt>
                      <c:pt idx="113">
                        <c:v>8.0100000000000005E-2</c:v>
                      </c:pt>
                      <c:pt idx="114">
                        <c:v>8.0100000000000005E-2</c:v>
                      </c:pt>
                      <c:pt idx="115">
                        <c:v>8.0100000000000005E-2</c:v>
                      </c:pt>
                      <c:pt idx="116">
                        <c:v>7.8100000000000003E-2</c:v>
                      </c:pt>
                      <c:pt idx="117">
                        <c:v>7.8100000000000003E-2</c:v>
                      </c:pt>
                      <c:pt idx="118">
                        <c:v>7.8100000000000003E-2</c:v>
                      </c:pt>
                      <c:pt idx="119">
                        <c:v>7.8100000000000003E-2</c:v>
                      </c:pt>
                      <c:pt idx="120">
                        <c:v>7.8100000000000003E-2</c:v>
                      </c:pt>
                      <c:pt idx="121">
                        <c:v>7.8100000000000003E-2</c:v>
                      </c:pt>
                      <c:pt idx="122">
                        <c:v>7.8100000000000003E-2</c:v>
                      </c:pt>
                      <c:pt idx="123">
                        <c:v>7.8100000000000003E-2</c:v>
                      </c:pt>
                      <c:pt idx="124">
                        <c:v>7.8100000000000003E-2</c:v>
                      </c:pt>
                      <c:pt idx="125">
                        <c:v>7.8100000000000003E-2</c:v>
                      </c:pt>
                      <c:pt idx="126">
                        <c:v>7.8100000000000003E-2</c:v>
                      </c:pt>
                      <c:pt idx="127">
                        <c:v>7.8100000000000003E-2</c:v>
                      </c:pt>
                      <c:pt idx="128">
                        <c:v>7.8100000000000003E-2</c:v>
                      </c:pt>
                      <c:pt idx="129">
                        <c:v>7.8100000000000003E-2</c:v>
                      </c:pt>
                      <c:pt idx="130">
                        <c:v>7.8100000000000003E-2</c:v>
                      </c:pt>
                      <c:pt idx="131">
                        <c:v>7.8100000000000003E-2</c:v>
                      </c:pt>
                      <c:pt idx="132">
                        <c:v>7.8100000000000003E-2</c:v>
                      </c:pt>
                      <c:pt idx="133">
                        <c:v>7.8100000000000003E-2</c:v>
                      </c:pt>
                      <c:pt idx="134">
                        <c:v>7.8100000000000003E-2</c:v>
                      </c:pt>
                      <c:pt idx="135">
                        <c:v>7.8100000000000003E-2</c:v>
                      </c:pt>
                      <c:pt idx="136">
                        <c:v>7.8100000000000003E-2</c:v>
                      </c:pt>
                      <c:pt idx="137">
                        <c:v>7.8100000000000003E-2</c:v>
                      </c:pt>
                      <c:pt idx="138">
                        <c:v>7.8100000000000003E-2</c:v>
                      </c:pt>
                      <c:pt idx="139">
                        <c:v>7.8100000000000003E-2</c:v>
                      </c:pt>
                      <c:pt idx="140">
                        <c:v>7.8100000000000003E-2</c:v>
                      </c:pt>
                      <c:pt idx="141">
                        <c:v>7.8100000000000003E-2</c:v>
                      </c:pt>
                      <c:pt idx="142">
                        <c:v>7.8100000000000003E-2</c:v>
                      </c:pt>
                      <c:pt idx="143">
                        <c:v>7.8100000000000003E-2</c:v>
                      </c:pt>
                      <c:pt idx="144">
                        <c:v>7.8100000000000003E-2</c:v>
                      </c:pt>
                      <c:pt idx="145">
                        <c:v>7.8100000000000003E-2</c:v>
                      </c:pt>
                      <c:pt idx="146">
                        <c:v>7.8100000000000003E-2</c:v>
                      </c:pt>
                      <c:pt idx="147">
                        <c:v>7.8100000000000003E-2</c:v>
                      </c:pt>
                      <c:pt idx="148">
                        <c:v>7.8100000000000003E-2</c:v>
                      </c:pt>
                      <c:pt idx="149">
                        <c:v>7.8100000000000003E-2</c:v>
                      </c:pt>
                      <c:pt idx="150">
                        <c:v>7.8100000000000003E-2</c:v>
                      </c:pt>
                      <c:pt idx="151">
                        <c:v>7.8100000000000003E-2</c:v>
                      </c:pt>
                      <c:pt idx="152">
                        <c:v>7.8100000000000003E-2</c:v>
                      </c:pt>
                      <c:pt idx="153">
                        <c:v>7.8100000000000003E-2</c:v>
                      </c:pt>
                      <c:pt idx="154">
                        <c:v>7.8100000000000003E-2</c:v>
                      </c:pt>
                      <c:pt idx="155">
                        <c:v>7.8100000000000003E-2</c:v>
                      </c:pt>
                      <c:pt idx="156">
                        <c:v>7.8100000000000003E-2</c:v>
                      </c:pt>
                      <c:pt idx="157">
                        <c:v>7.8100000000000003E-2</c:v>
                      </c:pt>
                      <c:pt idx="158">
                        <c:v>7.8100000000000003E-2</c:v>
                      </c:pt>
                      <c:pt idx="159">
                        <c:v>7.8100000000000003E-2</c:v>
                      </c:pt>
                      <c:pt idx="160">
                        <c:v>7.8100000000000003E-2</c:v>
                      </c:pt>
                      <c:pt idx="161">
                        <c:v>7.8100000000000003E-2</c:v>
                      </c:pt>
                      <c:pt idx="162">
                        <c:v>7.8100000000000003E-2</c:v>
                      </c:pt>
                      <c:pt idx="163">
                        <c:v>7.8100000000000003E-2</c:v>
                      </c:pt>
                      <c:pt idx="164">
                        <c:v>7.8100000000000003E-2</c:v>
                      </c:pt>
                      <c:pt idx="165">
                        <c:v>7.8100000000000003E-2</c:v>
                      </c:pt>
                      <c:pt idx="166">
                        <c:v>7.8100000000000003E-2</c:v>
                      </c:pt>
                      <c:pt idx="167">
                        <c:v>7.8100000000000003E-2</c:v>
                      </c:pt>
                      <c:pt idx="168">
                        <c:v>7.8100000000000003E-2</c:v>
                      </c:pt>
                      <c:pt idx="169">
                        <c:v>7.8100000000000003E-2</c:v>
                      </c:pt>
                      <c:pt idx="170">
                        <c:v>7.8100000000000003E-2</c:v>
                      </c:pt>
                      <c:pt idx="171">
                        <c:v>7.8100000000000003E-2</c:v>
                      </c:pt>
                      <c:pt idx="172">
                        <c:v>7.8100000000000003E-2</c:v>
                      </c:pt>
                      <c:pt idx="173">
                        <c:v>7.8100000000000003E-2</c:v>
                      </c:pt>
                      <c:pt idx="174">
                        <c:v>7.6499999999999999E-2</c:v>
                      </c:pt>
                      <c:pt idx="175">
                        <c:v>7.6499999999999999E-2</c:v>
                      </c:pt>
                      <c:pt idx="176">
                        <c:v>7.6499999999999999E-2</c:v>
                      </c:pt>
                      <c:pt idx="177">
                        <c:v>7.6499999999999999E-2</c:v>
                      </c:pt>
                      <c:pt idx="178">
                        <c:v>7.6499999999999999E-2</c:v>
                      </c:pt>
                      <c:pt idx="179">
                        <c:v>7.6499999999999999E-2</c:v>
                      </c:pt>
                      <c:pt idx="180">
                        <c:v>7.6499999999999999E-2</c:v>
                      </c:pt>
                      <c:pt idx="181">
                        <c:v>7.6499999999999999E-2</c:v>
                      </c:pt>
                      <c:pt idx="182">
                        <c:v>7.6499999999999999E-2</c:v>
                      </c:pt>
                      <c:pt idx="183">
                        <c:v>7.6499999999999999E-2</c:v>
                      </c:pt>
                      <c:pt idx="184">
                        <c:v>7.6499999999999999E-2</c:v>
                      </c:pt>
                      <c:pt idx="185">
                        <c:v>7.6499999999999999E-2</c:v>
                      </c:pt>
                      <c:pt idx="186">
                        <c:v>7.6499999999999999E-2</c:v>
                      </c:pt>
                      <c:pt idx="187">
                        <c:v>7.6499999999999999E-2</c:v>
                      </c:pt>
                      <c:pt idx="188">
                        <c:v>7.6499999999999999E-2</c:v>
                      </c:pt>
                      <c:pt idx="189">
                        <c:v>7.6499999999999999E-2</c:v>
                      </c:pt>
                      <c:pt idx="190">
                        <c:v>7.6499999999999999E-2</c:v>
                      </c:pt>
                      <c:pt idx="191">
                        <c:v>7.6499999999999999E-2</c:v>
                      </c:pt>
                      <c:pt idx="192">
                        <c:v>7.6499999999999999E-2</c:v>
                      </c:pt>
                      <c:pt idx="193">
                        <c:v>7.6499999999999999E-2</c:v>
                      </c:pt>
                      <c:pt idx="194">
                        <c:v>7.6499999999999999E-2</c:v>
                      </c:pt>
                      <c:pt idx="195">
                        <c:v>7.6499999999999999E-2</c:v>
                      </c:pt>
                      <c:pt idx="196">
                        <c:v>7.6499999999999999E-2</c:v>
                      </c:pt>
                      <c:pt idx="197">
                        <c:v>7.6499999999999999E-2</c:v>
                      </c:pt>
                      <c:pt idx="198">
                        <c:v>7.6499999999999999E-2</c:v>
                      </c:pt>
                      <c:pt idx="199">
                        <c:v>7.6499999999999999E-2</c:v>
                      </c:pt>
                      <c:pt idx="200">
                        <c:v>7.6499999999999999E-2</c:v>
                      </c:pt>
                      <c:pt idx="201">
                        <c:v>7.6499999999999999E-2</c:v>
                      </c:pt>
                      <c:pt idx="202">
                        <c:v>7.6499999999999999E-2</c:v>
                      </c:pt>
                      <c:pt idx="203">
                        <c:v>7.6499999999999999E-2</c:v>
                      </c:pt>
                      <c:pt idx="204">
                        <c:v>7.6499999999999999E-2</c:v>
                      </c:pt>
                      <c:pt idx="205">
                        <c:v>7.6499999999999999E-2</c:v>
                      </c:pt>
                      <c:pt idx="206">
                        <c:v>7.6499999999999999E-2</c:v>
                      </c:pt>
                      <c:pt idx="207">
                        <c:v>7.6499999999999999E-2</c:v>
                      </c:pt>
                      <c:pt idx="208">
                        <c:v>7.6499999999999999E-2</c:v>
                      </c:pt>
                      <c:pt idx="209">
                        <c:v>7.6499999999999999E-2</c:v>
                      </c:pt>
                      <c:pt idx="210">
                        <c:v>7.6499999999999999E-2</c:v>
                      </c:pt>
                      <c:pt idx="211">
                        <c:v>7.6499999999999999E-2</c:v>
                      </c:pt>
                      <c:pt idx="212">
                        <c:v>7.6499999999999999E-2</c:v>
                      </c:pt>
                      <c:pt idx="213">
                        <c:v>7.6499999999999999E-2</c:v>
                      </c:pt>
                      <c:pt idx="214">
                        <c:v>7.6499999999999999E-2</c:v>
                      </c:pt>
                      <c:pt idx="215">
                        <c:v>7.6499999999999999E-2</c:v>
                      </c:pt>
                      <c:pt idx="216">
                        <c:v>7.6499999999999999E-2</c:v>
                      </c:pt>
                      <c:pt idx="217">
                        <c:v>7.6499999999999999E-2</c:v>
                      </c:pt>
                      <c:pt idx="218">
                        <c:v>7.6499999999999999E-2</c:v>
                      </c:pt>
                      <c:pt idx="219">
                        <c:v>7.6499999999999999E-2</c:v>
                      </c:pt>
                      <c:pt idx="220">
                        <c:v>7.6499999999999999E-2</c:v>
                      </c:pt>
                      <c:pt idx="221">
                        <c:v>7.6499999999999999E-2</c:v>
                      </c:pt>
                      <c:pt idx="222">
                        <c:v>7.6499999999999999E-2</c:v>
                      </c:pt>
                      <c:pt idx="223">
                        <c:v>7.6499999999999999E-2</c:v>
                      </c:pt>
                      <c:pt idx="224">
                        <c:v>7.6499999999999999E-2</c:v>
                      </c:pt>
                      <c:pt idx="225">
                        <c:v>7.6499999999999999E-2</c:v>
                      </c:pt>
                      <c:pt idx="226">
                        <c:v>7.6499999999999999E-2</c:v>
                      </c:pt>
                      <c:pt idx="227">
                        <c:v>7.6499999999999999E-2</c:v>
                      </c:pt>
                      <c:pt idx="228">
                        <c:v>7.6499999999999999E-2</c:v>
                      </c:pt>
                      <c:pt idx="229">
                        <c:v>7.6499999999999999E-2</c:v>
                      </c:pt>
                      <c:pt idx="230">
                        <c:v>7.6499999999999999E-2</c:v>
                      </c:pt>
                      <c:pt idx="231">
                        <c:v>7.6499999999999999E-2</c:v>
                      </c:pt>
                      <c:pt idx="232">
                        <c:v>7.7100000000000002E-2</c:v>
                      </c:pt>
                      <c:pt idx="233">
                        <c:v>7.7100000000000002E-2</c:v>
                      </c:pt>
                      <c:pt idx="234">
                        <c:v>7.7100000000000002E-2</c:v>
                      </c:pt>
                      <c:pt idx="235">
                        <c:v>7.7100000000000002E-2</c:v>
                      </c:pt>
                      <c:pt idx="236">
                        <c:v>7.7100000000000002E-2</c:v>
                      </c:pt>
                      <c:pt idx="237">
                        <c:v>7.7100000000000002E-2</c:v>
                      </c:pt>
                      <c:pt idx="238">
                        <c:v>7.7100000000000002E-2</c:v>
                      </c:pt>
                      <c:pt idx="239">
                        <c:v>7.7100000000000002E-2</c:v>
                      </c:pt>
                      <c:pt idx="240">
                        <c:v>7.7100000000000002E-2</c:v>
                      </c:pt>
                      <c:pt idx="241">
                        <c:v>7.7100000000000002E-2</c:v>
                      </c:pt>
                      <c:pt idx="242">
                        <c:v>7.7100000000000002E-2</c:v>
                      </c:pt>
                      <c:pt idx="243">
                        <c:v>7.7100000000000002E-2</c:v>
                      </c:pt>
                      <c:pt idx="244">
                        <c:v>7.7100000000000002E-2</c:v>
                      </c:pt>
                      <c:pt idx="245">
                        <c:v>7.7100000000000002E-2</c:v>
                      </c:pt>
                      <c:pt idx="246">
                        <c:v>7.7100000000000002E-2</c:v>
                      </c:pt>
                      <c:pt idx="247">
                        <c:v>7.7100000000000002E-2</c:v>
                      </c:pt>
                      <c:pt idx="248">
                        <c:v>7.7100000000000002E-2</c:v>
                      </c:pt>
                      <c:pt idx="249">
                        <c:v>7.7100000000000002E-2</c:v>
                      </c:pt>
                      <c:pt idx="250">
                        <c:v>7.7100000000000002E-2</c:v>
                      </c:pt>
                      <c:pt idx="251">
                        <c:v>7.7100000000000002E-2</c:v>
                      </c:pt>
                      <c:pt idx="252">
                        <c:v>7.7100000000000002E-2</c:v>
                      </c:pt>
                      <c:pt idx="253">
                        <c:v>7.7100000000000002E-2</c:v>
                      </c:pt>
                      <c:pt idx="254">
                        <c:v>7.7100000000000002E-2</c:v>
                      </c:pt>
                      <c:pt idx="255">
                        <c:v>7.7100000000000002E-2</c:v>
                      </c:pt>
                      <c:pt idx="256">
                        <c:v>7.7100000000000002E-2</c:v>
                      </c:pt>
                      <c:pt idx="257">
                        <c:v>7.7100000000000002E-2</c:v>
                      </c:pt>
                      <c:pt idx="258">
                        <c:v>7.7100000000000002E-2</c:v>
                      </c:pt>
                      <c:pt idx="259">
                        <c:v>7.7100000000000002E-2</c:v>
                      </c:pt>
                      <c:pt idx="260">
                        <c:v>7.7100000000000002E-2</c:v>
                      </c:pt>
                      <c:pt idx="261">
                        <c:v>7.7100000000000002E-2</c:v>
                      </c:pt>
                      <c:pt idx="262">
                        <c:v>7.7100000000000002E-2</c:v>
                      </c:pt>
                      <c:pt idx="263">
                        <c:v>7.7100000000000002E-2</c:v>
                      </c:pt>
                      <c:pt idx="264">
                        <c:v>7.7100000000000002E-2</c:v>
                      </c:pt>
                      <c:pt idx="265">
                        <c:v>7.7100000000000002E-2</c:v>
                      </c:pt>
                      <c:pt idx="266">
                        <c:v>7.7100000000000002E-2</c:v>
                      </c:pt>
                      <c:pt idx="267">
                        <c:v>7.7100000000000002E-2</c:v>
                      </c:pt>
                      <c:pt idx="268">
                        <c:v>7.7100000000000002E-2</c:v>
                      </c:pt>
                      <c:pt idx="269">
                        <c:v>7.7100000000000002E-2</c:v>
                      </c:pt>
                      <c:pt idx="270">
                        <c:v>7.7100000000000002E-2</c:v>
                      </c:pt>
                      <c:pt idx="271">
                        <c:v>7.7100000000000002E-2</c:v>
                      </c:pt>
                      <c:pt idx="272">
                        <c:v>7.7100000000000002E-2</c:v>
                      </c:pt>
                      <c:pt idx="273">
                        <c:v>7.7100000000000002E-2</c:v>
                      </c:pt>
                      <c:pt idx="274">
                        <c:v>7.7100000000000002E-2</c:v>
                      </c:pt>
                      <c:pt idx="275">
                        <c:v>7.7100000000000002E-2</c:v>
                      </c:pt>
                      <c:pt idx="276">
                        <c:v>7.7100000000000002E-2</c:v>
                      </c:pt>
                      <c:pt idx="277">
                        <c:v>7.7100000000000002E-2</c:v>
                      </c:pt>
                      <c:pt idx="278">
                        <c:v>7.7100000000000002E-2</c:v>
                      </c:pt>
                      <c:pt idx="279">
                        <c:v>7.7100000000000002E-2</c:v>
                      </c:pt>
                      <c:pt idx="280">
                        <c:v>7.7100000000000002E-2</c:v>
                      </c:pt>
                      <c:pt idx="281">
                        <c:v>7.7100000000000002E-2</c:v>
                      </c:pt>
                      <c:pt idx="282">
                        <c:v>7.7100000000000002E-2</c:v>
                      </c:pt>
                      <c:pt idx="283">
                        <c:v>7.7100000000000002E-2</c:v>
                      </c:pt>
                      <c:pt idx="284">
                        <c:v>7.7100000000000002E-2</c:v>
                      </c:pt>
                      <c:pt idx="285">
                        <c:v>7.7100000000000002E-2</c:v>
                      </c:pt>
                      <c:pt idx="286">
                        <c:v>7.7100000000000002E-2</c:v>
                      </c:pt>
                      <c:pt idx="287">
                        <c:v>7.7100000000000002E-2</c:v>
                      </c:pt>
                      <c:pt idx="288">
                        <c:v>7.7100000000000002E-2</c:v>
                      </c:pt>
                      <c:pt idx="289">
                        <c:v>7.7100000000000002E-2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5C6-4E19-973B-91C5491E876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(2)'!$N$1</c15:sqref>
                        </c15:formulaRef>
                      </c:ext>
                    </c:extLst>
                    <c:strCache>
                      <c:ptCount val="1"/>
                      <c:pt idx="0">
                        <c:v>Tỷ giá hối đoái danh nghĩa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(2)'!$N$2:$N$311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23787.319166666701</c:v>
                      </c:pt>
                      <c:pt idx="1">
                        <c:v>23787.319166666701</c:v>
                      </c:pt>
                      <c:pt idx="2">
                        <c:v>23787.319166666701</c:v>
                      </c:pt>
                      <c:pt idx="3">
                        <c:v>23787.319166666701</c:v>
                      </c:pt>
                      <c:pt idx="4">
                        <c:v>23787.319166666701</c:v>
                      </c:pt>
                      <c:pt idx="5">
                        <c:v>23787.319166666701</c:v>
                      </c:pt>
                      <c:pt idx="6">
                        <c:v>23787.319166666701</c:v>
                      </c:pt>
                      <c:pt idx="7">
                        <c:v>23787.319166666701</c:v>
                      </c:pt>
                      <c:pt idx="8">
                        <c:v>23787.319166666701</c:v>
                      </c:pt>
                      <c:pt idx="9">
                        <c:v>23787.319166666701</c:v>
                      </c:pt>
                      <c:pt idx="10">
                        <c:v>23787.319166666701</c:v>
                      </c:pt>
                      <c:pt idx="11">
                        <c:v>23787.319166666701</c:v>
                      </c:pt>
                      <c:pt idx="12">
                        <c:v>23787.319166666701</c:v>
                      </c:pt>
                      <c:pt idx="13">
                        <c:v>23787.319166666701</c:v>
                      </c:pt>
                      <c:pt idx="14">
                        <c:v>23787.319166666701</c:v>
                      </c:pt>
                      <c:pt idx="15">
                        <c:v>23787.319166666701</c:v>
                      </c:pt>
                      <c:pt idx="16">
                        <c:v>23787.319166666701</c:v>
                      </c:pt>
                      <c:pt idx="17">
                        <c:v>23787.319166666701</c:v>
                      </c:pt>
                      <c:pt idx="18">
                        <c:v>23787.319166666701</c:v>
                      </c:pt>
                      <c:pt idx="19">
                        <c:v>23787.319166666701</c:v>
                      </c:pt>
                      <c:pt idx="20">
                        <c:v>23787.319166666701</c:v>
                      </c:pt>
                      <c:pt idx="21">
                        <c:v>23787.319166666701</c:v>
                      </c:pt>
                      <c:pt idx="22">
                        <c:v>23787.319166666701</c:v>
                      </c:pt>
                      <c:pt idx="23">
                        <c:v>23787.319166666701</c:v>
                      </c:pt>
                      <c:pt idx="24">
                        <c:v>23787.319166666701</c:v>
                      </c:pt>
                      <c:pt idx="25">
                        <c:v>23787.319166666701</c:v>
                      </c:pt>
                      <c:pt idx="26">
                        <c:v>23787.319166666701</c:v>
                      </c:pt>
                      <c:pt idx="27">
                        <c:v>23787.319166666701</c:v>
                      </c:pt>
                      <c:pt idx="28">
                        <c:v>23787.319166666701</c:v>
                      </c:pt>
                      <c:pt idx="29">
                        <c:v>23787.319166666701</c:v>
                      </c:pt>
                      <c:pt idx="30">
                        <c:v>23787.319166666701</c:v>
                      </c:pt>
                      <c:pt idx="31">
                        <c:v>23787.319166666701</c:v>
                      </c:pt>
                      <c:pt idx="32">
                        <c:v>23787.319166666701</c:v>
                      </c:pt>
                      <c:pt idx="33">
                        <c:v>23787.319166666701</c:v>
                      </c:pt>
                      <c:pt idx="34">
                        <c:v>23787.319166666701</c:v>
                      </c:pt>
                      <c:pt idx="35">
                        <c:v>23787.319166666701</c:v>
                      </c:pt>
                      <c:pt idx="36">
                        <c:v>23787.319166666701</c:v>
                      </c:pt>
                      <c:pt idx="37">
                        <c:v>23787.319166666701</c:v>
                      </c:pt>
                      <c:pt idx="38">
                        <c:v>23787.319166666701</c:v>
                      </c:pt>
                      <c:pt idx="39">
                        <c:v>23787.319166666701</c:v>
                      </c:pt>
                      <c:pt idx="40">
                        <c:v>23787.319166666701</c:v>
                      </c:pt>
                      <c:pt idx="41">
                        <c:v>23787.319166666701</c:v>
                      </c:pt>
                      <c:pt idx="42">
                        <c:v>23787.319166666701</c:v>
                      </c:pt>
                      <c:pt idx="43">
                        <c:v>23787.319166666701</c:v>
                      </c:pt>
                      <c:pt idx="44">
                        <c:v>23787.319166666701</c:v>
                      </c:pt>
                      <c:pt idx="45">
                        <c:v>23787.319166666701</c:v>
                      </c:pt>
                      <c:pt idx="46">
                        <c:v>23787.319166666701</c:v>
                      </c:pt>
                      <c:pt idx="47">
                        <c:v>23787.319166666701</c:v>
                      </c:pt>
                      <c:pt idx="48">
                        <c:v>23787.319166666701</c:v>
                      </c:pt>
                      <c:pt idx="49">
                        <c:v>23787.319166666701</c:v>
                      </c:pt>
                      <c:pt idx="50">
                        <c:v>23787.319166666701</c:v>
                      </c:pt>
                      <c:pt idx="51">
                        <c:v>23787.319166666701</c:v>
                      </c:pt>
                      <c:pt idx="52">
                        <c:v>23787.319166666701</c:v>
                      </c:pt>
                      <c:pt idx="53">
                        <c:v>23787.319166666701</c:v>
                      </c:pt>
                      <c:pt idx="54">
                        <c:v>23787.319166666701</c:v>
                      </c:pt>
                      <c:pt idx="55">
                        <c:v>23787.319166666701</c:v>
                      </c:pt>
                      <c:pt idx="56">
                        <c:v>23787.319166666701</c:v>
                      </c:pt>
                      <c:pt idx="57">
                        <c:v>23787.319166666701</c:v>
                      </c:pt>
                      <c:pt idx="58">
                        <c:v>23271.212500000001</c:v>
                      </c:pt>
                      <c:pt idx="59">
                        <c:v>23271.212500000001</c:v>
                      </c:pt>
                      <c:pt idx="60">
                        <c:v>23271.212500000001</c:v>
                      </c:pt>
                      <c:pt idx="61">
                        <c:v>23271.212500000001</c:v>
                      </c:pt>
                      <c:pt idx="62">
                        <c:v>23271.212500000001</c:v>
                      </c:pt>
                      <c:pt idx="63">
                        <c:v>23271.212500000001</c:v>
                      </c:pt>
                      <c:pt idx="64">
                        <c:v>23271.212500000001</c:v>
                      </c:pt>
                      <c:pt idx="65">
                        <c:v>23271.212500000001</c:v>
                      </c:pt>
                      <c:pt idx="66">
                        <c:v>23271.212500000001</c:v>
                      </c:pt>
                      <c:pt idx="67">
                        <c:v>23271.212500000001</c:v>
                      </c:pt>
                      <c:pt idx="68">
                        <c:v>23271.212500000001</c:v>
                      </c:pt>
                      <c:pt idx="69">
                        <c:v>23271.212500000001</c:v>
                      </c:pt>
                      <c:pt idx="70">
                        <c:v>23271.212500000001</c:v>
                      </c:pt>
                      <c:pt idx="71">
                        <c:v>23271.212500000001</c:v>
                      </c:pt>
                      <c:pt idx="72">
                        <c:v>23271.212500000001</c:v>
                      </c:pt>
                      <c:pt idx="73">
                        <c:v>23271.212500000001</c:v>
                      </c:pt>
                      <c:pt idx="74">
                        <c:v>23271.212500000001</c:v>
                      </c:pt>
                      <c:pt idx="75">
                        <c:v>23271.212500000001</c:v>
                      </c:pt>
                      <c:pt idx="76">
                        <c:v>23271.212500000001</c:v>
                      </c:pt>
                      <c:pt idx="77">
                        <c:v>23271.212500000001</c:v>
                      </c:pt>
                      <c:pt idx="78">
                        <c:v>23271.212500000001</c:v>
                      </c:pt>
                      <c:pt idx="79">
                        <c:v>23271.212500000001</c:v>
                      </c:pt>
                      <c:pt idx="80">
                        <c:v>23271.212500000001</c:v>
                      </c:pt>
                      <c:pt idx="81">
                        <c:v>23271.212500000001</c:v>
                      </c:pt>
                      <c:pt idx="82">
                        <c:v>23271.212500000001</c:v>
                      </c:pt>
                      <c:pt idx="83">
                        <c:v>23271.212500000001</c:v>
                      </c:pt>
                      <c:pt idx="84">
                        <c:v>23271.212500000001</c:v>
                      </c:pt>
                      <c:pt idx="85">
                        <c:v>23271.212500000001</c:v>
                      </c:pt>
                      <c:pt idx="86">
                        <c:v>23271.212500000001</c:v>
                      </c:pt>
                      <c:pt idx="87">
                        <c:v>23271.212500000001</c:v>
                      </c:pt>
                      <c:pt idx="88">
                        <c:v>23271.212500000001</c:v>
                      </c:pt>
                      <c:pt idx="89">
                        <c:v>23271.212500000001</c:v>
                      </c:pt>
                      <c:pt idx="90">
                        <c:v>23271.212500000001</c:v>
                      </c:pt>
                      <c:pt idx="91">
                        <c:v>23271.212500000001</c:v>
                      </c:pt>
                      <c:pt idx="92">
                        <c:v>23271.212500000001</c:v>
                      </c:pt>
                      <c:pt idx="93">
                        <c:v>23271.212500000001</c:v>
                      </c:pt>
                      <c:pt idx="94">
                        <c:v>23271.212500000001</c:v>
                      </c:pt>
                      <c:pt idx="95">
                        <c:v>23271.212500000001</c:v>
                      </c:pt>
                      <c:pt idx="96">
                        <c:v>23271.212500000001</c:v>
                      </c:pt>
                      <c:pt idx="97">
                        <c:v>23271.212500000001</c:v>
                      </c:pt>
                      <c:pt idx="98">
                        <c:v>23271.212500000001</c:v>
                      </c:pt>
                      <c:pt idx="99">
                        <c:v>23271.212500000001</c:v>
                      </c:pt>
                      <c:pt idx="100">
                        <c:v>23271.212500000001</c:v>
                      </c:pt>
                      <c:pt idx="101">
                        <c:v>23271.212500000001</c:v>
                      </c:pt>
                      <c:pt idx="102">
                        <c:v>23271.212500000001</c:v>
                      </c:pt>
                      <c:pt idx="103">
                        <c:v>23271.212500000001</c:v>
                      </c:pt>
                      <c:pt idx="104">
                        <c:v>23271.212500000001</c:v>
                      </c:pt>
                      <c:pt idx="105">
                        <c:v>23271.212500000001</c:v>
                      </c:pt>
                      <c:pt idx="106">
                        <c:v>23271.212500000001</c:v>
                      </c:pt>
                      <c:pt idx="107">
                        <c:v>23271.212500000001</c:v>
                      </c:pt>
                      <c:pt idx="108">
                        <c:v>23271.212500000001</c:v>
                      </c:pt>
                      <c:pt idx="109">
                        <c:v>23271.212500000001</c:v>
                      </c:pt>
                      <c:pt idx="110">
                        <c:v>23271.212500000001</c:v>
                      </c:pt>
                      <c:pt idx="111">
                        <c:v>23271.212500000001</c:v>
                      </c:pt>
                      <c:pt idx="112">
                        <c:v>23271.212500000001</c:v>
                      </c:pt>
                      <c:pt idx="113">
                        <c:v>23271.212500000001</c:v>
                      </c:pt>
                      <c:pt idx="114">
                        <c:v>23271.212500000001</c:v>
                      </c:pt>
                      <c:pt idx="115">
                        <c:v>23271.212500000001</c:v>
                      </c:pt>
                      <c:pt idx="116">
                        <c:v>23159.782592592601</c:v>
                      </c:pt>
                      <c:pt idx="117">
                        <c:v>23159.782592592601</c:v>
                      </c:pt>
                      <c:pt idx="118">
                        <c:v>23159.782592592601</c:v>
                      </c:pt>
                      <c:pt idx="119">
                        <c:v>23159.782592592601</c:v>
                      </c:pt>
                      <c:pt idx="120">
                        <c:v>23159.782592592601</c:v>
                      </c:pt>
                      <c:pt idx="121">
                        <c:v>23159.782592592601</c:v>
                      </c:pt>
                      <c:pt idx="122">
                        <c:v>23159.782592592601</c:v>
                      </c:pt>
                      <c:pt idx="123">
                        <c:v>23159.782592592601</c:v>
                      </c:pt>
                      <c:pt idx="124">
                        <c:v>23159.782592592601</c:v>
                      </c:pt>
                      <c:pt idx="125">
                        <c:v>23159.782592592601</c:v>
                      </c:pt>
                      <c:pt idx="126">
                        <c:v>23159.782592592601</c:v>
                      </c:pt>
                      <c:pt idx="127">
                        <c:v>23159.782592592601</c:v>
                      </c:pt>
                      <c:pt idx="128">
                        <c:v>23159.782592592601</c:v>
                      </c:pt>
                      <c:pt idx="129">
                        <c:v>23159.782592592601</c:v>
                      </c:pt>
                      <c:pt idx="130">
                        <c:v>23159.782592592601</c:v>
                      </c:pt>
                      <c:pt idx="131">
                        <c:v>23159.782592592601</c:v>
                      </c:pt>
                      <c:pt idx="132">
                        <c:v>23159.782592592601</c:v>
                      </c:pt>
                      <c:pt idx="133">
                        <c:v>23159.782592592601</c:v>
                      </c:pt>
                      <c:pt idx="134">
                        <c:v>23159.782592592601</c:v>
                      </c:pt>
                      <c:pt idx="135">
                        <c:v>23159.782592592601</c:v>
                      </c:pt>
                      <c:pt idx="136">
                        <c:v>23159.782592592601</c:v>
                      </c:pt>
                      <c:pt idx="137">
                        <c:v>23159.782592592601</c:v>
                      </c:pt>
                      <c:pt idx="138">
                        <c:v>23159.782592592601</c:v>
                      </c:pt>
                      <c:pt idx="139">
                        <c:v>23159.782592592601</c:v>
                      </c:pt>
                      <c:pt idx="140">
                        <c:v>23159.782592592601</c:v>
                      </c:pt>
                      <c:pt idx="141">
                        <c:v>23159.782592592601</c:v>
                      </c:pt>
                      <c:pt idx="142">
                        <c:v>23159.782592592601</c:v>
                      </c:pt>
                      <c:pt idx="143">
                        <c:v>23159.782592592601</c:v>
                      </c:pt>
                      <c:pt idx="144">
                        <c:v>23159.782592592601</c:v>
                      </c:pt>
                      <c:pt idx="145">
                        <c:v>23159.782592592601</c:v>
                      </c:pt>
                      <c:pt idx="146">
                        <c:v>23159.782592592601</c:v>
                      </c:pt>
                      <c:pt idx="147">
                        <c:v>23159.782592592601</c:v>
                      </c:pt>
                      <c:pt idx="148">
                        <c:v>23159.782592592601</c:v>
                      </c:pt>
                      <c:pt idx="149">
                        <c:v>23159.782592592601</c:v>
                      </c:pt>
                      <c:pt idx="150">
                        <c:v>23159.782592592601</c:v>
                      </c:pt>
                      <c:pt idx="151">
                        <c:v>23159.782592592601</c:v>
                      </c:pt>
                      <c:pt idx="152">
                        <c:v>23159.782592592601</c:v>
                      </c:pt>
                      <c:pt idx="153">
                        <c:v>23159.782592592601</c:v>
                      </c:pt>
                      <c:pt idx="154">
                        <c:v>23159.782592592601</c:v>
                      </c:pt>
                      <c:pt idx="155">
                        <c:v>23159.782592592601</c:v>
                      </c:pt>
                      <c:pt idx="156">
                        <c:v>23159.782592592601</c:v>
                      </c:pt>
                      <c:pt idx="157">
                        <c:v>23159.782592592601</c:v>
                      </c:pt>
                      <c:pt idx="158">
                        <c:v>23159.782592592601</c:v>
                      </c:pt>
                      <c:pt idx="159">
                        <c:v>23159.782592592601</c:v>
                      </c:pt>
                      <c:pt idx="160">
                        <c:v>23159.782592592601</c:v>
                      </c:pt>
                      <c:pt idx="161">
                        <c:v>23159.782592592601</c:v>
                      </c:pt>
                      <c:pt idx="162">
                        <c:v>23159.782592592601</c:v>
                      </c:pt>
                      <c:pt idx="163">
                        <c:v>23159.782592592601</c:v>
                      </c:pt>
                      <c:pt idx="164">
                        <c:v>23159.782592592601</c:v>
                      </c:pt>
                      <c:pt idx="165">
                        <c:v>23159.782592592601</c:v>
                      </c:pt>
                      <c:pt idx="166">
                        <c:v>23159.782592592601</c:v>
                      </c:pt>
                      <c:pt idx="167">
                        <c:v>23159.782592592601</c:v>
                      </c:pt>
                      <c:pt idx="168">
                        <c:v>23159.782592592601</c:v>
                      </c:pt>
                      <c:pt idx="169">
                        <c:v>23159.782592592601</c:v>
                      </c:pt>
                      <c:pt idx="170">
                        <c:v>23159.782592592601</c:v>
                      </c:pt>
                      <c:pt idx="171">
                        <c:v>23159.782592592601</c:v>
                      </c:pt>
                      <c:pt idx="172">
                        <c:v>23159.782592592601</c:v>
                      </c:pt>
                      <c:pt idx="173">
                        <c:v>23159.782592592601</c:v>
                      </c:pt>
                      <c:pt idx="174">
                        <c:v>23208.368333333299</c:v>
                      </c:pt>
                      <c:pt idx="175">
                        <c:v>23208.368333333299</c:v>
                      </c:pt>
                      <c:pt idx="176">
                        <c:v>23208.368333333299</c:v>
                      </c:pt>
                      <c:pt idx="177">
                        <c:v>23208.368333333299</c:v>
                      </c:pt>
                      <c:pt idx="178">
                        <c:v>23208.368333333299</c:v>
                      </c:pt>
                      <c:pt idx="179">
                        <c:v>23208.368333333299</c:v>
                      </c:pt>
                      <c:pt idx="180">
                        <c:v>23208.368333333299</c:v>
                      </c:pt>
                      <c:pt idx="181">
                        <c:v>23208.368333333299</c:v>
                      </c:pt>
                      <c:pt idx="182">
                        <c:v>23208.368333333299</c:v>
                      </c:pt>
                      <c:pt idx="183">
                        <c:v>23208.368333333299</c:v>
                      </c:pt>
                      <c:pt idx="184">
                        <c:v>23208.368333333299</c:v>
                      </c:pt>
                      <c:pt idx="185">
                        <c:v>23208.368333333299</c:v>
                      </c:pt>
                      <c:pt idx="186">
                        <c:v>23208.368333333299</c:v>
                      </c:pt>
                      <c:pt idx="187">
                        <c:v>23208.368333333299</c:v>
                      </c:pt>
                      <c:pt idx="188">
                        <c:v>23208.368333333299</c:v>
                      </c:pt>
                      <c:pt idx="189">
                        <c:v>23208.368333333299</c:v>
                      </c:pt>
                      <c:pt idx="190">
                        <c:v>23208.368333333299</c:v>
                      </c:pt>
                      <c:pt idx="191">
                        <c:v>23208.368333333299</c:v>
                      </c:pt>
                      <c:pt idx="192">
                        <c:v>23208.368333333299</c:v>
                      </c:pt>
                      <c:pt idx="193">
                        <c:v>23208.368333333299</c:v>
                      </c:pt>
                      <c:pt idx="194">
                        <c:v>23208.368333333299</c:v>
                      </c:pt>
                      <c:pt idx="195">
                        <c:v>23208.368333333299</c:v>
                      </c:pt>
                      <c:pt idx="196">
                        <c:v>23208.368333333299</c:v>
                      </c:pt>
                      <c:pt idx="197">
                        <c:v>23208.368333333299</c:v>
                      </c:pt>
                      <c:pt idx="198">
                        <c:v>23208.368333333299</c:v>
                      </c:pt>
                      <c:pt idx="199">
                        <c:v>23208.368333333299</c:v>
                      </c:pt>
                      <c:pt idx="200">
                        <c:v>23208.368333333299</c:v>
                      </c:pt>
                      <c:pt idx="201">
                        <c:v>23208.368333333299</c:v>
                      </c:pt>
                      <c:pt idx="202">
                        <c:v>23208.368333333299</c:v>
                      </c:pt>
                      <c:pt idx="203">
                        <c:v>23208.368333333299</c:v>
                      </c:pt>
                      <c:pt idx="204">
                        <c:v>23208.368333333299</c:v>
                      </c:pt>
                      <c:pt idx="205">
                        <c:v>23208.368333333299</c:v>
                      </c:pt>
                      <c:pt idx="206">
                        <c:v>23208.368333333299</c:v>
                      </c:pt>
                      <c:pt idx="207">
                        <c:v>23208.368333333299</c:v>
                      </c:pt>
                      <c:pt idx="208">
                        <c:v>23208.368333333299</c:v>
                      </c:pt>
                      <c:pt idx="209">
                        <c:v>23208.368333333299</c:v>
                      </c:pt>
                      <c:pt idx="210">
                        <c:v>23208.368333333299</c:v>
                      </c:pt>
                      <c:pt idx="211">
                        <c:v>23208.368333333299</c:v>
                      </c:pt>
                      <c:pt idx="212">
                        <c:v>23208.368333333299</c:v>
                      </c:pt>
                      <c:pt idx="213">
                        <c:v>23208.368333333299</c:v>
                      </c:pt>
                      <c:pt idx="214">
                        <c:v>23208.368333333299</c:v>
                      </c:pt>
                      <c:pt idx="215">
                        <c:v>23208.368333333299</c:v>
                      </c:pt>
                      <c:pt idx="216">
                        <c:v>23208.368333333299</c:v>
                      </c:pt>
                      <c:pt idx="217">
                        <c:v>23208.368333333299</c:v>
                      </c:pt>
                      <c:pt idx="218">
                        <c:v>23208.368333333299</c:v>
                      </c:pt>
                      <c:pt idx="219">
                        <c:v>23208.368333333299</c:v>
                      </c:pt>
                      <c:pt idx="220">
                        <c:v>23208.368333333299</c:v>
                      </c:pt>
                      <c:pt idx="221">
                        <c:v>23208.368333333299</c:v>
                      </c:pt>
                      <c:pt idx="222">
                        <c:v>23208.368333333299</c:v>
                      </c:pt>
                      <c:pt idx="223">
                        <c:v>23208.368333333299</c:v>
                      </c:pt>
                      <c:pt idx="224">
                        <c:v>23208.368333333299</c:v>
                      </c:pt>
                      <c:pt idx="225">
                        <c:v>23208.368333333299</c:v>
                      </c:pt>
                      <c:pt idx="226">
                        <c:v>23208.368333333299</c:v>
                      </c:pt>
                      <c:pt idx="227">
                        <c:v>23208.368333333299</c:v>
                      </c:pt>
                      <c:pt idx="228">
                        <c:v>23208.368333333299</c:v>
                      </c:pt>
                      <c:pt idx="229">
                        <c:v>23208.368333333299</c:v>
                      </c:pt>
                      <c:pt idx="230">
                        <c:v>23208.368333333299</c:v>
                      </c:pt>
                      <c:pt idx="231">
                        <c:v>23208.368333333299</c:v>
                      </c:pt>
                      <c:pt idx="232" formatCode="General">
                        <c:v>23050.241666666701</c:v>
                      </c:pt>
                      <c:pt idx="233" formatCode="General">
                        <c:v>23050.241666666701</c:v>
                      </c:pt>
                      <c:pt idx="234" formatCode="General">
                        <c:v>23050.241666666701</c:v>
                      </c:pt>
                      <c:pt idx="235" formatCode="General">
                        <c:v>23050.241666666701</c:v>
                      </c:pt>
                      <c:pt idx="236" formatCode="General">
                        <c:v>23050.241666666701</c:v>
                      </c:pt>
                      <c:pt idx="237" formatCode="General">
                        <c:v>23050.241666666701</c:v>
                      </c:pt>
                      <c:pt idx="238" formatCode="General">
                        <c:v>23050.241666666701</c:v>
                      </c:pt>
                      <c:pt idx="239" formatCode="General">
                        <c:v>23050.241666666701</c:v>
                      </c:pt>
                      <c:pt idx="240" formatCode="General">
                        <c:v>23050.241666666701</c:v>
                      </c:pt>
                      <c:pt idx="241" formatCode="General">
                        <c:v>23050.241666666701</c:v>
                      </c:pt>
                      <c:pt idx="242" formatCode="General">
                        <c:v>23050.241666666701</c:v>
                      </c:pt>
                      <c:pt idx="243" formatCode="General">
                        <c:v>23050.241666666701</c:v>
                      </c:pt>
                      <c:pt idx="244" formatCode="General">
                        <c:v>23050.241666666701</c:v>
                      </c:pt>
                      <c:pt idx="245" formatCode="General">
                        <c:v>23050.241666666701</c:v>
                      </c:pt>
                      <c:pt idx="246" formatCode="General">
                        <c:v>23050.241666666701</c:v>
                      </c:pt>
                      <c:pt idx="247" formatCode="General">
                        <c:v>23050.241666666701</c:v>
                      </c:pt>
                      <c:pt idx="248" formatCode="General">
                        <c:v>23050.241666666701</c:v>
                      </c:pt>
                      <c:pt idx="249" formatCode="General">
                        <c:v>23050.241666666701</c:v>
                      </c:pt>
                      <c:pt idx="250" formatCode="General">
                        <c:v>23050.241666666701</c:v>
                      </c:pt>
                      <c:pt idx="251" formatCode="General">
                        <c:v>23050.241666666701</c:v>
                      </c:pt>
                      <c:pt idx="252" formatCode="General">
                        <c:v>23050.241666666701</c:v>
                      </c:pt>
                      <c:pt idx="253" formatCode="General">
                        <c:v>23050.241666666701</c:v>
                      </c:pt>
                      <c:pt idx="254" formatCode="General">
                        <c:v>23050.241666666701</c:v>
                      </c:pt>
                      <c:pt idx="255" formatCode="General">
                        <c:v>23050.241666666701</c:v>
                      </c:pt>
                      <c:pt idx="256" formatCode="General">
                        <c:v>23050.241666666701</c:v>
                      </c:pt>
                      <c:pt idx="257" formatCode="General">
                        <c:v>23050.241666666701</c:v>
                      </c:pt>
                      <c:pt idx="258" formatCode="General">
                        <c:v>23050.241666666701</c:v>
                      </c:pt>
                      <c:pt idx="259" formatCode="General">
                        <c:v>23050.241666666701</c:v>
                      </c:pt>
                      <c:pt idx="260" formatCode="General">
                        <c:v>23050.241666666701</c:v>
                      </c:pt>
                      <c:pt idx="261" formatCode="General">
                        <c:v>23050.241666666701</c:v>
                      </c:pt>
                      <c:pt idx="262" formatCode="General">
                        <c:v>23050.241666666701</c:v>
                      </c:pt>
                      <c:pt idx="263" formatCode="General">
                        <c:v>23050.241666666701</c:v>
                      </c:pt>
                      <c:pt idx="264" formatCode="General">
                        <c:v>23050.241666666701</c:v>
                      </c:pt>
                      <c:pt idx="265" formatCode="General">
                        <c:v>23050.241666666701</c:v>
                      </c:pt>
                      <c:pt idx="266" formatCode="General">
                        <c:v>23050.241666666701</c:v>
                      </c:pt>
                      <c:pt idx="267" formatCode="General">
                        <c:v>23050.241666666701</c:v>
                      </c:pt>
                      <c:pt idx="268" formatCode="General">
                        <c:v>23050.241666666701</c:v>
                      </c:pt>
                      <c:pt idx="269" formatCode="General">
                        <c:v>23050.241666666701</c:v>
                      </c:pt>
                      <c:pt idx="270" formatCode="General">
                        <c:v>23050.241666666701</c:v>
                      </c:pt>
                      <c:pt idx="271" formatCode="General">
                        <c:v>23050.241666666701</c:v>
                      </c:pt>
                      <c:pt idx="272" formatCode="General">
                        <c:v>23050.241666666701</c:v>
                      </c:pt>
                      <c:pt idx="273" formatCode="General">
                        <c:v>23050.241666666701</c:v>
                      </c:pt>
                      <c:pt idx="274" formatCode="General">
                        <c:v>23050.241666666701</c:v>
                      </c:pt>
                      <c:pt idx="275" formatCode="General">
                        <c:v>23050.241666666701</c:v>
                      </c:pt>
                      <c:pt idx="276" formatCode="General">
                        <c:v>23050.241666666701</c:v>
                      </c:pt>
                      <c:pt idx="277" formatCode="General">
                        <c:v>23050.241666666701</c:v>
                      </c:pt>
                      <c:pt idx="278" formatCode="General">
                        <c:v>23050.241666666701</c:v>
                      </c:pt>
                      <c:pt idx="279" formatCode="General">
                        <c:v>23050.241666666701</c:v>
                      </c:pt>
                      <c:pt idx="280" formatCode="General">
                        <c:v>23050.241666666701</c:v>
                      </c:pt>
                      <c:pt idx="281" formatCode="General">
                        <c:v>23050.241666666701</c:v>
                      </c:pt>
                      <c:pt idx="282" formatCode="General">
                        <c:v>23050.241666666701</c:v>
                      </c:pt>
                      <c:pt idx="283" formatCode="General">
                        <c:v>23050.241666666701</c:v>
                      </c:pt>
                      <c:pt idx="284" formatCode="General">
                        <c:v>23050.241666666701</c:v>
                      </c:pt>
                      <c:pt idx="285" formatCode="General">
                        <c:v>23050.241666666701</c:v>
                      </c:pt>
                      <c:pt idx="286" formatCode="General">
                        <c:v>23050.241666666701</c:v>
                      </c:pt>
                      <c:pt idx="287" formatCode="General">
                        <c:v>23050.241666666701</c:v>
                      </c:pt>
                      <c:pt idx="288" formatCode="General">
                        <c:v>23050.241666666701</c:v>
                      </c:pt>
                      <c:pt idx="289" formatCode="General">
                        <c:v>23050.241666666701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5C6-4E19-973B-91C5491E876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(2)'!$O$1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(2)'!$O$2:$O$311</c15:sqref>
                        </c15:formulaRef>
                      </c:ext>
                    </c:extLst>
                    <c:numCache>
                      <c:formatCode>0</c:formatCode>
                      <c:ptCount val="290"/>
                      <c:pt idx="0">
                        <c:v>45</c:v>
                      </c:pt>
                      <c:pt idx="1">
                        <c:v>29</c:v>
                      </c:pt>
                      <c:pt idx="2">
                        <c:v>49</c:v>
                      </c:pt>
                      <c:pt idx="3">
                        <c:v>47</c:v>
                      </c:pt>
                      <c:pt idx="4">
                        <c:v>21</c:v>
                      </c:pt>
                      <c:pt idx="5">
                        <c:v>18</c:v>
                      </c:pt>
                      <c:pt idx="6">
                        <c:v>31</c:v>
                      </c:pt>
                      <c:pt idx="7">
                        <c:v>27</c:v>
                      </c:pt>
                      <c:pt idx="8">
                        <c:v>7</c:v>
                      </c:pt>
                      <c:pt idx="9">
                        <c:v>25</c:v>
                      </c:pt>
                      <c:pt idx="10">
                        <c:v>134</c:v>
                      </c:pt>
                      <c:pt idx="11">
                        <c:v>9</c:v>
                      </c:pt>
                      <c:pt idx="12">
                        <c:v>32</c:v>
                      </c:pt>
                      <c:pt idx="13">
                        <c:v>47</c:v>
                      </c:pt>
                      <c:pt idx="14">
                        <c:v>48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28</c:v>
                      </c:pt>
                      <c:pt idx="18">
                        <c:v>51</c:v>
                      </c:pt>
                      <c:pt idx="19">
                        <c:v>49</c:v>
                      </c:pt>
                      <c:pt idx="20">
                        <c:v>31</c:v>
                      </c:pt>
                      <c:pt idx="21">
                        <c:v>28</c:v>
                      </c:pt>
                      <c:pt idx="22">
                        <c:v>33</c:v>
                      </c:pt>
                      <c:pt idx="23">
                        <c:v>42</c:v>
                      </c:pt>
                      <c:pt idx="24">
                        <c:v>48</c:v>
                      </c:pt>
                      <c:pt idx="25">
                        <c:v>31</c:v>
                      </c:pt>
                      <c:pt idx="26">
                        <c:v>32</c:v>
                      </c:pt>
                      <c:pt idx="27">
                        <c:v>16</c:v>
                      </c:pt>
                      <c:pt idx="28">
                        <c:v>9</c:v>
                      </c:pt>
                      <c:pt idx="29">
                        <c:v>62</c:v>
                      </c:pt>
                      <c:pt idx="30">
                        <c:v>26</c:v>
                      </c:pt>
                      <c:pt idx="31">
                        <c:v>21</c:v>
                      </c:pt>
                      <c:pt idx="32">
                        <c:v>31</c:v>
                      </c:pt>
                      <c:pt idx="33">
                        <c:v>23</c:v>
                      </c:pt>
                      <c:pt idx="34">
                        <c:v>39</c:v>
                      </c:pt>
                      <c:pt idx="35">
                        <c:v>52</c:v>
                      </c:pt>
                      <c:pt idx="36">
                        <c:v>44</c:v>
                      </c:pt>
                      <c:pt idx="37">
                        <c:v>66</c:v>
                      </c:pt>
                      <c:pt idx="38">
                        <c:v>20</c:v>
                      </c:pt>
                      <c:pt idx="39">
                        <c:v>29</c:v>
                      </c:pt>
                      <c:pt idx="40">
                        <c:v>31</c:v>
                      </c:pt>
                      <c:pt idx="41">
                        <c:v>56</c:v>
                      </c:pt>
                      <c:pt idx="42">
                        <c:v>26</c:v>
                      </c:pt>
                      <c:pt idx="43">
                        <c:v>36</c:v>
                      </c:pt>
                      <c:pt idx="44">
                        <c:v>20</c:v>
                      </c:pt>
                      <c:pt idx="45">
                        <c:v>21</c:v>
                      </c:pt>
                      <c:pt idx="46">
                        <c:v>29</c:v>
                      </c:pt>
                      <c:pt idx="47">
                        <c:v>16</c:v>
                      </c:pt>
                      <c:pt idx="48">
                        <c:v>64</c:v>
                      </c:pt>
                      <c:pt idx="49">
                        <c:v>48</c:v>
                      </c:pt>
                      <c:pt idx="50">
                        <c:v>24</c:v>
                      </c:pt>
                      <c:pt idx="51">
                        <c:v>42</c:v>
                      </c:pt>
                      <c:pt idx="52">
                        <c:v>48</c:v>
                      </c:pt>
                      <c:pt idx="53">
                        <c:v>43</c:v>
                      </c:pt>
                      <c:pt idx="54">
                        <c:v>48</c:v>
                      </c:pt>
                      <c:pt idx="55">
                        <c:v>64</c:v>
                      </c:pt>
                      <c:pt idx="56">
                        <c:v>27</c:v>
                      </c:pt>
                      <c:pt idx="57">
                        <c:v>48</c:v>
                      </c:pt>
                      <c:pt idx="58">
                        <c:v>44</c:v>
                      </c:pt>
                      <c:pt idx="59">
                        <c:v>28</c:v>
                      </c:pt>
                      <c:pt idx="60">
                        <c:v>48</c:v>
                      </c:pt>
                      <c:pt idx="61">
                        <c:v>46</c:v>
                      </c:pt>
                      <c:pt idx="62">
                        <c:v>20</c:v>
                      </c:pt>
                      <c:pt idx="63">
                        <c:v>17</c:v>
                      </c:pt>
                      <c:pt idx="64">
                        <c:v>30</c:v>
                      </c:pt>
                      <c:pt idx="65">
                        <c:v>26</c:v>
                      </c:pt>
                      <c:pt idx="66">
                        <c:v>6</c:v>
                      </c:pt>
                      <c:pt idx="67">
                        <c:v>24</c:v>
                      </c:pt>
                      <c:pt idx="68">
                        <c:v>133</c:v>
                      </c:pt>
                      <c:pt idx="69">
                        <c:v>8</c:v>
                      </c:pt>
                      <c:pt idx="70">
                        <c:v>31</c:v>
                      </c:pt>
                      <c:pt idx="71">
                        <c:v>46</c:v>
                      </c:pt>
                      <c:pt idx="72">
                        <c:v>47</c:v>
                      </c:pt>
                      <c:pt idx="73">
                        <c:v>14</c:v>
                      </c:pt>
                      <c:pt idx="74">
                        <c:v>15</c:v>
                      </c:pt>
                      <c:pt idx="75">
                        <c:v>27</c:v>
                      </c:pt>
                      <c:pt idx="76">
                        <c:v>50</c:v>
                      </c:pt>
                      <c:pt idx="77">
                        <c:v>48</c:v>
                      </c:pt>
                      <c:pt idx="78">
                        <c:v>30</c:v>
                      </c:pt>
                      <c:pt idx="79">
                        <c:v>27</c:v>
                      </c:pt>
                      <c:pt idx="80">
                        <c:v>32</c:v>
                      </c:pt>
                      <c:pt idx="81">
                        <c:v>41</c:v>
                      </c:pt>
                      <c:pt idx="82">
                        <c:v>47</c:v>
                      </c:pt>
                      <c:pt idx="83">
                        <c:v>30</c:v>
                      </c:pt>
                      <c:pt idx="84">
                        <c:v>31</c:v>
                      </c:pt>
                      <c:pt idx="85">
                        <c:v>15</c:v>
                      </c:pt>
                      <c:pt idx="86">
                        <c:v>8</c:v>
                      </c:pt>
                      <c:pt idx="87">
                        <c:v>61</c:v>
                      </c:pt>
                      <c:pt idx="88">
                        <c:v>25</c:v>
                      </c:pt>
                      <c:pt idx="89">
                        <c:v>20</c:v>
                      </c:pt>
                      <c:pt idx="90">
                        <c:v>30</c:v>
                      </c:pt>
                      <c:pt idx="91">
                        <c:v>22</c:v>
                      </c:pt>
                      <c:pt idx="92">
                        <c:v>38</c:v>
                      </c:pt>
                      <c:pt idx="93">
                        <c:v>51</c:v>
                      </c:pt>
                      <c:pt idx="94">
                        <c:v>43</c:v>
                      </c:pt>
                      <c:pt idx="95">
                        <c:v>65</c:v>
                      </c:pt>
                      <c:pt idx="96">
                        <c:v>19</c:v>
                      </c:pt>
                      <c:pt idx="97">
                        <c:v>28</c:v>
                      </c:pt>
                      <c:pt idx="98">
                        <c:v>30</c:v>
                      </c:pt>
                      <c:pt idx="99">
                        <c:v>55</c:v>
                      </c:pt>
                      <c:pt idx="100">
                        <c:v>25</c:v>
                      </c:pt>
                      <c:pt idx="101">
                        <c:v>35</c:v>
                      </c:pt>
                      <c:pt idx="102">
                        <c:v>19</c:v>
                      </c:pt>
                      <c:pt idx="103">
                        <c:v>20</c:v>
                      </c:pt>
                      <c:pt idx="104">
                        <c:v>28</c:v>
                      </c:pt>
                      <c:pt idx="105">
                        <c:v>15</c:v>
                      </c:pt>
                      <c:pt idx="106">
                        <c:v>63</c:v>
                      </c:pt>
                      <c:pt idx="107">
                        <c:v>47</c:v>
                      </c:pt>
                      <c:pt idx="108">
                        <c:v>23</c:v>
                      </c:pt>
                      <c:pt idx="109">
                        <c:v>41</c:v>
                      </c:pt>
                      <c:pt idx="110">
                        <c:v>47</c:v>
                      </c:pt>
                      <c:pt idx="111">
                        <c:v>42</c:v>
                      </c:pt>
                      <c:pt idx="112">
                        <c:v>47</c:v>
                      </c:pt>
                      <c:pt idx="113">
                        <c:v>63</c:v>
                      </c:pt>
                      <c:pt idx="114">
                        <c:v>26</c:v>
                      </c:pt>
                      <c:pt idx="115">
                        <c:v>47</c:v>
                      </c:pt>
                      <c:pt idx="116">
                        <c:v>43</c:v>
                      </c:pt>
                      <c:pt idx="117">
                        <c:v>27</c:v>
                      </c:pt>
                      <c:pt idx="118">
                        <c:v>47</c:v>
                      </c:pt>
                      <c:pt idx="119">
                        <c:v>45</c:v>
                      </c:pt>
                      <c:pt idx="120">
                        <c:v>19</c:v>
                      </c:pt>
                      <c:pt idx="121">
                        <c:v>16</c:v>
                      </c:pt>
                      <c:pt idx="122">
                        <c:v>29</c:v>
                      </c:pt>
                      <c:pt idx="123">
                        <c:v>25</c:v>
                      </c:pt>
                      <c:pt idx="124">
                        <c:v>5</c:v>
                      </c:pt>
                      <c:pt idx="125">
                        <c:v>23</c:v>
                      </c:pt>
                      <c:pt idx="126">
                        <c:v>132</c:v>
                      </c:pt>
                      <c:pt idx="127">
                        <c:v>7</c:v>
                      </c:pt>
                      <c:pt idx="128">
                        <c:v>30</c:v>
                      </c:pt>
                      <c:pt idx="129">
                        <c:v>45</c:v>
                      </c:pt>
                      <c:pt idx="130">
                        <c:v>46</c:v>
                      </c:pt>
                      <c:pt idx="131">
                        <c:v>13</c:v>
                      </c:pt>
                      <c:pt idx="132">
                        <c:v>14</c:v>
                      </c:pt>
                      <c:pt idx="133">
                        <c:v>26</c:v>
                      </c:pt>
                      <c:pt idx="134">
                        <c:v>49</c:v>
                      </c:pt>
                      <c:pt idx="135">
                        <c:v>47</c:v>
                      </c:pt>
                      <c:pt idx="136">
                        <c:v>29</c:v>
                      </c:pt>
                      <c:pt idx="137">
                        <c:v>26</c:v>
                      </c:pt>
                      <c:pt idx="138">
                        <c:v>31</c:v>
                      </c:pt>
                      <c:pt idx="139">
                        <c:v>40</c:v>
                      </c:pt>
                      <c:pt idx="140">
                        <c:v>46</c:v>
                      </c:pt>
                      <c:pt idx="141">
                        <c:v>29</c:v>
                      </c:pt>
                      <c:pt idx="142">
                        <c:v>30</c:v>
                      </c:pt>
                      <c:pt idx="143">
                        <c:v>14</c:v>
                      </c:pt>
                      <c:pt idx="144">
                        <c:v>7</c:v>
                      </c:pt>
                      <c:pt idx="145">
                        <c:v>60</c:v>
                      </c:pt>
                      <c:pt idx="146">
                        <c:v>24</c:v>
                      </c:pt>
                      <c:pt idx="147">
                        <c:v>19</c:v>
                      </c:pt>
                      <c:pt idx="148">
                        <c:v>29</c:v>
                      </c:pt>
                      <c:pt idx="149">
                        <c:v>21</c:v>
                      </c:pt>
                      <c:pt idx="150">
                        <c:v>37</c:v>
                      </c:pt>
                      <c:pt idx="151">
                        <c:v>50</c:v>
                      </c:pt>
                      <c:pt idx="152">
                        <c:v>42</c:v>
                      </c:pt>
                      <c:pt idx="153">
                        <c:v>64</c:v>
                      </c:pt>
                      <c:pt idx="154">
                        <c:v>18</c:v>
                      </c:pt>
                      <c:pt idx="155">
                        <c:v>27</c:v>
                      </c:pt>
                      <c:pt idx="156">
                        <c:v>29</c:v>
                      </c:pt>
                      <c:pt idx="157">
                        <c:v>54</c:v>
                      </c:pt>
                      <c:pt idx="158">
                        <c:v>24</c:v>
                      </c:pt>
                      <c:pt idx="159">
                        <c:v>34</c:v>
                      </c:pt>
                      <c:pt idx="160">
                        <c:v>18</c:v>
                      </c:pt>
                      <c:pt idx="161">
                        <c:v>19</c:v>
                      </c:pt>
                      <c:pt idx="162">
                        <c:v>27</c:v>
                      </c:pt>
                      <c:pt idx="163">
                        <c:v>14</c:v>
                      </c:pt>
                      <c:pt idx="164">
                        <c:v>62</c:v>
                      </c:pt>
                      <c:pt idx="165">
                        <c:v>46</c:v>
                      </c:pt>
                      <c:pt idx="166">
                        <c:v>22</c:v>
                      </c:pt>
                      <c:pt idx="167">
                        <c:v>40</c:v>
                      </c:pt>
                      <c:pt idx="168">
                        <c:v>46</c:v>
                      </c:pt>
                      <c:pt idx="169">
                        <c:v>41</c:v>
                      </c:pt>
                      <c:pt idx="170">
                        <c:v>46</c:v>
                      </c:pt>
                      <c:pt idx="171">
                        <c:v>62</c:v>
                      </c:pt>
                      <c:pt idx="172">
                        <c:v>25</c:v>
                      </c:pt>
                      <c:pt idx="173">
                        <c:v>46</c:v>
                      </c:pt>
                      <c:pt idx="174">
                        <c:v>42</c:v>
                      </c:pt>
                      <c:pt idx="175">
                        <c:v>26</c:v>
                      </c:pt>
                      <c:pt idx="176">
                        <c:v>46</c:v>
                      </c:pt>
                      <c:pt idx="177">
                        <c:v>44</c:v>
                      </c:pt>
                      <c:pt idx="178">
                        <c:v>18</c:v>
                      </c:pt>
                      <c:pt idx="179">
                        <c:v>15</c:v>
                      </c:pt>
                      <c:pt idx="180">
                        <c:v>28</c:v>
                      </c:pt>
                      <c:pt idx="181">
                        <c:v>24</c:v>
                      </c:pt>
                      <c:pt idx="182">
                        <c:v>4</c:v>
                      </c:pt>
                      <c:pt idx="183">
                        <c:v>22</c:v>
                      </c:pt>
                      <c:pt idx="184">
                        <c:v>131</c:v>
                      </c:pt>
                      <c:pt idx="185">
                        <c:v>6</c:v>
                      </c:pt>
                      <c:pt idx="186">
                        <c:v>29</c:v>
                      </c:pt>
                      <c:pt idx="187">
                        <c:v>44</c:v>
                      </c:pt>
                      <c:pt idx="188">
                        <c:v>45</c:v>
                      </c:pt>
                      <c:pt idx="189">
                        <c:v>12</c:v>
                      </c:pt>
                      <c:pt idx="190">
                        <c:v>13</c:v>
                      </c:pt>
                      <c:pt idx="191">
                        <c:v>25</c:v>
                      </c:pt>
                      <c:pt idx="192">
                        <c:v>48</c:v>
                      </c:pt>
                      <c:pt idx="193">
                        <c:v>46</c:v>
                      </c:pt>
                      <c:pt idx="194">
                        <c:v>28</c:v>
                      </c:pt>
                      <c:pt idx="195">
                        <c:v>25</c:v>
                      </c:pt>
                      <c:pt idx="196">
                        <c:v>30</c:v>
                      </c:pt>
                      <c:pt idx="197">
                        <c:v>39</c:v>
                      </c:pt>
                      <c:pt idx="198">
                        <c:v>45</c:v>
                      </c:pt>
                      <c:pt idx="199">
                        <c:v>28</c:v>
                      </c:pt>
                      <c:pt idx="200">
                        <c:v>29</c:v>
                      </c:pt>
                      <c:pt idx="201">
                        <c:v>13</c:v>
                      </c:pt>
                      <c:pt idx="202">
                        <c:v>6</c:v>
                      </c:pt>
                      <c:pt idx="203">
                        <c:v>59</c:v>
                      </c:pt>
                      <c:pt idx="204">
                        <c:v>23</c:v>
                      </c:pt>
                      <c:pt idx="205">
                        <c:v>18</c:v>
                      </c:pt>
                      <c:pt idx="206">
                        <c:v>28</c:v>
                      </c:pt>
                      <c:pt idx="207">
                        <c:v>20</c:v>
                      </c:pt>
                      <c:pt idx="208">
                        <c:v>36</c:v>
                      </c:pt>
                      <c:pt idx="209">
                        <c:v>49</c:v>
                      </c:pt>
                      <c:pt idx="210">
                        <c:v>41</c:v>
                      </c:pt>
                      <c:pt idx="211">
                        <c:v>63</c:v>
                      </c:pt>
                      <c:pt idx="212">
                        <c:v>17</c:v>
                      </c:pt>
                      <c:pt idx="213">
                        <c:v>26</c:v>
                      </c:pt>
                      <c:pt idx="214">
                        <c:v>28</c:v>
                      </c:pt>
                      <c:pt idx="215">
                        <c:v>53</c:v>
                      </c:pt>
                      <c:pt idx="216">
                        <c:v>23</c:v>
                      </c:pt>
                      <c:pt idx="217">
                        <c:v>33</c:v>
                      </c:pt>
                      <c:pt idx="218">
                        <c:v>17</c:v>
                      </c:pt>
                      <c:pt idx="219">
                        <c:v>18</c:v>
                      </c:pt>
                      <c:pt idx="220">
                        <c:v>26</c:v>
                      </c:pt>
                      <c:pt idx="221">
                        <c:v>13</c:v>
                      </c:pt>
                      <c:pt idx="222">
                        <c:v>61</c:v>
                      </c:pt>
                      <c:pt idx="223">
                        <c:v>45</c:v>
                      </c:pt>
                      <c:pt idx="224">
                        <c:v>21</c:v>
                      </c:pt>
                      <c:pt idx="225">
                        <c:v>39</c:v>
                      </c:pt>
                      <c:pt idx="226">
                        <c:v>45</c:v>
                      </c:pt>
                      <c:pt idx="227">
                        <c:v>40</c:v>
                      </c:pt>
                      <c:pt idx="228">
                        <c:v>45</c:v>
                      </c:pt>
                      <c:pt idx="229">
                        <c:v>61</c:v>
                      </c:pt>
                      <c:pt idx="230">
                        <c:v>24</c:v>
                      </c:pt>
                      <c:pt idx="231">
                        <c:v>45</c:v>
                      </c:pt>
                      <c:pt idx="232">
                        <c:v>41</c:v>
                      </c:pt>
                      <c:pt idx="233">
                        <c:v>25</c:v>
                      </c:pt>
                      <c:pt idx="234">
                        <c:v>45</c:v>
                      </c:pt>
                      <c:pt idx="235">
                        <c:v>43</c:v>
                      </c:pt>
                      <c:pt idx="236">
                        <c:v>17</c:v>
                      </c:pt>
                      <c:pt idx="237">
                        <c:v>14</c:v>
                      </c:pt>
                      <c:pt idx="238">
                        <c:v>27</c:v>
                      </c:pt>
                      <c:pt idx="239">
                        <c:v>23</c:v>
                      </c:pt>
                      <c:pt idx="240">
                        <c:v>3</c:v>
                      </c:pt>
                      <c:pt idx="241">
                        <c:v>21</c:v>
                      </c:pt>
                      <c:pt idx="242">
                        <c:v>130</c:v>
                      </c:pt>
                      <c:pt idx="243">
                        <c:v>5</c:v>
                      </c:pt>
                      <c:pt idx="244">
                        <c:v>28</c:v>
                      </c:pt>
                      <c:pt idx="245">
                        <c:v>43</c:v>
                      </c:pt>
                      <c:pt idx="246">
                        <c:v>44</c:v>
                      </c:pt>
                      <c:pt idx="247">
                        <c:v>11</c:v>
                      </c:pt>
                      <c:pt idx="248">
                        <c:v>12</c:v>
                      </c:pt>
                      <c:pt idx="249">
                        <c:v>24</c:v>
                      </c:pt>
                      <c:pt idx="250">
                        <c:v>47</c:v>
                      </c:pt>
                      <c:pt idx="251">
                        <c:v>45</c:v>
                      </c:pt>
                      <c:pt idx="252">
                        <c:v>27</c:v>
                      </c:pt>
                      <c:pt idx="253">
                        <c:v>24</c:v>
                      </c:pt>
                      <c:pt idx="254">
                        <c:v>29</c:v>
                      </c:pt>
                      <c:pt idx="255">
                        <c:v>38</c:v>
                      </c:pt>
                      <c:pt idx="256">
                        <c:v>44</c:v>
                      </c:pt>
                      <c:pt idx="257">
                        <c:v>27</c:v>
                      </c:pt>
                      <c:pt idx="258">
                        <c:v>28</c:v>
                      </c:pt>
                      <c:pt idx="259">
                        <c:v>12</c:v>
                      </c:pt>
                      <c:pt idx="260">
                        <c:v>5</c:v>
                      </c:pt>
                      <c:pt idx="261">
                        <c:v>58</c:v>
                      </c:pt>
                      <c:pt idx="262">
                        <c:v>22</c:v>
                      </c:pt>
                      <c:pt idx="263">
                        <c:v>17</c:v>
                      </c:pt>
                      <c:pt idx="264">
                        <c:v>27</c:v>
                      </c:pt>
                      <c:pt idx="265">
                        <c:v>19</c:v>
                      </c:pt>
                      <c:pt idx="266">
                        <c:v>35</c:v>
                      </c:pt>
                      <c:pt idx="267">
                        <c:v>48</c:v>
                      </c:pt>
                      <c:pt idx="268">
                        <c:v>40</c:v>
                      </c:pt>
                      <c:pt idx="269">
                        <c:v>62</c:v>
                      </c:pt>
                      <c:pt idx="270">
                        <c:v>16</c:v>
                      </c:pt>
                      <c:pt idx="271">
                        <c:v>25</c:v>
                      </c:pt>
                      <c:pt idx="272">
                        <c:v>27</c:v>
                      </c:pt>
                      <c:pt idx="273">
                        <c:v>52</c:v>
                      </c:pt>
                      <c:pt idx="274">
                        <c:v>22</c:v>
                      </c:pt>
                      <c:pt idx="275">
                        <c:v>32</c:v>
                      </c:pt>
                      <c:pt idx="276">
                        <c:v>16</c:v>
                      </c:pt>
                      <c:pt idx="277">
                        <c:v>17</c:v>
                      </c:pt>
                      <c:pt idx="278">
                        <c:v>25</c:v>
                      </c:pt>
                      <c:pt idx="279">
                        <c:v>12</c:v>
                      </c:pt>
                      <c:pt idx="280">
                        <c:v>60</c:v>
                      </c:pt>
                      <c:pt idx="281">
                        <c:v>44</c:v>
                      </c:pt>
                      <c:pt idx="282">
                        <c:v>20</c:v>
                      </c:pt>
                      <c:pt idx="283">
                        <c:v>38</c:v>
                      </c:pt>
                      <c:pt idx="284">
                        <c:v>44</c:v>
                      </c:pt>
                      <c:pt idx="285">
                        <c:v>39</c:v>
                      </c:pt>
                      <c:pt idx="286">
                        <c:v>44</c:v>
                      </c:pt>
                      <c:pt idx="287">
                        <c:v>60</c:v>
                      </c:pt>
                      <c:pt idx="288">
                        <c:v>23</c:v>
                      </c:pt>
                      <c:pt idx="289">
                        <c:v>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5C6-4E19-973B-91C5491E876C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(2)'!$P$1</c15:sqref>
                        </c15:formulaRef>
                      </c:ext>
                    </c:extLst>
                    <c:strCache>
                      <c:ptCount val="1"/>
                      <c:pt idx="0">
                        <c:v>Năm thành lập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(2)'!$P$2:$P$311</c15:sqref>
                        </c15:formulaRef>
                      </c:ext>
                    </c:extLst>
                    <c:numCache>
                      <c:formatCode>0</c:formatCode>
                      <c:ptCount val="290"/>
                      <c:pt idx="0">
                        <c:v>1979</c:v>
                      </c:pt>
                      <c:pt idx="1">
                        <c:v>1995</c:v>
                      </c:pt>
                      <c:pt idx="2">
                        <c:v>1975</c:v>
                      </c:pt>
                      <c:pt idx="3">
                        <c:v>1977</c:v>
                      </c:pt>
                      <c:pt idx="4">
                        <c:v>2003</c:v>
                      </c:pt>
                      <c:pt idx="5">
                        <c:v>2006</c:v>
                      </c:pt>
                      <c:pt idx="6">
                        <c:v>1993</c:v>
                      </c:pt>
                      <c:pt idx="7">
                        <c:v>1997</c:v>
                      </c:pt>
                      <c:pt idx="8">
                        <c:v>2017</c:v>
                      </c:pt>
                      <c:pt idx="9">
                        <c:v>1999</c:v>
                      </c:pt>
                      <c:pt idx="10">
                        <c:v>1890</c:v>
                      </c:pt>
                      <c:pt idx="11">
                        <c:v>2015</c:v>
                      </c:pt>
                      <c:pt idx="12">
                        <c:v>1992</c:v>
                      </c:pt>
                      <c:pt idx="13">
                        <c:v>1977</c:v>
                      </c:pt>
                      <c:pt idx="14">
                        <c:v>1976</c:v>
                      </c:pt>
                      <c:pt idx="15">
                        <c:v>2009</c:v>
                      </c:pt>
                      <c:pt idx="16">
                        <c:v>2008</c:v>
                      </c:pt>
                      <c:pt idx="17">
                        <c:v>1996</c:v>
                      </c:pt>
                      <c:pt idx="18">
                        <c:v>1973</c:v>
                      </c:pt>
                      <c:pt idx="19">
                        <c:v>1975</c:v>
                      </c:pt>
                      <c:pt idx="20">
                        <c:v>1993</c:v>
                      </c:pt>
                      <c:pt idx="21">
                        <c:v>1996</c:v>
                      </c:pt>
                      <c:pt idx="22">
                        <c:v>1991</c:v>
                      </c:pt>
                      <c:pt idx="23">
                        <c:v>1982</c:v>
                      </c:pt>
                      <c:pt idx="24">
                        <c:v>1976</c:v>
                      </c:pt>
                      <c:pt idx="25">
                        <c:v>1993</c:v>
                      </c:pt>
                      <c:pt idx="26">
                        <c:v>1992</c:v>
                      </c:pt>
                      <c:pt idx="27">
                        <c:v>2008</c:v>
                      </c:pt>
                      <c:pt idx="28">
                        <c:v>2015</c:v>
                      </c:pt>
                      <c:pt idx="29">
                        <c:v>1962</c:v>
                      </c:pt>
                      <c:pt idx="30">
                        <c:v>1998</c:v>
                      </c:pt>
                      <c:pt idx="31">
                        <c:v>2003</c:v>
                      </c:pt>
                      <c:pt idx="32">
                        <c:v>1993</c:v>
                      </c:pt>
                      <c:pt idx="33">
                        <c:v>2001</c:v>
                      </c:pt>
                      <c:pt idx="34">
                        <c:v>1985</c:v>
                      </c:pt>
                      <c:pt idx="35">
                        <c:v>1972</c:v>
                      </c:pt>
                      <c:pt idx="36">
                        <c:v>1980</c:v>
                      </c:pt>
                      <c:pt idx="37">
                        <c:v>1958</c:v>
                      </c:pt>
                      <c:pt idx="38">
                        <c:v>2004</c:v>
                      </c:pt>
                      <c:pt idx="39">
                        <c:v>1995</c:v>
                      </c:pt>
                      <c:pt idx="40">
                        <c:v>1993</c:v>
                      </c:pt>
                      <c:pt idx="41">
                        <c:v>1968</c:v>
                      </c:pt>
                      <c:pt idx="42">
                        <c:v>1998</c:v>
                      </c:pt>
                      <c:pt idx="43">
                        <c:v>1988</c:v>
                      </c:pt>
                      <c:pt idx="44">
                        <c:v>2004</c:v>
                      </c:pt>
                      <c:pt idx="45">
                        <c:v>2003</c:v>
                      </c:pt>
                      <c:pt idx="46">
                        <c:v>1995</c:v>
                      </c:pt>
                      <c:pt idx="47">
                        <c:v>2008</c:v>
                      </c:pt>
                      <c:pt idx="48">
                        <c:v>1960</c:v>
                      </c:pt>
                      <c:pt idx="49">
                        <c:v>1976</c:v>
                      </c:pt>
                      <c:pt idx="50">
                        <c:v>2000</c:v>
                      </c:pt>
                      <c:pt idx="51">
                        <c:v>1982</c:v>
                      </c:pt>
                      <c:pt idx="52">
                        <c:v>1976</c:v>
                      </c:pt>
                      <c:pt idx="53">
                        <c:v>1981</c:v>
                      </c:pt>
                      <c:pt idx="54">
                        <c:v>1976</c:v>
                      </c:pt>
                      <c:pt idx="55">
                        <c:v>1960</c:v>
                      </c:pt>
                      <c:pt idx="56">
                        <c:v>1997</c:v>
                      </c:pt>
                      <c:pt idx="57">
                        <c:v>1976</c:v>
                      </c:pt>
                      <c:pt idx="58">
                        <c:v>1979</c:v>
                      </c:pt>
                      <c:pt idx="59">
                        <c:v>1995</c:v>
                      </c:pt>
                      <c:pt idx="60">
                        <c:v>1975</c:v>
                      </c:pt>
                      <c:pt idx="61">
                        <c:v>1977</c:v>
                      </c:pt>
                      <c:pt idx="62">
                        <c:v>2003</c:v>
                      </c:pt>
                      <c:pt idx="63">
                        <c:v>2006</c:v>
                      </c:pt>
                      <c:pt idx="64">
                        <c:v>1993</c:v>
                      </c:pt>
                      <c:pt idx="65">
                        <c:v>1997</c:v>
                      </c:pt>
                      <c:pt idx="66">
                        <c:v>2017</c:v>
                      </c:pt>
                      <c:pt idx="67">
                        <c:v>1999</c:v>
                      </c:pt>
                      <c:pt idx="68">
                        <c:v>1890</c:v>
                      </c:pt>
                      <c:pt idx="69">
                        <c:v>2015</c:v>
                      </c:pt>
                      <c:pt idx="70">
                        <c:v>1992</c:v>
                      </c:pt>
                      <c:pt idx="71">
                        <c:v>1977</c:v>
                      </c:pt>
                      <c:pt idx="72">
                        <c:v>1976</c:v>
                      </c:pt>
                      <c:pt idx="73">
                        <c:v>2009</c:v>
                      </c:pt>
                      <c:pt idx="74">
                        <c:v>2008</c:v>
                      </c:pt>
                      <c:pt idx="75">
                        <c:v>1996</c:v>
                      </c:pt>
                      <c:pt idx="76">
                        <c:v>1973</c:v>
                      </c:pt>
                      <c:pt idx="77">
                        <c:v>1975</c:v>
                      </c:pt>
                      <c:pt idx="78">
                        <c:v>1993</c:v>
                      </c:pt>
                      <c:pt idx="79">
                        <c:v>1996</c:v>
                      </c:pt>
                      <c:pt idx="80">
                        <c:v>1991</c:v>
                      </c:pt>
                      <c:pt idx="81">
                        <c:v>1982</c:v>
                      </c:pt>
                      <c:pt idx="82">
                        <c:v>1976</c:v>
                      </c:pt>
                      <c:pt idx="83">
                        <c:v>1993</c:v>
                      </c:pt>
                      <c:pt idx="84">
                        <c:v>1992</c:v>
                      </c:pt>
                      <c:pt idx="85">
                        <c:v>2008</c:v>
                      </c:pt>
                      <c:pt idx="86">
                        <c:v>2015</c:v>
                      </c:pt>
                      <c:pt idx="87">
                        <c:v>1962</c:v>
                      </c:pt>
                      <c:pt idx="88">
                        <c:v>1998</c:v>
                      </c:pt>
                      <c:pt idx="89">
                        <c:v>2003</c:v>
                      </c:pt>
                      <c:pt idx="90">
                        <c:v>1993</c:v>
                      </c:pt>
                      <c:pt idx="91">
                        <c:v>2001</c:v>
                      </c:pt>
                      <c:pt idx="92">
                        <c:v>1985</c:v>
                      </c:pt>
                      <c:pt idx="93">
                        <c:v>1972</c:v>
                      </c:pt>
                      <c:pt idx="94">
                        <c:v>1980</c:v>
                      </c:pt>
                      <c:pt idx="95">
                        <c:v>1958</c:v>
                      </c:pt>
                      <c:pt idx="96">
                        <c:v>2004</c:v>
                      </c:pt>
                      <c:pt idx="97">
                        <c:v>1995</c:v>
                      </c:pt>
                      <c:pt idx="98">
                        <c:v>1993</c:v>
                      </c:pt>
                      <c:pt idx="99">
                        <c:v>1968</c:v>
                      </c:pt>
                      <c:pt idx="100">
                        <c:v>1998</c:v>
                      </c:pt>
                      <c:pt idx="101">
                        <c:v>1988</c:v>
                      </c:pt>
                      <c:pt idx="102">
                        <c:v>2004</c:v>
                      </c:pt>
                      <c:pt idx="103">
                        <c:v>2003</c:v>
                      </c:pt>
                      <c:pt idx="104">
                        <c:v>1995</c:v>
                      </c:pt>
                      <c:pt idx="105">
                        <c:v>2008</c:v>
                      </c:pt>
                      <c:pt idx="106">
                        <c:v>1960</c:v>
                      </c:pt>
                      <c:pt idx="107">
                        <c:v>1976</c:v>
                      </c:pt>
                      <c:pt idx="108">
                        <c:v>2000</c:v>
                      </c:pt>
                      <c:pt idx="109">
                        <c:v>1982</c:v>
                      </c:pt>
                      <c:pt idx="110">
                        <c:v>1976</c:v>
                      </c:pt>
                      <c:pt idx="111">
                        <c:v>1981</c:v>
                      </c:pt>
                      <c:pt idx="112">
                        <c:v>1976</c:v>
                      </c:pt>
                      <c:pt idx="113">
                        <c:v>1960</c:v>
                      </c:pt>
                      <c:pt idx="114">
                        <c:v>1997</c:v>
                      </c:pt>
                      <c:pt idx="115">
                        <c:v>1976</c:v>
                      </c:pt>
                      <c:pt idx="116">
                        <c:v>1979</c:v>
                      </c:pt>
                      <c:pt idx="117">
                        <c:v>1995</c:v>
                      </c:pt>
                      <c:pt idx="118">
                        <c:v>1975</c:v>
                      </c:pt>
                      <c:pt idx="119">
                        <c:v>1977</c:v>
                      </c:pt>
                      <c:pt idx="120">
                        <c:v>2003</c:v>
                      </c:pt>
                      <c:pt idx="121">
                        <c:v>2006</c:v>
                      </c:pt>
                      <c:pt idx="122">
                        <c:v>1993</c:v>
                      </c:pt>
                      <c:pt idx="123">
                        <c:v>1997</c:v>
                      </c:pt>
                      <c:pt idx="124">
                        <c:v>2017</c:v>
                      </c:pt>
                      <c:pt idx="125">
                        <c:v>1999</c:v>
                      </c:pt>
                      <c:pt idx="126">
                        <c:v>1890</c:v>
                      </c:pt>
                      <c:pt idx="127">
                        <c:v>2015</c:v>
                      </c:pt>
                      <c:pt idx="128">
                        <c:v>1992</c:v>
                      </c:pt>
                      <c:pt idx="129">
                        <c:v>1977</c:v>
                      </c:pt>
                      <c:pt idx="130">
                        <c:v>1976</c:v>
                      </c:pt>
                      <c:pt idx="131">
                        <c:v>2009</c:v>
                      </c:pt>
                      <c:pt idx="132">
                        <c:v>2008</c:v>
                      </c:pt>
                      <c:pt idx="133">
                        <c:v>1996</c:v>
                      </c:pt>
                      <c:pt idx="134">
                        <c:v>1973</c:v>
                      </c:pt>
                      <c:pt idx="135">
                        <c:v>1975</c:v>
                      </c:pt>
                      <c:pt idx="136">
                        <c:v>1993</c:v>
                      </c:pt>
                      <c:pt idx="137">
                        <c:v>1996</c:v>
                      </c:pt>
                      <c:pt idx="138">
                        <c:v>1991</c:v>
                      </c:pt>
                      <c:pt idx="139">
                        <c:v>1982</c:v>
                      </c:pt>
                      <c:pt idx="140">
                        <c:v>1976</c:v>
                      </c:pt>
                      <c:pt idx="141">
                        <c:v>1993</c:v>
                      </c:pt>
                      <c:pt idx="142">
                        <c:v>1992</c:v>
                      </c:pt>
                      <c:pt idx="143">
                        <c:v>2008</c:v>
                      </c:pt>
                      <c:pt idx="144">
                        <c:v>2015</c:v>
                      </c:pt>
                      <c:pt idx="145">
                        <c:v>1962</c:v>
                      </c:pt>
                      <c:pt idx="146">
                        <c:v>1998</c:v>
                      </c:pt>
                      <c:pt idx="147">
                        <c:v>2003</c:v>
                      </c:pt>
                      <c:pt idx="148">
                        <c:v>1993</c:v>
                      </c:pt>
                      <c:pt idx="149">
                        <c:v>2001</c:v>
                      </c:pt>
                      <c:pt idx="150">
                        <c:v>1985</c:v>
                      </c:pt>
                      <c:pt idx="151">
                        <c:v>1972</c:v>
                      </c:pt>
                      <c:pt idx="152">
                        <c:v>1980</c:v>
                      </c:pt>
                      <c:pt idx="153">
                        <c:v>1958</c:v>
                      </c:pt>
                      <c:pt idx="154">
                        <c:v>2004</c:v>
                      </c:pt>
                      <c:pt idx="155">
                        <c:v>1995</c:v>
                      </c:pt>
                      <c:pt idx="156">
                        <c:v>1993</c:v>
                      </c:pt>
                      <c:pt idx="157">
                        <c:v>1968</c:v>
                      </c:pt>
                      <c:pt idx="158">
                        <c:v>1998</c:v>
                      </c:pt>
                      <c:pt idx="159">
                        <c:v>1988</c:v>
                      </c:pt>
                      <c:pt idx="160">
                        <c:v>2004</c:v>
                      </c:pt>
                      <c:pt idx="161">
                        <c:v>2003</c:v>
                      </c:pt>
                      <c:pt idx="162">
                        <c:v>1995</c:v>
                      </c:pt>
                      <c:pt idx="163">
                        <c:v>2008</c:v>
                      </c:pt>
                      <c:pt idx="164">
                        <c:v>1960</c:v>
                      </c:pt>
                      <c:pt idx="165">
                        <c:v>1976</c:v>
                      </c:pt>
                      <c:pt idx="166">
                        <c:v>2000</c:v>
                      </c:pt>
                      <c:pt idx="167">
                        <c:v>1982</c:v>
                      </c:pt>
                      <c:pt idx="168">
                        <c:v>1976</c:v>
                      </c:pt>
                      <c:pt idx="169">
                        <c:v>1981</c:v>
                      </c:pt>
                      <c:pt idx="170">
                        <c:v>1976</c:v>
                      </c:pt>
                      <c:pt idx="171">
                        <c:v>1960</c:v>
                      </c:pt>
                      <c:pt idx="172">
                        <c:v>1997</c:v>
                      </c:pt>
                      <c:pt idx="173">
                        <c:v>1976</c:v>
                      </c:pt>
                      <c:pt idx="174">
                        <c:v>1979</c:v>
                      </c:pt>
                      <c:pt idx="175">
                        <c:v>1995</c:v>
                      </c:pt>
                      <c:pt idx="176">
                        <c:v>1975</c:v>
                      </c:pt>
                      <c:pt idx="177">
                        <c:v>1977</c:v>
                      </c:pt>
                      <c:pt idx="178">
                        <c:v>2003</c:v>
                      </c:pt>
                      <c:pt idx="179">
                        <c:v>2006</c:v>
                      </c:pt>
                      <c:pt idx="180">
                        <c:v>1993</c:v>
                      </c:pt>
                      <c:pt idx="181">
                        <c:v>1997</c:v>
                      </c:pt>
                      <c:pt idx="182">
                        <c:v>2017</c:v>
                      </c:pt>
                      <c:pt idx="183">
                        <c:v>1999</c:v>
                      </c:pt>
                      <c:pt idx="184">
                        <c:v>1890</c:v>
                      </c:pt>
                      <c:pt idx="185">
                        <c:v>2015</c:v>
                      </c:pt>
                      <c:pt idx="186">
                        <c:v>1992</c:v>
                      </c:pt>
                      <c:pt idx="187">
                        <c:v>1977</c:v>
                      </c:pt>
                      <c:pt idx="188">
                        <c:v>1976</c:v>
                      </c:pt>
                      <c:pt idx="189">
                        <c:v>2009</c:v>
                      </c:pt>
                      <c:pt idx="190">
                        <c:v>2008</c:v>
                      </c:pt>
                      <c:pt idx="191">
                        <c:v>1996</c:v>
                      </c:pt>
                      <c:pt idx="192">
                        <c:v>1973</c:v>
                      </c:pt>
                      <c:pt idx="193">
                        <c:v>1975</c:v>
                      </c:pt>
                      <c:pt idx="194">
                        <c:v>1993</c:v>
                      </c:pt>
                      <c:pt idx="195">
                        <c:v>1996</c:v>
                      </c:pt>
                      <c:pt idx="196">
                        <c:v>1991</c:v>
                      </c:pt>
                      <c:pt idx="197">
                        <c:v>1982</c:v>
                      </c:pt>
                      <c:pt idx="198">
                        <c:v>1976</c:v>
                      </c:pt>
                      <c:pt idx="199">
                        <c:v>1993</c:v>
                      </c:pt>
                      <c:pt idx="200">
                        <c:v>1992</c:v>
                      </c:pt>
                      <c:pt idx="201">
                        <c:v>2008</c:v>
                      </c:pt>
                      <c:pt idx="202">
                        <c:v>2015</c:v>
                      </c:pt>
                      <c:pt idx="203">
                        <c:v>1962</c:v>
                      </c:pt>
                      <c:pt idx="204">
                        <c:v>1998</c:v>
                      </c:pt>
                      <c:pt idx="205">
                        <c:v>2003</c:v>
                      </c:pt>
                      <c:pt idx="206">
                        <c:v>1993</c:v>
                      </c:pt>
                      <c:pt idx="207">
                        <c:v>2001</c:v>
                      </c:pt>
                      <c:pt idx="208">
                        <c:v>1985</c:v>
                      </c:pt>
                      <c:pt idx="209">
                        <c:v>1972</c:v>
                      </c:pt>
                      <c:pt idx="210">
                        <c:v>1980</c:v>
                      </c:pt>
                      <c:pt idx="211">
                        <c:v>1958</c:v>
                      </c:pt>
                      <c:pt idx="212">
                        <c:v>2004</c:v>
                      </c:pt>
                      <c:pt idx="213">
                        <c:v>1995</c:v>
                      </c:pt>
                      <c:pt idx="214">
                        <c:v>1993</c:v>
                      </c:pt>
                      <c:pt idx="215">
                        <c:v>1968</c:v>
                      </c:pt>
                      <c:pt idx="216">
                        <c:v>1998</c:v>
                      </c:pt>
                      <c:pt idx="217">
                        <c:v>1988</c:v>
                      </c:pt>
                      <c:pt idx="218">
                        <c:v>2004</c:v>
                      </c:pt>
                      <c:pt idx="219">
                        <c:v>2003</c:v>
                      </c:pt>
                      <c:pt idx="220">
                        <c:v>1995</c:v>
                      </c:pt>
                      <c:pt idx="221">
                        <c:v>2008</c:v>
                      </c:pt>
                      <c:pt idx="222">
                        <c:v>1960</c:v>
                      </c:pt>
                      <c:pt idx="223">
                        <c:v>1976</c:v>
                      </c:pt>
                      <c:pt idx="224">
                        <c:v>2000</c:v>
                      </c:pt>
                      <c:pt idx="225">
                        <c:v>1982</c:v>
                      </c:pt>
                      <c:pt idx="226">
                        <c:v>1976</c:v>
                      </c:pt>
                      <c:pt idx="227">
                        <c:v>1981</c:v>
                      </c:pt>
                      <c:pt idx="228">
                        <c:v>1976</c:v>
                      </c:pt>
                      <c:pt idx="229">
                        <c:v>1960</c:v>
                      </c:pt>
                      <c:pt idx="230">
                        <c:v>1997</c:v>
                      </c:pt>
                      <c:pt idx="231">
                        <c:v>1976</c:v>
                      </c:pt>
                      <c:pt idx="232" formatCode="General">
                        <c:v>1979</c:v>
                      </c:pt>
                      <c:pt idx="233" formatCode="General">
                        <c:v>1995</c:v>
                      </c:pt>
                      <c:pt idx="234" formatCode="General">
                        <c:v>1975</c:v>
                      </c:pt>
                      <c:pt idx="235" formatCode="General">
                        <c:v>1977</c:v>
                      </c:pt>
                      <c:pt idx="236" formatCode="General">
                        <c:v>2003</c:v>
                      </c:pt>
                      <c:pt idx="237" formatCode="General">
                        <c:v>2006</c:v>
                      </c:pt>
                      <c:pt idx="238" formatCode="General">
                        <c:v>1993</c:v>
                      </c:pt>
                      <c:pt idx="239" formatCode="General">
                        <c:v>1997</c:v>
                      </c:pt>
                      <c:pt idx="240" formatCode="General">
                        <c:v>2017</c:v>
                      </c:pt>
                      <c:pt idx="241" formatCode="General">
                        <c:v>1999</c:v>
                      </c:pt>
                      <c:pt idx="242" formatCode="General">
                        <c:v>1890</c:v>
                      </c:pt>
                      <c:pt idx="243" formatCode="General">
                        <c:v>2015</c:v>
                      </c:pt>
                      <c:pt idx="244" formatCode="General">
                        <c:v>1992</c:v>
                      </c:pt>
                      <c:pt idx="245" formatCode="General">
                        <c:v>1977</c:v>
                      </c:pt>
                      <c:pt idx="246" formatCode="General">
                        <c:v>1976</c:v>
                      </c:pt>
                      <c:pt idx="247" formatCode="General">
                        <c:v>2009</c:v>
                      </c:pt>
                      <c:pt idx="248" formatCode="General">
                        <c:v>2008</c:v>
                      </c:pt>
                      <c:pt idx="249" formatCode="General">
                        <c:v>1996</c:v>
                      </c:pt>
                      <c:pt idx="250" formatCode="General">
                        <c:v>1973</c:v>
                      </c:pt>
                      <c:pt idx="251" formatCode="General">
                        <c:v>1975</c:v>
                      </c:pt>
                      <c:pt idx="252" formatCode="General">
                        <c:v>1993</c:v>
                      </c:pt>
                      <c:pt idx="253" formatCode="General">
                        <c:v>1996</c:v>
                      </c:pt>
                      <c:pt idx="254" formatCode="General">
                        <c:v>1991</c:v>
                      </c:pt>
                      <c:pt idx="255" formatCode="General">
                        <c:v>1982</c:v>
                      </c:pt>
                      <c:pt idx="256" formatCode="General">
                        <c:v>1976</c:v>
                      </c:pt>
                      <c:pt idx="257" formatCode="General">
                        <c:v>1993</c:v>
                      </c:pt>
                      <c:pt idx="258" formatCode="General">
                        <c:v>1992</c:v>
                      </c:pt>
                      <c:pt idx="259" formatCode="General">
                        <c:v>2008</c:v>
                      </c:pt>
                      <c:pt idx="260" formatCode="General">
                        <c:v>2015</c:v>
                      </c:pt>
                      <c:pt idx="261" formatCode="General">
                        <c:v>1962</c:v>
                      </c:pt>
                      <c:pt idx="262" formatCode="General">
                        <c:v>1998</c:v>
                      </c:pt>
                      <c:pt idx="263" formatCode="General">
                        <c:v>2003</c:v>
                      </c:pt>
                      <c:pt idx="264" formatCode="General">
                        <c:v>1993</c:v>
                      </c:pt>
                      <c:pt idx="265" formatCode="General">
                        <c:v>2001</c:v>
                      </c:pt>
                      <c:pt idx="266" formatCode="General">
                        <c:v>1985</c:v>
                      </c:pt>
                      <c:pt idx="267" formatCode="General">
                        <c:v>1972</c:v>
                      </c:pt>
                      <c:pt idx="268" formatCode="General">
                        <c:v>1980</c:v>
                      </c:pt>
                      <c:pt idx="269" formatCode="General">
                        <c:v>1958</c:v>
                      </c:pt>
                      <c:pt idx="270" formatCode="General">
                        <c:v>2004</c:v>
                      </c:pt>
                      <c:pt idx="271" formatCode="General">
                        <c:v>1995</c:v>
                      </c:pt>
                      <c:pt idx="272" formatCode="General">
                        <c:v>1993</c:v>
                      </c:pt>
                      <c:pt idx="273" formatCode="General">
                        <c:v>1968</c:v>
                      </c:pt>
                      <c:pt idx="274" formatCode="General">
                        <c:v>1998</c:v>
                      </c:pt>
                      <c:pt idx="275" formatCode="General">
                        <c:v>1988</c:v>
                      </c:pt>
                      <c:pt idx="276" formatCode="General">
                        <c:v>2004</c:v>
                      </c:pt>
                      <c:pt idx="277" formatCode="General">
                        <c:v>2003</c:v>
                      </c:pt>
                      <c:pt idx="278" formatCode="General">
                        <c:v>1995</c:v>
                      </c:pt>
                      <c:pt idx="279" formatCode="General">
                        <c:v>2008</c:v>
                      </c:pt>
                      <c:pt idx="280" formatCode="General">
                        <c:v>1960</c:v>
                      </c:pt>
                      <c:pt idx="281" formatCode="General">
                        <c:v>1976</c:v>
                      </c:pt>
                      <c:pt idx="282" formatCode="General">
                        <c:v>2000</c:v>
                      </c:pt>
                      <c:pt idx="283" formatCode="General">
                        <c:v>1982</c:v>
                      </c:pt>
                      <c:pt idx="284" formatCode="General">
                        <c:v>1976</c:v>
                      </c:pt>
                      <c:pt idx="285" formatCode="General">
                        <c:v>1981</c:v>
                      </c:pt>
                      <c:pt idx="286" formatCode="General">
                        <c:v>1976</c:v>
                      </c:pt>
                      <c:pt idx="287" formatCode="General">
                        <c:v>1960</c:v>
                      </c:pt>
                      <c:pt idx="288" formatCode="General">
                        <c:v>1997</c:v>
                      </c:pt>
                      <c:pt idx="289" formatCode="General">
                        <c:v>1976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5C6-4E19-973B-91C5491E876C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(2)'!$Q$1</c15:sqref>
                        </c15:formulaRef>
                      </c:ext>
                    </c:extLst>
                    <c:strCache>
                      <c:ptCount val="1"/>
                      <c:pt idx="0">
                        <c:v>us cpi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(2)'!$Q$2:$Q$311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139.74</c:v>
                      </c:pt>
                      <c:pt idx="1">
                        <c:v>139.74</c:v>
                      </c:pt>
                      <c:pt idx="2">
                        <c:v>139.74</c:v>
                      </c:pt>
                      <c:pt idx="3">
                        <c:v>139.74</c:v>
                      </c:pt>
                      <c:pt idx="4">
                        <c:v>139.74</c:v>
                      </c:pt>
                      <c:pt idx="5">
                        <c:v>139.74</c:v>
                      </c:pt>
                      <c:pt idx="6">
                        <c:v>139.74</c:v>
                      </c:pt>
                      <c:pt idx="7">
                        <c:v>139.74</c:v>
                      </c:pt>
                      <c:pt idx="8">
                        <c:v>139.74</c:v>
                      </c:pt>
                      <c:pt idx="9">
                        <c:v>139.74</c:v>
                      </c:pt>
                      <c:pt idx="10">
                        <c:v>139.74</c:v>
                      </c:pt>
                      <c:pt idx="11">
                        <c:v>139.74</c:v>
                      </c:pt>
                      <c:pt idx="12">
                        <c:v>139.74</c:v>
                      </c:pt>
                      <c:pt idx="13">
                        <c:v>139.74</c:v>
                      </c:pt>
                      <c:pt idx="14">
                        <c:v>139.74</c:v>
                      </c:pt>
                      <c:pt idx="15">
                        <c:v>139.74</c:v>
                      </c:pt>
                      <c:pt idx="16">
                        <c:v>139.74</c:v>
                      </c:pt>
                      <c:pt idx="17">
                        <c:v>139.74</c:v>
                      </c:pt>
                      <c:pt idx="18">
                        <c:v>139.74</c:v>
                      </c:pt>
                      <c:pt idx="19">
                        <c:v>139.74</c:v>
                      </c:pt>
                      <c:pt idx="20">
                        <c:v>139.74</c:v>
                      </c:pt>
                      <c:pt idx="21">
                        <c:v>139.74</c:v>
                      </c:pt>
                      <c:pt idx="22">
                        <c:v>139.74</c:v>
                      </c:pt>
                      <c:pt idx="23">
                        <c:v>139.74</c:v>
                      </c:pt>
                      <c:pt idx="24">
                        <c:v>139.74</c:v>
                      </c:pt>
                      <c:pt idx="25">
                        <c:v>139.74</c:v>
                      </c:pt>
                      <c:pt idx="26">
                        <c:v>139.74</c:v>
                      </c:pt>
                      <c:pt idx="27">
                        <c:v>139.74</c:v>
                      </c:pt>
                      <c:pt idx="28">
                        <c:v>139.74</c:v>
                      </c:pt>
                      <c:pt idx="29">
                        <c:v>139.74</c:v>
                      </c:pt>
                      <c:pt idx="30">
                        <c:v>139.74</c:v>
                      </c:pt>
                      <c:pt idx="31">
                        <c:v>139.74</c:v>
                      </c:pt>
                      <c:pt idx="32">
                        <c:v>139.74</c:v>
                      </c:pt>
                      <c:pt idx="33">
                        <c:v>139.74</c:v>
                      </c:pt>
                      <c:pt idx="34">
                        <c:v>139.74</c:v>
                      </c:pt>
                      <c:pt idx="35">
                        <c:v>139.74</c:v>
                      </c:pt>
                      <c:pt idx="36">
                        <c:v>139.74</c:v>
                      </c:pt>
                      <c:pt idx="37">
                        <c:v>139.74</c:v>
                      </c:pt>
                      <c:pt idx="38">
                        <c:v>139.74</c:v>
                      </c:pt>
                      <c:pt idx="39">
                        <c:v>139.74</c:v>
                      </c:pt>
                      <c:pt idx="40">
                        <c:v>139.74</c:v>
                      </c:pt>
                      <c:pt idx="41">
                        <c:v>139.74</c:v>
                      </c:pt>
                      <c:pt idx="42">
                        <c:v>139.74</c:v>
                      </c:pt>
                      <c:pt idx="43">
                        <c:v>139.74</c:v>
                      </c:pt>
                      <c:pt idx="44">
                        <c:v>139.74</c:v>
                      </c:pt>
                      <c:pt idx="45">
                        <c:v>139.74</c:v>
                      </c:pt>
                      <c:pt idx="46">
                        <c:v>139.74</c:v>
                      </c:pt>
                      <c:pt idx="47">
                        <c:v>139.74</c:v>
                      </c:pt>
                      <c:pt idx="48">
                        <c:v>139.74</c:v>
                      </c:pt>
                      <c:pt idx="49">
                        <c:v>139.74</c:v>
                      </c:pt>
                      <c:pt idx="50">
                        <c:v>139.74</c:v>
                      </c:pt>
                      <c:pt idx="51">
                        <c:v>139.74</c:v>
                      </c:pt>
                      <c:pt idx="52">
                        <c:v>139.74</c:v>
                      </c:pt>
                      <c:pt idx="53">
                        <c:v>139.74</c:v>
                      </c:pt>
                      <c:pt idx="54">
                        <c:v>139.74</c:v>
                      </c:pt>
                      <c:pt idx="55">
                        <c:v>139.74</c:v>
                      </c:pt>
                      <c:pt idx="56">
                        <c:v>139.74</c:v>
                      </c:pt>
                      <c:pt idx="57">
                        <c:v>139.74</c:v>
                      </c:pt>
                      <c:pt idx="58">
                        <c:v>134.21</c:v>
                      </c:pt>
                      <c:pt idx="59">
                        <c:v>134.21</c:v>
                      </c:pt>
                      <c:pt idx="60">
                        <c:v>134.21</c:v>
                      </c:pt>
                      <c:pt idx="61">
                        <c:v>134.21</c:v>
                      </c:pt>
                      <c:pt idx="62">
                        <c:v>134.21</c:v>
                      </c:pt>
                      <c:pt idx="63">
                        <c:v>134.21</c:v>
                      </c:pt>
                      <c:pt idx="64">
                        <c:v>134.21</c:v>
                      </c:pt>
                      <c:pt idx="65">
                        <c:v>134.21</c:v>
                      </c:pt>
                      <c:pt idx="66">
                        <c:v>134.21</c:v>
                      </c:pt>
                      <c:pt idx="67">
                        <c:v>134.21</c:v>
                      </c:pt>
                      <c:pt idx="68">
                        <c:v>134.21</c:v>
                      </c:pt>
                      <c:pt idx="69">
                        <c:v>134.21</c:v>
                      </c:pt>
                      <c:pt idx="70">
                        <c:v>134.21</c:v>
                      </c:pt>
                      <c:pt idx="71">
                        <c:v>134.21</c:v>
                      </c:pt>
                      <c:pt idx="72">
                        <c:v>134.21</c:v>
                      </c:pt>
                      <c:pt idx="73">
                        <c:v>134.21</c:v>
                      </c:pt>
                      <c:pt idx="74">
                        <c:v>134.21</c:v>
                      </c:pt>
                      <c:pt idx="75">
                        <c:v>134.21</c:v>
                      </c:pt>
                      <c:pt idx="76">
                        <c:v>134.21</c:v>
                      </c:pt>
                      <c:pt idx="77">
                        <c:v>134.21</c:v>
                      </c:pt>
                      <c:pt idx="78">
                        <c:v>134.21</c:v>
                      </c:pt>
                      <c:pt idx="79">
                        <c:v>134.21</c:v>
                      </c:pt>
                      <c:pt idx="80">
                        <c:v>134.21</c:v>
                      </c:pt>
                      <c:pt idx="81">
                        <c:v>134.21</c:v>
                      </c:pt>
                      <c:pt idx="82">
                        <c:v>134.21</c:v>
                      </c:pt>
                      <c:pt idx="83">
                        <c:v>134.21</c:v>
                      </c:pt>
                      <c:pt idx="84">
                        <c:v>134.21</c:v>
                      </c:pt>
                      <c:pt idx="85">
                        <c:v>134.21</c:v>
                      </c:pt>
                      <c:pt idx="86">
                        <c:v>134.21</c:v>
                      </c:pt>
                      <c:pt idx="87">
                        <c:v>134.21</c:v>
                      </c:pt>
                      <c:pt idx="88">
                        <c:v>134.21</c:v>
                      </c:pt>
                      <c:pt idx="89">
                        <c:v>134.21</c:v>
                      </c:pt>
                      <c:pt idx="90">
                        <c:v>134.21</c:v>
                      </c:pt>
                      <c:pt idx="91">
                        <c:v>134.21</c:v>
                      </c:pt>
                      <c:pt idx="92">
                        <c:v>134.21</c:v>
                      </c:pt>
                      <c:pt idx="93">
                        <c:v>134.21</c:v>
                      </c:pt>
                      <c:pt idx="94">
                        <c:v>134.21</c:v>
                      </c:pt>
                      <c:pt idx="95">
                        <c:v>134.21</c:v>
                      </c:pt>
                      <c:pt idx="96">
                        <c:v>134.21</c:v>
                      </c:pt>
                      <c:pt idx="97">
                        <c:v>134.21</c:v>
                      </c:pt>
                      <c:pt idx="98">
                        <c:v>134.21</c:v>
                      </c:pt>
                      <c:pt idx="99">
                        <c:v>134.21</c:v>
                      </c:pt>
                      <c:pt idx="100">
                        <c:v>134.21</c:v>
                      </c:pt>
                      <c:pt idx="101">
                        <c:v>134.21</c:v>
                      </c:pt>
                      <c:pt idx="102">
                        <c:v>134.21</c:v>
                      </c:pt>
                      <c:pt idx="103">
                        <c:v>134.21</c:v>
                      </c:pt>
                      <c:pt idx="104">
                        <c:v>134.21</c:v>
                      </c:pt>
                      <c:pt idx="105">
                        <c:v>134.21</c:v>
                      </c:pt>
                      <c:pt idx="106">
                        <c:v>134.21</c:v>
                      </c:pt>
                      <c:pt idx="107">
                        <c:v>134.21</c:v>
                      </c:pt>
                      <c:pt idx="108">
                        <c:v>134.21</c:v>
                      </c:pt>
                      <c:pt idx="109">
                        <c:v>134.21</c:v>
                      </c:pt>
                      <c:pt idx="110">
                        <c:v>134.21</c:v>
                      </c:pt>
                      <c:pt idx="111">
                        <c:v>134.21</c:v>
                      </c:pt>
                      <c:pt idx="112">
                        <c:v>134.21</c:v>
                      </c:pt>
                      <c:pt idx="113">
                        <c:v>134.21</c:v>
                      </c:pt>
                      <c:pt idx="114">
                        <c:v>134.21</c:v>
                      </c:pt>
                      <c:pt idx="115">
                        <c:v>134.21</c:v>
                      </c:pt>
                      <c:pt idx="116">
                        <c:v>124.27</c:v>
                      </c:pt>
                      <c:pt idx="117">
                        <c:v>124.27</c:v>
                      </c:pt>
                      <c:pt idx="118">
                        <c:v>124.27</c:v>
                      </c:pt>
                      <c:pt idx="119">
                        <c:v>124.27</c:v>
                      </c:pt>
                      <c:pt idx="120">
                        <c:v>124.27</c:v>
                      </c:pt>
                      <c:pt idx="121">
                        <c:v>124.27</c:v>
                      </c:pt>
                      <c:pt idx="122">
                        <c:v>124.27</c:v>
                      </c:pt>
                      <c:pt idx="123">
                        <c:v>124.27</c:v>
                      </c:pt>
                      <c:pt idx="124">
                        <c:v>124.27</c:v>
                      </c:pt>
                      <c:pt idx="125">
                        <c:v>124.27</c:v>
                      </c:pt>
                      <c:pt idx="126">
                        <c:v>124.27</c:v>
                      </c:pt>
                      <c:pt idx="127">
                        <c:v>124.27</c:v>
                      </c:pt>
                      <c:pt idx="128">
                        <c:v>124.27</c:v>
                      </c:pt>
                      <c:pt idx="129">
                        <c:v>124.27</c:v>
                      </c:pt>
                      <c:pt idx="130">
                        <c:v>124.27</c:v>
                      </c:pt>
                      <c:pt idx="131">
                        <c:v>124.27</c:v>
                      </c:pt>
                      <c:pt idx="132">
                        <c:v>124.27</c:v>
                      </c:pt>
                      <c:pt idx="133">
                        <c:v>124.27</c:v>
                      </c:pt>
                      <c:pt idx="134">
                        <c:v>124.27</c:v>
                      </c:pt>
                      <c:pt idx="135">
                        <c:v>124.27</c:v>
                      </c:pt>
                      <c:pt idx="136">
                        <c:v>124.27</c:v>
                      </c:pt>
                      <c:pt idx="137">
                        <c:v>124.27</c:v>
                      </c:pt>
                      <c:pt idx="138">
                        <c:v>124.27</c:v>
                      </c:pt>
                      <c:pt idx="139">
                        <c:v>124.27</c:v>
                      </c:pt>
                      <c:pt idx="140">
                        <c:v>124.27</c:v>
                      </c:pt>
                      <c:pt idx="141">
                        <c:v>124.27</c:v>
                      </c:pt>
                      <c:pt idx="142">
                        <c:v>124.27</c:v>
                      </c:pt>
                      <c:pt idx="143">
                        <c:v>124.27</c:v>
                      </c:pt>
                      <c:pt idx="144">
                        <c:v>124.27</c:v>
                      </c:pt>
                      <c:pt idx="145">
                        <c:v>124.27</c:v>
                      </c:pt>
                      <c:pt idx="146">
                        <c:v>124.27</c:v>
                      </c:pt>
                      <c:pt idx="147">
                        <c:v>124.27</c:v>
                      </c:pt>
                      <c:pt idx="148">
                        <c:v>124.27</c:v>
                      </c:pt>
                      <c:pt idx="149">
                        <c:v>124.27</c:v>
                      </c:pt>
                      <c:pt idx="150">
                        <c:v>124.27</c:v>
                      </c:pt>
                      <c:pt idx="151">
                        <c:v>124.27</c:v>
                      </c:pt>
                      <c:pt idx="152">
                        <c:v>124.27</c:v>
                      </c:pt>
                      <c:pt idx="153">
                        <c:v>124.27</c:v>
                      </c:pt>
                      <c:pt idx="154">
                        <c:v>124.27</c:v>
                      </c:pt>
                      <c:pt idx="155">
                        <c:v>124.27</c:v>
                      </c:pt>
                      <c:pt idx="156">
                        <c:v>124.27</c:v>
                      </c:pt>
                      <c:pt idx="157">
                        <c:v>124.27</c:v>
                      </c:pt>
                      <c:pt idx="158">
                        <c:v>124.27</c:v>
                      </c:pt>
                      <c:pt idx="159">
                        <c:v>124.27</c:v>
                      </c:pt>
                      <c:pt idx="160">
                        <c:v>124.27</c:v>
                      </c:pt>
                      <c:pt idx="161">
                        <c:v>124.27</c:v>
                      </c:pt>
                      <c:pt idx="162">
                        <c:v>124.27</c:v>
                      </c:pt>
                      <c:pt idx="163">
                        <c:v>124.27</c:v>
                      </c:pt>
                      <c:pt idx="164">
                        <c:v>124.27</c:v>
                      </c:pt>
                      <c:pt idx="165">
                        <c:v>124.27</c:v>
                      </c:pt>
                      <c:pt idx="166">
                        <c:v>124.27</c:v>
                      </c:pt>
                      <c:pt idx="167">
                        <c:v>124.27</c:v>
                      </c:pt>
                      <c:pt idx="168">
                        <c:v>124.27</c:v>
                      </c:pt>
                      <c:pt idx="169">
                        <c:v>124.27</c:v>
                      </c:pt>
                      <c:pt idx="170">
                        <c:v>124.27</c:v>
                      </c:pt>
                      <c:pt idx="171">
                        <c:v>124.27</c:v>
                      </c:pt>
                      <c:pt idx="172">
                        <c:v>124.27</c:v>
                      </c:pt>
                      <c:pt idx="173">
                        <c:v>124.27</c:v>
                      </c:pt>
                      <c:pt idx="174">
                        <c:v>118.69</c:v>
                      </c:pt>
                      <c:pt idx="175">
                        <c:v>118.69</c:v>
                      </c:pt>
                      <c:pt idx="176">
                        <c:v>118.69</c:v>
                      </c:pt>
                      <c:pt idx="177">
                        <c:v>118.69</c:v>
                      </c:pt>
                      <c:pt idx="178">
                        <c:v>118.69</c:v>
                      </c:pt>
                      <c:pt idx="179">
                        <c:v>118.69</c:v>
                      </c:pt>
                      <c:pt idx="180">
                        <c:v>118.69</c:v>
                      </c:pt>
                      <c:pt idx="181">
                        <c:v>118.69</c:v>
                      </c:pt>
                      <c:pt idx="182">
                        <c:v>118.69</c:v>
                      </c:pt>
                      <c:pt idx="183">
                        <c:v>118.69</c:v>
                      </c:pt>
                      <c:pt idx="184">
                        <c:v>118.69</c:v>
                      </c:pt>
                      <c:pt idx="185">
                        <c:v>118.69</c:v>
                      </c:pt>
                      <c:pt idx="186">
                        <c:v>118.69</c:v>
                      </c:pt>
                      <c:pt idx="187">
                        <c:v>118.69</c:v>
                      </c:pt>
                      <c:pt idx="188">
                        <c:v>118.69</c:v>
                      </c:pt>
                      <c:pt idx="189">
                        <c:v>118.69</c:v>
                      </c:pt>
                      <c:pt idx="190">
                        <c:v>118.69</c:v>
                      </c:pt>
                      <c:pt idx="191">
                        <c:v>118.69</c:v>
                      </c:pt>
                      <c:pt idx="192">
                        <c:v>118.69</c:v>
                      </c:pt>
                      <c:pt idx="193">
                        <c:v>118.69</c:v>
                      </c:pt>
                      <c:pt idx="194">
                        <c:v>118.69</c:v>
                      </c:pt>
                      <c:pt idx="195">
                        <c:v>118.69</c:v>
                      </c:pt>
                      <c:pt idx="196">
                        <c:v>118.69</c:v>
                      </c:pt>
                      <c:pt idx="197">
                        <c:v>118.69</c:v>
                      </c:pt>
                      <c:pt idx="198">
                        <c:v>118.69</c:v>
                      </c:pt>
                      <c:pt idx="199">
                        <c:v>118.69</c:v>
                      </c:pt>
                      <c:pt idx="200">
                        <c:v>118.69</c:v>
                      </c:pt>
                      <c:pt idx="201">
                        <c:v>118.69</c:v>
                      </c:pt>
                      <c:pt idx="202">
                        <c:v>118.69</c:v>
                      </c:pt>
                      <c:pt idx="203">
                        <c:v>118.69</c:v>
                      </c:pt>
                      <c:pt idx="204">
                        <c:v>118.69</c:v>
                      </c:pt>
                      <c:pt idx="205">
                        <c:v>118.69</c:v>
                      </c:pt>
                      <c:pt idx="206">
                        <c:v>118.69</c:v>
                      </c:pt>
                      <c:pt idx="207">
                        <c:v>118.69</c:v>
                      </c:pt>
                      <c:pt idx="208">
                        <c:v>118.69</c:v>
                      </c:pt>
                      <c:pt idx="209">
                        <c:v>118.69</c:v>
                      </c:pt>
                      <c:pt idx="210">
                        <c:v>118.69</c:v>
                      </c:pt>
                      <c:pt idx="211">
                        <c:v>118.69</c:v>
                      </c:pt>
                      <c:pt idx="212">
                        <c:v>118.69</c:v>
                      </c:pt>
                      <c:pt idx="213">
                        <c:v>118.69</c:v>
                      </c:pt>
                      <c:pt idx="214">
                        <c:v>118.69</c:v>
                      </c:pt>
                      <c:pt idx="215">
                        <c:v>118.69</c:v>
                      </c:pt>
                      <c:pt idx="216">
                        <c:v>118.69</c:v>
                      </c:pt>
                      <c:pt idx="217">
                        <c:v>118.69</c:v>
                      </c:pt>
                      <c:pt idx="218">
                        <c:v>118.69</c:v>
                      </c:pt>
                      <c:pt idx="219">
                        <c:v>118.69</c:v>
                      </c:pt>
                      <c:pt idx="220">
                        <c:v>118.69</c:v>
                      </c:pt>
                      <c:pt idx="221">
                        <c:v>118.69</c:v>
                      </c:pt>
                      <c:pt idx="222">
                        <c:v>118.69</c:v>
                      </c:pt>
                      <c:pt idx="223">
                        <c:v>118.69</c:v>
                      </c:pt>
                      <c:pt idx="224">
                        <c:v>118.69</c:v>
                      </c:pt>
                      <c:pt idx="225">
                        <c:v>118.69</c:v>
                      </c:pt>
                      <c:pt idx="226">
                        <c:v>118.69</c:v>
                      </c:pt>
                      <c:pt idx="227">
                        <c:v>118.69</c:v>
                      </c:pt>
                      <c:pt idx="228">
                        <c:v>118.69</c:v>
                      </c:pt>
                      <c:pt idx="229">
                        <c:v>118.69</c:v>
                      </c:pt>
                      <c:pt idx="230">
                        <c:v>118.69</c:v>
                      </c:pt>
                      <c:pt idx="231">
                        <c:v>118.69</c:v>
                      </c:pt>
                      <c:pt idx="232" formatCode="General">
                        <c:v>117.24</c:v>
                      </c:pt>
                      <c:pt idx="233" formatCode="General">
                        <c:v>117.24</c:v>
                      </c:pt>
                      <c:pt idx="234" formatCode="General">
                        <c:v>117.24</c:v>
                      </c:pt>
                      <c:pt idx="235" formatCode="General">
                        <c:v>117.24</c:v>
                      </c:pt>
                      <c:pt idx="236" formatCode="General">
                        <c:v>117.24</c:v>
                      </c:pt>
                      <c:pt idx="237" formatCode="General">
                        <c:v>117.24</c:v>
                      </c:pt>
                      <c:pt idx="238" formatCode="General">
                        <c:v>117.24</c:v>
                      </c:pt>
                      <c:pt idx="239" formatCode="General">
                        <c:v>117.24</c:v>
                      </c:pt>
                      <c:pt idx="240" formatCode="General">
                        <c:v>117.24</c:v>
                      </c:pt>
                      <c:pt idx="241" formatCode="General">
                        <c:v>117.24</c:v>
                      </c:pt>
                      <c:pt idx="242" formatCode="General">
                        <c:v>117.24</c:v>
                      </c:pt>
                      <c:pt idx="243" formatCode="General">
                        <c:v>117.24</c:v>
                      </c:pt>
                      <c:pt idx="244" formatCode="General">
                        <c:v>117.24</c:v>
                      </c:pt>
                      <c:pt idx="245" formatCode="General">
                        <c:v>117.24</c:v>
                      </c:pt>
                      <c:pt idx="246" formatCode="General">
                        <c:v>117.24</c:v>
                      </c:pt>
                      <c:pt idx="247" formatCode="General">
                        <c:v>117.24</c:v>
                      </c:pt>
                      <c:pt idx="248" formatCode="General">
                        <c:v>117.24</c:v>
                      </c:pt>
                      <c:pt idx="249" formatCode="General">
                        <c:v>117.24</c:v>
                      </c:pt>
                      <c:pt idx="250" formatCode="General">
                        <c:v>117.24</c:v>
                      </c:pt>
                      <c:pt idx="251" formatCode="General">
                        <c:v>117.24</c:v>
                      </c:pt>
                      <c:pt idx="252" formatCode="General">
                        <c:v>117.24</c:v>
                      </c:pt>
                      <c:pt idx="253" formatCode="General">
                        <c:v>117.24</c:v>
                      </c:pt>
                      <c:pt idx="254" formatCode="General">
                        <c:v>117.24</c:v>
                      </c:pt>
                      <c:pt idx="255" formatCode="General">
                        <c:v>117.24</c:v>
                      </c:pt>
                      <c:pt idx="256" formatCode="General">
                        <c:v>117.24</c:v>
                      </c:pt>
                      <c:pt idx="257" formatCode="General">
                        <c:v>117.24</c:v>
                      </c:pt>
                      <c:pt idx="258" formatCode="General">
                        <c:v>117.24</c:v>
                      </c:pt>
                      <c:pt idx="259" formatCode="General">
                        <c:v>117.24</c:v>
                      </c:pt>
                      <c:pt idx="260" formatCode="General">
                        <c:v>117.24</c:v>
                      </c:pt>
                      <c:pt idx="261" formatCode="General">
                        <c:v>117.24</c:v>
                      </c:pt>
                      <c:pt idx="262" formatCode="General">
                        <c:v>117.24</c:v>
                      </c:pt>
                      <c:pt idx="263" formatCode="General">
                        <c:v>117.24</c:v>
                      </c:pt>
                      <c:pt idx="264" formatCode="General">
                        <c:v>117.24</c:v>
                      </c:pt>
                      <c:pt idx="265" formatCode="General">
                        <c:v>117.24</c:v>
                      </c:pt>
                      <c:pt idx="266" formatCode="General">
                        <c:v>117.24</c:v>
                      </c:pt>
                      <c:pt idx="267" formatCode="General">
                        <c:v>117.24</c:v>
                      </c:pt>
                      <c:pt idx="268" formatCode="General">
                        <c:v>117.24</c:v>
                      </c:pt>
                      <c:pt idx="269" formatCode="General">
                        <c:v>117.24</c:v>
                      </c:pt>
                      <c:pt idx="270" formatCode="General">
                        <c:v>117.24</c:v>
                      </c:pt>
                      <c:pt idx="271" formatCode="General">
                        <c:v>117.24</c:v>
                      </c:pt>
                      <c:pt idx="272" formatCode="General">
                        <c:v>117.24</c:v>
                      </c:pt>
                      <c:pt idx="273" formatCode="General">
                        <c:v>117.24</c:v>
                      </c:pt>
                      <c:pt idx="274" formatCode="General">
                        <c:v>117.24</c:v>
                      </c:pt>
                      <c:pt idx="275" formatCode="General">
                        <c:v>117.24</c:v>
                      </c:pt>
                      <c:pt idx="276" formatCode="General">
                        <c:v>117.24</c:v>
                      </c:pt>
                      <c:pt idx="277" formatCode="General">
                        <c:v>117.24</c:v>
                      </c:pt>
                      <c:pt idx="278" formatCode="General">
                        <c:v>117.24</c:v>
                      </c:pt>
                      <c:pt idx="279" formatCode="General">
                        <c:v>117.24</c:v>
                      </c:pt>
                      <c:pt idx="280" formatCode="General">
                        <c:v>117.24</c:v>
                      </c:pt>
                      <c:pt idx="281" formatCode="General">
                        <c:v>117.24</c:v>
                      </c:pt>
                      <c:pt idx="282" formatCode="General">
                        <c:v>117.24</c:v>
                      </c:pt>
                      <c:pt idx="283" formatCode="General">
                        <c:v>117.24</c:v>
                      </c:pt>
                      <c:pt idx="284" formatCode="General">
                        <c:v>117.24</c:v>
                      </c:pt>
                      <c:pt idx="285" formatCode="General">
                        <c:v>117.24</c:v>
                      </c:pt>
                      <c:pt idx="286" formatCode="General">
                        <c:v>117.24</c:v>
                      </c:pt>
                      <c:pt idx="287" formatCode="General">
                        <c:v>117.24</c:v>
                      </c:pt>
                      <c:pt idx="288" formatCode="General">
                        <c:v>117.24</c:v>
                      </c:pt>
                      <c:pt idx="289" formatCode="General">
                        <c:v>117.24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5C6-4E19-973B-91C5491E876C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(2)'!$R$1</c15:sqref>
                        </c15:formulaRef>
                      </c:ext>
                    </c:extLst>
                    <c:strCache>
                      <c:ptCount val="1"/>
                      <c:pt idx="0">
                        <c:v>vn cpi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(2)'!$R$2:$R$311</c15:sqref>
                        </c15:formulaRef>
                      </c:ext>
                    </c:extLst>
                    <c:numCache>
                      <c:formatCode>0.00</c:formatCode>
                      <c:ptCount val="290"/>
                      <c:pt idx="0">
                        <c:v>183.07</c:v>
                      </c:pt>
                      <c:pt idx="1">
                        <c:v>183.07</c:v>
                      </c:pt>
                      <c:pt idx="2">
                        <c:v>183.07</c:v>
                      </c:pt>
                      <c:pt idx="3">
                        <c:v>183.07</c:v>
                      </c:pt>
                      <c:pt idx="4">
                        <c:v>183.07</c:v>
                      </c:pt>
                      <c:pt idx="5">
                        <c:v>183.07</c:v>
                      </c:pt>
                      <c:pt idx="6">
                        <c:v>183.07</c:v>
                      </c:pt>
                      <c:pt idx="7">
                        <c:v>183.07</c:v>
                      </c:pt>
                      <c:pt idx="8">
                        <c:v>183.07</c:v>
                      </c:pt>
                      <c:pt idx="9">
                        <c:v>183.07</c:v>
                      </c:pt>
                      <c:pt idx="10">
                        <c:v>183.07</c:v>
                      </c:pt>
                      <c:pt idx="11">
                        <c:v>183.07</c:v>
                      </c:pt>
                      <c:pt idx="12">
                        <c:v>183.07</c:v>
                      </c:pt>
                      <c:pt idx="13">
                        <c:v>183.07</c:v>
                      </c:pt>
                      <c:pt idx="14">
                        <c:v>183.07</c:v>
                      </c:pt>
                      <c:pt idx="15">
                        <c:v>183.07</c:v>
                      </c:pt>
                      <c:pt idx="16">
                        <c:v>183.07</c:v>
                      </c:pt>
                      <c:pt idx="17">
                        <c:v>183.07</c:v>
                      </c:pt>
                      <c:pt idx="18">
                        <c:v>183.07</c:v>
                      </c:pt>
                      <c:pt idx="19">
                        <c:v>183.07</c:v>
                      </c:pt>
                      <c:pt idx="20">
                        <c:v>183.07</c:v>
                      </c:pt>
                      <c:pt idx="21">
                        <c:v>183.07</c:v>
                      </c:pt>
                      <c:pt idx="22">
                        <c:v>183.07</c:v>
                      </c:pt>
                      <c:pt idx="23">
                        <c:v>183.07</c:v>
                      </c:pt>
                      <c:pt idx="24">
                        <c:v>183.07</c:v>
                      </c:pt>
                      <c:pt idx="25">
                        <c:v>183.07</c:v>
                      </c:pt>
                      <c:pt idx="26">
                        <c:v>183.07</c:v>
                      </c:pt>
                      <c:pt idx="27">
                        <c:v>183.07</c:v>
                      </c:pt>
                      <c:pt idx="28">
                        <c:v>183.07</c:v>
                      </c:pt>
                      <c:pt idx="29">
                        <c:v>183.07</c:v>
                      </c:pt>
                      <c:pt idx="30">
                        <c:v>183.07</c:v>
                      </c:pt>
                      <c:pt idx="31">
                        <c:v>183.07</c:v>
                      </c:pt>
                      <c:pt idx="32">
                        <c:v>183.07</c:v>
                      </c:pt>
                      <c:pt idx="33">
                        <c:v>183.07</c:v>
                      </c:pt>
                      <c:pt idx="34">
                        <c:v>183.07</c:v>
                      </c:pt>
                      <c:pt idx="35">
                        <c:v>183.07</c:v>
                      </c:pt>
                      <c:pt idx="36">
                        <c:v>183.07</c:v>
                      </c:pt>
                      <c:pt idx="37">
                        <c:v>183.07</c:v>
                      </c:pt>
                      <c:pt idx="38">
                        <c:v>183.07</c:v>
                      </c:pt>
                      <c:pt idx="39">
                        <c:v>183.07</c:v>
                      </c:pt>
                      <c:pt idx="40">
                        <c:v>183.07</c:v>
                      </c:pt>
                      <c:pt idx="41">
                        <c:v>183.07</c:v>
                      </c:pt>
                      <c:pt idx="42">
                        <c:v>183.07</c:v>
                      </c:pt>
                      <c:pt idx="43">
                        <c:v>183.07</c:v>
                      </c:pt>
                      <c:pt idx="44">
                        <c:v>183.07</c:v>
                      </c:pt>
                      <c:pt idx="45">
                        <c:v>183.07</c:v>
                      </c:pt>
                      <c:pt idx="46">
                        <c:v>183.07</c:v>
                      </c:pt>
                      <c:pt idx="47">
                        <c:v>183.07</c:v>
                      </c:pt>
                      <c:pt idx="48">
                        <c:v>183.07</c:v>
                      </c:pt>
                      <c:pt idx="49">
                        <c:v>183.07</c:v>
                      </c:pt>
                      <c:pt idx="50">
                        <c:v>183.07</c:v>
                      </c:pt>
                      <c:pt idx="51">
                        <c:v>183.07</c:v>
                      </c:pt>
                      <c:pt idx="52">
                        <c:v>183.07</c:v>
                      </c:pt>
                      <c:pt idx="53">
                        <c:v>183.07</c:v>
                      </c:pt>
                      <c:pt idx="54">
                        <c:v>183.07</c:v>
                      </c:pt>
                      <c:pt idx="55">
                        <c:v>183.07</c:v>
                      </c:pt>
                      <c:pt idx="56">
                        <c:v>183.07</c:v>
                      </c:pt>
                      <c:pt idx="57">
                        <c:v>183.07</c:v>
                      </c:pt>
                      <c:pt idx="58">
                        <c:v>177.31</c:v>
                      </c:pt>
                      <c:pt idx="59">
                        <c:v>177.31</c:v>
                      </c:pt>
                      <c:pt idx="60">
                        <c:v>177.31</c:v>
                      </c:pt>
                      <c:pt idx="61">
                        <c:v>177.31</c:v>
                      </c:pt>
                      <c:pt idx="62">
                        <c:v>177.31</c:v>
                      </c:pt>
                      <c:pt idx="63">
                        <c:v>177.31</c:v>
                      </c:pt>
                      <c:pt idx="64">
                        <c:v>177.31</c:v>
                      </c:pt>
                      <c:pt idx="65">
                        <c:v>177.31</c:v>
                      </c:pt>
                      <c:pt idx="66">
                        <c:v>177.31</c:v>
                      </c:pt>
                      <c:pt idx="67">
                        <c:v>177.31</c:v>
                      </c:pt>
                      <c:pt idx="68">
                        <c:v>177.31</c:v>
                      </c:pt>
                      <c:pt idx="69">
                        <c:v>177.31</c:v>
                      </c:pt>
                      <c:pt idx="70">
                        <c:v>177.31</c:v>
                      </c:pt>
                      <c:pt idx="71">
                        <c:v>177.31</c:v>
                      </c:pt>
                      <c:pt idx="72">
                        <c:v>177.31</c:v>
                      </c:pt>
                      <c:pt idx="73">
                        <c:v>177.31</c:v>
                      </c:pt>
                      <c:pt idx="74">
                        <c:v>177.31</c:v>
                      </c:pt>
                      <c:pt idx="75">
                        <c:v>177.31</c:v>
                      </c:pt>
                      <c:pt idx="76">
                        <c:v>177.31</c:v>
                      </c:pt>
                      <c:pt idx="77">
                        <c:v>177.31</c:v>
                      </c:pt>
                      <c:pt idx="78">
                        <c:v>177.31</c:v>
                      </c:pt>
                      <c:pt idx="79">
                        <c:v>177.31</c:v>
                      </c:pt>
                      <c:pt idx="80">
                        <c:v>177.31</c:v>
                      </c:pt>
                      <c:pt idx="81">
                        <c:v>177.31</c:v>
                      </c:pt>
                      <c:pt idx="82">
                        <c:v>177.31</c:v>
                      </c:pt>
                      <c:pt idx="83">
                        <c:v>177.31</c:v>
                      </c:pt>
                      <c:pt idx="84">
                        <c:v>177.31</c:v>
                      </c:pt>
                      <c:pt idx="85">
                        <c:v>177.31</c:v>
                      </c:pt>
                      <c:pt idx="86">
                        <c:v>177.31</c:v>
                      </c:pt>
                      <c:pt idx="87">
                        <c:v>177.31</c:v>
                      </c:pt>
                      <c:pt idx="88">
                        <c:v>177.31</c:v>
                      </c:pt>
                      <c:pt idx="89">
                        <c:v>177.31</c:v>
                      </c:pt>
                      <c:pt idx="90">
                        <c:v>177.31</c:v>
                      </c:pt>
                      <c:pt idx="91">
                        <c:v>177.31</c:v>
                      </c:pt>
                      <c:pt idx="92">
                        <c:v>177.31</c:v>
                      </c:pt>
                      <c:pt idx="93">
                        <c:v>177.31</c:v>
                      </c:pt>
                      <c:pt idx="94">
                        <c:v>177.31</c:v>
                      </c:pt>
                      <c:pt idx="95">
                        <c:v>177.31</c:v>
                      </c:pt>
                      <c:pt idx="96">
                        <c:v>177.31</c:v>
                      </c:pt>
                      <c:pt idx="97">
                        <c:v>177.31</c:v>
                      </c:pt>
                      <c:pt idx="98">
                        <c:v>177.31</c:v>
                      </c:pt>
                      <c:pt idx="99">
                        <c:v>177.31</c:v>
                      </c:pt>
                      <c:pt idx="100">
                        <c:v>177.31</c:v>
                      </c:pt>
                      <c:pt idx="101">
                        <c:v>177.31</c:v>
                      </c:pt>
                      <c:pt idx="102">
                        <c:v>177.31</c:v>
                      </c:pt>
                      <c:pt idx="103">
                        <c:v>177.31</c:v>
                      </c:pt>
                      <c:pt idx="104">
                        <c:v>177.31</c:v>
                      </c:pt>
                      <c:pt idx="105">
                        <c:v>177.31</c:v>
                      </c:pt>
                      <c:pt idx="106">
                        <c:v>177.31</c:v>
                      </c:pt>
                      <c:pt idx="107">
                        <c:v>177.31</c:v>
                      </c:pt>
                      <c:pt idx="108">
                        <c:v>177.31</c:v>
                      </c:pt>
                      <c:pt idx="109">
                        <c:v>177.31</c:v>
                      </c:pt>
                      <c:pt idx="110">
                        <c:v>177.31</c:v>
                      </c:pt>
                      <c:pt idx="111">
                        <c:v>177.31</c:v>
                      </c:pt>
                      <c:pt idx="112">
                        <c:v>177.31</c:v>
                      </c:pt>
                      <c:pt idx="113">
                        <c:v>177.31</c:v>
                      </c:pt>
                      <c:pt idx="114">
                        <c:v>177.31</c:v>
                      </c:pt>
                      <c:pt idx="115">
                        <c:v>177.31</c:v>
                      </c:pt>
                      <c:pt idx="116">
                        <c:v>171.88</c:v>
                      </c:pt>
                      <c:pt idx="117">
                        <c:v>171.88</c:v>
                      </c:pt>
                      <c:pt idx="118">
                        <c:v>171.88</c:v>
                      </c:pt>
                      <c:pt idx="119">
                        <c:v>171.88</c:v>
                      </c:pt>
                      <c:pt idx="120">
                        <c:v>171.88</c:v>
                      </c:pt>
                      <c:pt idx="121">
                        <c:v>171.88</c:v>
                      </c:pt>
                      <c:pt idx="122">
                        <c:v>171.88</c:v>
                      </c:pt>
                      <c:pt idx="123">
                        <c:v>171.88</c:v>
                      </c:pt>
                      <c:pt idx="124">
                        <c:v>171.88</c:v>
                      </c:pt>
                      <c:pt idx="125">
                        <c:v>171.88</c:v>
                      </c:pt>
                      <c:pt idx="126">
                        <c:v>171.88</c:v>
                      </c:pt>
                      <c:pt idx="127">
                        <c:v>171.88</c:v>
                      </c:pt>
                      <c:pt idx="128">
                        <c:v>171.88</c:v>
                      </c:pt>
                      <c:pt idx="129">
                        <c:v>171.88</c:v>
                      </c:pt>
                      <c:pt idx="130">
                        <c:v>171.88</c:v>
                      </c:pt>
                      <c:pt idx="131">
                        <c:v>171.88</c:v>
                      </c:pt>
                      <c:pt idx="132">
                        <c:v>171.88</c:v>
                      </c:pt>
                      <c:pt idx="133">
                        <c:v>171.88</c:v>
                      </c:pt>
                      <c:pt idx="134">
                        <c:v>171.88</c:v>
                      </c:pt>
                      <c:pt idx="135">
                        <c:v>171.88</c:v>
                      </c:pt>
                      <c:pt idx="136">
                        <c:v>171.88</c:v>
                      </c:pt>
                      <c:pt idx="137">
                        <c:v>171.88</c:v>
                      </c:pt>
                      <c:pt idx="138">
                        <c:v>171.88</c:v>
                      </c:pt>
                      <c:pt idx="139">
                        <c:v>171.88</c:v>
                      </c:pt>
                      <c:pt idx="140">
                        <c:v>171.88</c:v>
                      </c:pt>
                      <c:pt idx="141">
                        <c:v>171.88</c:v>
                      </c:pt>
                      <c:pt idx="142">
                        <c:v>171.88</c:v>
                      </c:pt>
                      <c:pt idx="143">
                        <c:v>171.88</c:v>
                      </c:pt>
                      <c:pt idx="144">
                        <c:v>171.88</c:v>
                      </c:pt>
                      <c:pt idx="145">
                        <c:v>171.88</c:v>
                      </c:pt>
                      <c:pt idx="146">
                        <c:v>171.88</c:v>
                      </c:pt>
                      <c:pt idx="147">
                        <c:v>171.88</c:v>
                      </c:pt>
                      <c:pt idx="148">
                        <c:v>171.88</c:v>
                      </c:pt>
                      <c:pt idx="149">
                        <c:v>171.88</c:v>
                      </c:pt>
                      <c:pt idx="150">
                        <c:v>171.88</c:v>
                      </c:pt>
                      <c:pt idx="151">
                        <c:v>171.88</c:v>
                      </c:pt>
                      <c:pt idx="152">
                        <c:v>171.88</c:v>
                      </c:pt>
                      <c:pt idx="153">
                        <c:v>171.88</c:v>
                      </c:pt>
                      <c:pt idx="154">
                        <c:v>171.88</c:v>
                      </c:pt>
                      <c:pt idx="155">
                        <c:v>171.88</c:v>
                      </c:pt>
                      <c:pt idx="156">
                        <c:v>171.88</c:v>
                      </c:pt>
                      <c:pt idx="157">
                        <c:v>171.88</c:v>
                      </c:pt>
                      <c:pt idx="158">
                        <c:v>171.88</c:v>
                      </c:pt>
                      <c:pt idx="159">
                        <c:v>171.88</c:v>
                      </c:pt>
                      <c:pt idx="160">
                        <c:v>171.88</c:v>
                      </c:pt>
                      <c:pt idx="161">
                        <c:v>171.88</c:v>
                      </c:pt>
                      <c:pt idx="162">
                        <c:v>171.88</c:v>
                      </c:pt>
                      <c:pt idx="163">
                        <c:v>171.88</c:v>
                      </c:pt>
                      <c:pt idx="164">
                        <c:v>171.88</c:v>
                      </c:pt>
                      <c:pt idx="165">
                        <c:v>171.88</c:v>
                      </c:pt>
                      <c:pt idx="166">
                        <c:v>171.88</c:v>
                      </c:pt>
                      <c:pt idx="167">
                        <c:v>171.88</c:v>
                      </c:pt>
                      <c:pt idx="168">
                        <c:v>171.88</c:v>
                      </c:pt>
                      <c:pt idx="169">
                        <c:v>171.88</c:v>
                      </c:pt>
                      <c:pt idx="170">
                        <c:v>171.88</c:v>
                      </c:pt>
                      <c:pt idx="171">
                        <c:v>171.88</c:v>
                      </c:pt>
                      <c:pt idx="172">
                        <c:v>171.88</c:v>
                      </c:pt>
                      <c:pt idx="173">
                        <c:v>171.88</c:v>
                      </c:pt>
                      <c:pt idx="174">
                        <c:v>168.78</c:v>
                      </c:pt>
                      <c:pt idx="175">
                        <c:v>168.78</c:v>
                      </c:pt>
                      <c:pt idx="176">
                        <c:v>168.78</c:v>
                      </c:pt>
                      <c:pt idx="177">
                        <c:v>168.78</c:v>
                      </c:pt>
                      <c:pt idx="178">
                        <c:v>168.78</c:v>
                      </c:pt>
                      <c:pt idx="179">
                        <c:v>168.78</c:v>
                      </c:pt>
                      <c:pt idx="180">
                        <c:v>168.78</c:v>
                      </c:pt>
                      <c:pt idx="181">
                        <c:v>168.78</c:v>
                      </c:pt>
                      <c:pt idx="182">
                        <c:v>168.78</c:v>
                      </c:pt>
                      <c:pt idx="183">
                        <c:v>168.78</c:v>
                      </c:pt>
                      <c:pt idx="184">
                        <c:v>168.78</c:v>
                      </c:pt>
                      <c:pt idx="185">
                        <c:v>168.78</c:v>
                      </c:pt>
                      <c:pt idx="186">
                        <c:v>168.78</c:v>
                      </c:pt>
                      <c:pt idx="187">
                        <c:v>168.78</c:v>
                      </c:pt>
                      <c:pt idx="188">
                        <c:v>168.78</c:v>
                      </c:pt>
                      <c:pt idx="189">
                        <c:v>168.78</c:v>
                      </c:pt>
                      <c:pt idx="190">
                        <c:v>168.78</c:v>
                      </c:pt>
                      <c:pt idx="191">
                        <c:v>168.78</c:v>
                      </c:pt>
                      <c:pt idx="192">
                        <c:v>168.78</c:v>
                      </c:pt>
                      <c:pt idx="193">
                        <c:v>168.78</c:v>
                      </c:pt>
                      <c:pt idx="194">
                        <c:v>168.78</c:v>
                      </c:pt>
                      <c:pt idx="195">
                        <c:v>168.78</c:v>
                      </c:pt>
                      <c:pt idx="196">
                        <c:v>168.78</c:v>
                      </c:pt>
                      <c:pt idx="197">
                        <c:v>168.78</c:v>
                      </c:pt>
                      <c:pt idx="198">
                        <c:v>168.78</c:v>
                      </c:pt>
                      <c:pt idx="199">
                        <c:v>168.78</c:v>
                      </c:pt>
                      <c:pt idx="200">
                        <c:v>168.78</c:v>
                      </c:pt>
                      <c:pt idx="201">
                        <c:v>168.78</c:v>
                      </c:pt>
                      <c:pt idx="202">
                        <c:v>168.78</c:v>
                      </c:pt>
                      <c:pt idx="203">
                        <c:v>168.78</c:v>
                      </c:pt>
                      <c:pt idx="204">
                        <c:v>168.78</c:v>
                      </c:pt>
                      <c:pt idx="205">
                        <c:v>168.78</c:v>
                      </c:pt>
                      <c:pt idx="206">
                        <c:v>168.78</c:v>
                      </c:pt>
                      <c:pt idx="207">
                        <c:v>168.78</c:v>
                      </c:pt>
                      <c:pt idx="208">
                        <c:v>168.78</c:v>
                      </c:pt>
                      <c:pt idx="209">
                        <c:v>168.78</c:v>
                      </c:pt>
                      <c:pt idx="210">
                        <c:v>168.78</c:v>
                      </c:pt>
                      <c:pt idx="211">
                        <c:v>168.78</c:v>
                      </c:pt>
                      <c:pt idx="212">
                        <c:v>168.78</c:v>
                      </c:pt>
                      <c:pt idx="213">
                        <c:v>168.78</c:v>
                      </c:pt>
                      <c:pt idx="214">
                        <c:v>168.78</c:v>
                      </c:pt>
                      <c:pt idx="215">
                        <c:v>168.78</c:v>
                      </c:pt>
                      <c:pt idx="216">
                        <c:v>168.78</c:v>
                      </c:pt>
                      <c:pt idx="217">
                        <c:v>168.78</c:v>
                      </c:pt>
                      <c:pt idx="218">
                        <c:v>168.78</c:v>
                      </c:pt>
                      <c:pt idx="219">
                        <c:v>168.78</c:v>
                      </c:pt>
                      <c:pt idx="220">
                        <c:v>168.78</c:v>
                      </c:pt>
                      <c:pt idx="221">
                        <c:v>168.78</c:v>
                      </c:pt>
                      <c:pt idx="222">
                        <c:v>168.78</c:v>
                      </c:pt>
                      <c:pt idx="223">
                        <c:v>168.78</c:v>
                      </c:pt>
                      <c:pt idx="224">
                        <c:v>168.78</c:v>
                      </c:pt>
                      <c:pt idx="225">
                        <c:v>168.78</c:v>
                      </c:pt>
                      <c:pt idx="226">
                        <c:v>168.78</c:v>
                      </c:pt>
                      <c:pt idx="227">
                        <c:v>168.78</c:v>
                      </c:pt>
                      <c:pt idx="228">
                        <c:v>168.78</c:v>
                      </c:pt>
                      <c:pt idx="229">
                        <c:v>168.78</c:v>
                      </c:pt>
                      <c:pt idx="230">
                        <c:v>168.78</c:v>
                      </c:pt>
                      <c:pt idx="231">
                        <c:v>168.78</c:v>
                      </c:pt>
                      <c:pt idx="232" formatCode="General">
                        <c:v>163.52000000000001</c:v>
                      </c:pt>
                      <c:pt idx="233" formatCode="General">
                        <c:v>163.52000000000001</c:v>
                      </c:pt>
                      <c:pt idx="234" formatCode="General">
                        <c:v>163.52000000000001</c:v>
                      </c:pt>
                      <c:pt idx="235" formatCode="General">
                        <c:v>163.52000000000001</c:v>
                      </c:pt>
                      <c:pt idx="236" formatCode="General">
                        <c:v>163.52000000000001</c:v>
                      </c:pt>
                      <c:pt idx="237" formatCode="General">
                        <c:v>163.52000000000001</c:v>
                      </c:pt>
                      <c:pt idx="238" formatCode="General">
                        <c:v>163.52000000000001</c:v>
                      </c:pt>
                      <c:pt idx="239" formatCode="General">
                        <c:v>163.52000000000001</c:v>
                      </c:pt>
                      <c:pt idx="240" formatCode="General">
                        <c:v>163.52000000000001</c:v>
                      </c:pt>
                      <c:pt idx="241" formatCode="General">
                        <c:v>163.52000000000001</c:v>
                      </c:pt>
                      <c:pt idx="242" formatCode="General">
                        <c:v>163.52000000000001</c:v>
                      </c:pt>
                      <c:pt idx="243" formatCode="General">
                        <c:v>163.52000000000001</c:v>
                      </c:pt>
                      <c:pt idx="244" formatCode="General">
                        <c:v>163.52000000000001</c:v>
                      </c:pt>
                      <c:pt idx="245" formatCode="General">
                        <c:v>163.52000000000001</c:v>
                      </c:pt>
                      <c:pt idx="246" formatCode="General">
                        <c:v>163.52000000000001</c:v>
                      </c:pt>
                      <c:pt idx="247" formatCode="General">
                        <c:v>163.52000000000001</c:v>
                      </c:pt>
                      <c:pt idx="248" formatCode="General">
                        <c:v>163.52000000000001</c:v>
                      </c:pt>
                      <c:pt idx="249" formatCode="General">
                        <c:v>163.52000000000001</c:v>
                      </c:pt>
                      <c:pt idx="250" formatCode="General">
                        <c:v>163.52000000000001</c:v>
                      </c:pt>
                      <c:pt idx="251" formatCode="General">
                        <c:v>163.52000000000001</c:v>
                      </c:pt>
                      <c:pt idx="252" formatCode="General">
                        <c:v>163.52000000000001</c:v>
                      </c:pt>
                      <c:pt idx="253" formatCode="General">
                        <c:v>163.52000000000001</c:v>
                      </c:pt>
                      <c:pt idx="254" formatCode="General">
                        <c:v>163.52000000000001</c:v>
                      </c:pt>
                      <c:pt idx="255" formatCode="General">
                        <c:v>163.52000000000001</c:v>
                      </c:pt>
                      <c:pt idx="256" formatCode="General">
                        <c:v>163.52000000000001</c:v>
                      </c:pt>
                      <c:pt idx="257" formatCode="General">
                        <c:v>163.52000000000001</c:v>
                      </c:pt>
                      <c:pt idx="258" formatCode="General">
                        <c:v>163.52000000000001</c:v>
                      </c:pt>
                      <c:pt idx="259" formatCode="General">
                        <c:v>163.52000000000001</c:v>
                      </c:pt>
                      <c:pt idx="260" formatCode="General">
                        <c:v>163.52000000000001</c:v>
                      </c:pt>
                      <c:pt idx="261" formatCode="General">
                        <c:v>163.52000000000001</c:v>
                      </c:pt>
                      <c:pt idx="262" formatCode="General">
                        <c:v>163.52000000000001</c:v>
                      </c:pt>
                      <c:pt idx="263" formatCode="General">
                        <c:v>163.52000000000001</c:v>
                      </c:pt>
                      <c:pt idx="264" formatCode="General">
                        <c:v>163.52000000000001</c:v>
                      </c:pt>
                      <c:pt idx="265" formatCode="General">
                        <c:v>163.52000000000001</c:v>
                      </c:pt>
                      <c:pt idx="266" formatCode="General">
                        <c:v>163.52000000000001</c:v>
                      </c:pt>
                      <c:pt idx="267" formatCode="General">
                        <c:v>163.52000000000001</c:v>
                      </c:pt>
                      <c:pt idx="268" formatCode="General">
                        <c:v>163.52000000000001</c:v>
                      </c:pt>
                      <c:pt idx="269" formatCode="General">
                        <c:v>163.52000000000001</c:v>
                      </c:pt>
                      <c:pt idx="270" formatCode="General">
                        <c:v>163.52000000000001</c:v>
                      </c:pt>
                      <c:pt idx="271" formatCode="General">
                        <c:v>163.52000000000001</c:v>
                      </c:pt>
                      <c:pt idx="272" formatCode="General">
                        <c:v>163.52000000000001</c:v>
                      </c:pt>
                      <c:pt idx="273" formatCode="General">
                        <c:v>163.52000000000001</c:v>
                      </c:pt>
                      <c:pt idx="274" formatCode="General">
                        <c:v>163.52000000000001</c:v>
                      </c:pt>
                      <c:pt idx="275" formatCode="General">
                        <c:v>163.52000000000001</c:v>
                      </c:pt>
                      <c:pt idx="276" formatCode="General">
                        <c:v>163.52000000000001</c:v>
                      </c:pt>
                      <c:pt idx="277" formatCode="General">
                        <c:v>163.52000000000001</c:v>
                      </c:pt>
                      <c:pt idx="278" formatCode="General">
                        <c:v>163.52000000000001</c:v>
                      </c:pt>
                      <c:pt idx="279" formatCode="General">
                        <c:v>163.52000000000001</c:v>
                      </c:pt>
                      <c:pt idx="280" formatCode="General">
                        <c:v>163.52000000000001</c:v>
                      </c:pt>
                      <c:pt idx="281" formatCode="General">
                        <c:v>163.52000000000001</c:v>
                      </c:pt>
                      <c:pt idx="282" formatCode="General">
                        <c:v>163.52000000000001</c:v>
                      </c:pt>
                      <c:pt idx="283" formatCode="General">
                        <c:v>163.52000000000001</c:v>
                      </c:pt>
                      <c:pt idx="284" formatCode="General">
                        <c:v>163.52000000000001</c:v>
                      </c:pt>
                      <c:pt idx="285" formatCode="General">
                        <c:v>163.52000000000001</c:v>
                      </c:pt>
                      <c:pt idx="286" formatCode="General">
                        <c:v>163.52000000000001</c:v>
                      </c:pt>
                      <c:pt idx="287" formatCode="General">
                        <c:v>163.52000000000001</c:v>
                      </c:pt>
                      <c:pt idx="288" formatCode="General">
                        <c:v>163.52000000000001</c:v>
                      </c:pt>
                      <c:pt idx="289" formatCode="General">
                        <c:v>163.52000000000001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5C6-4E19-973B-91C5491E876C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(2)'!$S$1</c15:sqref>
                        </c15:formulaRef>
                      </c:ext>
                    </c:extLst>
                    <c:strCache>
                      <c:ptCount val="1"/>
                      <c:pt idx="0">
                        <c:v>Tỷ giá hối đoái thực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(2)'!$S$2:$S$311</c15:sqref>
                        </c15:formulaRef>
                      </c:ext>
                    </c:extLst>
                    <c:numCache>
                      <c:formatCode>General</c:formatCode>
                      <c:ptCount val="290"/>
                      <c:pt idx="0">
                        <c:v>18.15720751816248</c:v>
                      </c:pt>
                      <c:pt idx="1">
                        <c:v>18.15720751816248</c:v>
                      </c:pt>
                      <c:pt idx="2">
                        <c:v>18.15720751816248</c:v>
                      </c:pt>
                      <c:pt idx="3">
                        <c:v>18.15720751816248</c:v>
                      </c:pt>
                      <c:pt idx="4">
                        <c:v>18.15720751816248</c:v>
                      </c:pt>
                      <c:pt idx="5">
                        <c:v>18.15720751816248</c:v>
                      </c:pt>
                      <c:pt idx="6">
                        <c:v>18.15720751816248</c:v>
                      </c:pt>
                      <c:pt idx="7">
                        <c:v>18.15720751816248</c:v>
                      </c:pt>
                      <c:pt idx="8">
                        <c:v>18.15720751816248</c:v>
                      </c:pt>
                      <c:pt idx="9">
                        <c:v>18.15720751816248</c:v>
                      </c:pt>
                      <c:pt idx="10">
                        <c:v>18.15720751816248</c:v>
                      </c:pt>
                      <c:pt idx="11">
                        <c:v>18.15720751816248</c:v>
                      </c:pt>
                      <c:pt idx="12">
                        <c:v>18.15720751816248</c:v>
                      </c:pt>
                      <c:pt idx="13">
                        <c:v>18.15720751816248</c:v>
                      </c:pt>
                      <c:pt idx="14">
                        <c:v>18.15720751816248</c:v>
                      </c:pt>
                      <c:pt idx="15">
                        <c:v>18.15720751816248</c:v>
                      </c:pt>
                      <c:pt idx="16">
                        <c:v>18.15720751816248</c:v>
                      </c:pt>
                      <c:pt idx="17">
                        <c:v>18.15720751816248</c:v>
                      </c:pt>
                      <c:pt idx="18">
                        <c:v>18.15720751816248</c:v>
                      </c:pt>
                      <c:pt idx="19">
                        <c:v>18.15720751816248</c:v>
                      </c:pt>
                      <c:pt idx="20">
                        <c:v>18.15720751816248</c:v>
                      </c:pt>
                      <c:pt idx="21">
                        <c:v>18.15720751816248</c:v>
                      </c:pt>
                      <c:pt idx="22">
                        <c:v>18.15720751816248</c:v>
                      </c:pt>
                      <c:pt idx="23">
                        <c:v>18.15720751816248</c:v>
                      </c:pt>
                      <c:pt idx="24">
                        <c:v>18.15720751816248</c:v>
                      </c:pt>
                      <c:pt idx="25">
                        <c:v>18.15720751816248</c:v>
                      </c:pt>
                      <c:pt idx="26">
                        <c:v>18.15720751816248</c:v>
                      </c:pt>
                      <c:pt idx="27">
                        <c:v>18.15720751816248</c:v>
                      </c:pt>
                      <c:pt idx="28">
                        <c:v>18.15720751816248</c:v>
                      </c:pt>
                      <c:pt idx="29">
                        <c:v>18.15720751816248</c:v>
                      </c:pt>
                      <c:pt idx="30">
                        <c:v>18.15720751816248</c:v>
                      </c:pt>
                      <c:pt idx="31">
                        <c:v>18.15720751816248</c:v>
                      </c:pt>
                      <c:pt idx="32">
                        <c:v>18.15720751816248</c:v>
                      </c:pt>
                      <c:pt idx="33">
                        <c:v>18.15720751816248</c:v>
                      </c:pt>
                      <c:pt idx="34">
                        <c:v>18.15720751816248</c:v>
                      </c:pt>
                      <c:pt idx="35">
                        <c:v>18.15720751816248</c:v>
                      </c:pt>
                      <c:pt idx="36">
                        <c:v>18.15720751816248</c:v>
                      </c:pt>
                      <c:pt idx="37">
                        <c:v>18.15720751816248</c:v>
                      </c:pt>
                      <c:pt idx="38">
                        <c:v>18.15720751816248</c:v>
                      </c:pt>
                      <c:pt idx="39">
                        <c:v>18.15720751816248</c:v>
                      </c:pt>
                      <c:pt idx="40">
                        <c:v>18.15720751816248</c:v>
                      </c:pt>
                      <c:pt idx="41">
                        <c:v>18.15720751816248</c:v>
                      </c:pt>
                      <c:pt idx="42">
                        <c:v>18.15720751816248</c:v>
                      </c:pt>
                      <c:pt idx="43">
                        <c:v>18.15720751816248</c:v>
                      </c:pt>
                      <c:pt idx="44">
                        <c:v>18.15720751816248</c:v>
                      </c:pt>
                      <c:pt idx="45">
                        <c:v>18.15720751816248</c:v>
                      </c:pt>
                      <c:pt idx="46">
                        <c:v>18.15720751816248</c:v>
                      </c:pt>
                      <c:pt idx="47">
                        <c:v>18.15720751816248</c:v>
                      </c:pt>
                      <c:pt idx="48">
                        <c:v>18.15720751816248</c:v>
                      </c:pt>
                      <c:pt idx="49">
                        <c:v>18.15720751816248</c:v>
                      </c:pt>
                      <c:pt idx="50">
                        <c:v>18.15720751816248</c:v>
                      </c:pt>
                      <c:pt idx="51">
                        <c:v>18.15720751816248</c:v>
                      </c:pt>
                      <c:pt idx="52">
                        <c:v>18.15720751816248</c:v>
                      </c:pt>
                      <c:pt idx="53">
                        <c:v>18.15720751816248</c:v>
                      </c:pt>
                      <c:pt idx="54">
                        <c:v>18.15720751816248</c:v>
                      </c:pt>
                      <c:pt idx="55">
                        <c:v>18.15720751816248</c:v>
                      </c:pt>
                      <c:pt idx="56">
                        <c:v>18.15720751816248</c:v>
                      </c:pt>
                      <c:pt idx="57">
                        <c:v>18.15720751816248</c:v>
                      </c:pt>
                      <c:pt idx="58">
                        <c:v>17.614513730895045</c:v>
                      </c:pt>
                      <c:pt idx="59">
                        <c:v>17.614513730895045</c:v>
                      </c:pt>
                      <c:pt idx="60">
                        <c:v>17.614513730895045</c:v>
                      </c:pt>
                      <c:pt idx="61">
                        <c:v>17.614513730895045</c:v>
                      </c:pt>
                      <c:pt idx="62">
                        <c:v>17.614513730895045</c:v>
                      </c:pt>
                      <c:pt idx="63">
                        <c:v>17.614513730895045</c:v>
                      </c:pt>
                      <c:pt idx="64">
                        <c:v>17.614513730895045</c:v>
                      </c:pt>
                      <c:pt idx="65">
                        <c:v>17.614513730895045</c:v>
                      </c:pt>
                      <c:pt idx="66">
                        <c:v>17.614513730895045</c:v>
                      </c:pt>
                      <c:pt idx="67">
                        <c:v>17.614513730895045</c:v>
                      </c:pt>
                      <c:pt idx="68">
                        <c:v>17.614513730895045</c:v>
                      </c:pt>
                      <c:pt idx="69">
                        <c:v>17.614513730895045</c:v>
                      </c:pt>
                      <c:pt idx="70">
                        <c:v>17.614513730895045</c:v>
                      </c:pt>
                      <c:pt idx="71">
                        <c:v>17.614513730895045</c:v>
                      </c:pt>
                      <c:pt idx="72">
                        <c:v>17.614513730895045</c:v>
                      </c:pt>
                      <c:pt idx="73">
                        <c:v>17.614513730895045</c:v>
                      </c:pt>
                      <c:pt idx="74">
                        <c:v>17.614513730895045</c:v>
                      </c:pt>
                      <c:pt idx="75">
                        <c:v>17.614513730895045</c:v>
                      </c:pt>
                      <c:pt idx="76">
                        <c:v>17.614513730895045</c:v>
                      </c:pt>
                      <c:pt idx="77">
                        <c:v>17.614513730895045</c:v>
                      </c:pt>
                      <c:pt idx="78">
                        <c:v>17.614513730895045</c:v>
                      </c:pt>
                      <c:pt idx="79">
                        <c:v>17.614513730895045</c:v>
                      </c:pt>
                      <c:pt idx="80">
                        <c:v>17.614513730895045</c:v>
                      </c:pt>
                      <c:pt idx="81">
                        <c:v>17.614513730895045</c:v>
                      </c:pt>
                      <c:pt idx="82">
                        <c:v>17.614513730895045</c:v>
                      </c:pt>
                      <c:pt idx="83">
                        <c:v>17.614513730895045</c:v>
                      </c:pt>
                      <c:pt idx="84">
                        <c:v>17.614513730895045</c:v>
                      </c:pt>
                      <c:pt idx="85">
                        <c:v>17.614513730895045</c:v>
                      </c:pt>
                      <c:pt idx="86">
                        <c:v>17.614513730895045</c:v>
                      </c:pt>
                      <c:pt idx="87">
                        <c:v>17.614513730895045</c:v>
                      </c:pt>
                      <c:pt idx="88">
                        <c:v>17.614513730895045</c:v>
                      </c:pt>
                      <c:pt idx="89">
                        <c:v>17.614513730895045</c:v>
                      </c:pt>
                      <c:pt idx="90">
                        <c:v>17.614513730895045</c:v>
                      </c:pt>
                      <c:pt idx="91">
                        <c:v>17.614513730895045</c:v>
                      </c:pt>
                      <c:pt idx="92">
                        <c:v>17.614513730895045</c:v>
                      </c:pt>
                      <c:pt idx="93">
                        <c:v>17.614513730895045</c:v>
                      </c:pt>
                      <c:pt idx="94">
                        <c:v>17.614513730895045</c:v>
                      </c:pt>
                      <c:pt idx="95">
                        <c:v>17.614513730895045</c:v>
                      </c:pt>
                      <c:pt idx="96">
                        <c:v>17.614513730895045</c:v>
                      </c:pt>
                      <c:pt idx="97">
                        <c:v>17.614513730895045</c:v>
                      </c:pt>
                      <c:pt idx="98">
                        <c:v>17.614513730895045</c:v>
                      </c:pt>
                      <c:pt idx="99">
                        <c:v>17.614513730895045</c:v>
                      </c:pt>
                      <c:pt idx="100">
                        <c:v>17.614513730895045</c:v>
                      </c:pt>
                      <c:pt idx="101">
                        <c:v>17.614513730895045</c:v>
                      </c:pt>
                      <c:pt idx="102">
                        <c:v>17.614513730895045</c:v>
                      </c:pt>
                      <c:pt idx="103">
                        <c:v>17.614513730895045</c:v>
                      </c:pt>
                      <c:pt idx="104">
                        <c:v>17.614513730895045</c:v>
                      </c:pt>
                      <c:pt idx="105">
                        <c:v>17.614513730895045</c:v>
                      </c:pt>
                      <c:pt idx="106">
                        <c:v>17.614513730895045</c:v>
                      </c:pt>
                      <c:pt idx="107">
                        <c:v>17.614513730895045</c:v>
                      </c:pt>
                      <c:pt idx="108">
                        <c:v>17.614513730895045</c:v>
                      </c:pt>
                      <c:pt idx="109">
                        <c:v>17.614513730895045</c:v>
                      </c:pt>
                      <c:pt idx="110">
                        <c:v>17.614513730895045</c:v>
                      </c:pt>
                      <c:pt idx="111">
                        <c:v>17.614513730895045</c:v>
                      </c:pt>
                      <c:pt idx="112">
                        <c:v>17.614513730895045</c:v>
                      </c:pt>
                      <c:pt idx="113">
                        <c:v>17.614513730895045</c:v>
                      </c:pt>
                      <c:pt idx="114">
                        <c:v>17.614513730895045</c:v>
                      </c:pt>
                      <c:pt idx="115">
                        <c:v>17.614513730895045</c:v>
                      </c:pt>
                      <c:pt idx="116">
                        <c:v>16.744625219813141</c:v>
                      </c:pt>
                      <c:pt idx="117">
                        <c:v>16.744625219813141</c:v>
                      </c:pt>
                      <c:pt idx="118">
                        <c:v>16.744625219813141</c:v>
                      </c:pt>
                      <c:pt idx="119">
                        <c:v>16.744625219813141</c:v>
                      </c:pt>
                      <c:pt idx="120">
                        <c:v>16.744625219813141</c:v>
                      </c:pt>
                      <c:pt idx="121">
                        <c:v>16.744625219813141</c:v>
                      </c:pt>
                      <c:pt idx="122">
                        <c:v>16.744625219813141</c:v>
                      </c:pt>
                      <c:pt idx="123">
                        <c:v>16.744625219813141</c:v>
                      </c:pt>
                      <c:pt idx="124">
                        <c:v>16.744625219813141</c:v>
                      </c:pt>
                      <c:pt idx="125">
                        <c:v>16.744625219813141</c:v>
                      </c:pt>
                      <c:pt idx="126">
                        <c:v>16.744625219813141</c:v>
                      </c:pt>
                      <c:pt idx="127">
                        <c:v>16.744625219813141</c:v>
                      </c:pt>
                      <c:pt idx="128">
                        <c:v>16.744625219813141</c:v>
                      </c:pt>
                      <c:pt idx="129">
                        <c:v>16.744625219813141</c:v>
                      </c:pt>
                      <c:pt idx="130">
                        <c:v>16.744625219813141</c:v>
                      </c:pt>
                      <c:pt idx="131">
                        <c:v>16.744625219813141</c:v>
                      </c:pt>
                      <c:pt idx="132">
                        <c:v>16.744625219813141</c:v>
                      </c:pt>
                      <c:pt idx="133">
                        <c:v>16.744625219813141</c:v>
                      </c:pt>
                      <c:pt idx="134">
                        <c:v>16.744625219813141</c:v>
                      </c:pt>
                      <c:pt idx="135">
                        <c:v>16.744625219813141</c:v>
                      </c:pt>
                      <c:pt idx="136">
                        <c:v>16.744625219813141</c:v>
                      </c:pt>
                      <c:pt idx="137">
                        <c:v>16.744625219813141</c:v>
                      </c:pt>
                      <c:pt idx="138">
                        <c:v>16.744625219813141</c:v>
                      </c:pt>
                      <c:pt idx="139">
                        <c:v>16.744625219813141</c:v>
                      </c:pt>
                      <c:pt idx="140">
                        <c:v>16.744625219813141</c:v>
                      </c:pt>
                      <c:pt idx="141">
                        <c:v>16.744625219813141</c:v>
                      </c:pt>
                      <c:pt idx="142">
                        <c:v>16.744625219813141</c:v>
                      </c:pt>
                      <c:pt idx="143">
                        <c:v>16.744625219813141</c:v>
                      </c:pt>
                      <c:pt idx="144">
                        <c:v>16.744625219813141</c:v>
                      </c:pt>
                      <c:pt idx="145">
                        <c:v>16.744625219813141</c:v>
                      </c:pt>
                      <c:pt idx="146">
                        <c:v>16.744625219813141</c:v>
                      </c:pt>
                      <c:pt idx="147">
                        <c:v>16.744625219813141</c:v>
                      </c:pt>
                      <c:pt idx="148">
                        <c:v>16.744625219813141</c:v>
                      </c:pt>
                      <c:pt idx="149">
                        <c:v>16.744625219813141</c:v>
                      </c:pt>
                      <c:pt idx="150">
                        <c:v>16.744625219813141</c:v>
                      </c:pt>
                      <c:pt idx="151">
                        <c:v>16.744625219813141</c:v>
                      </c:pt>
                      <c:pt idx="152">
                        <c:v>16.744625219813141</c:v>
                      </c:pt>
                      <c:pt idx="153">
                        <c:v>16.744625219813141</c:v>
                      </c:pt>
                      <c:pt idx="154">
                        <c:v>16.744625219813141</c:v>
                      </c:pt>
                      <c:pt idx="155">
                        <c:v>16.744625219813141</c:v>
                      </c:pt>
                      <c:pt idx="156">
                        <c:v>16.744625219813141</c:v>
                      </c:pt>
                      <c:pt idx="157">
                        <c:v>16.744625219813141</c:v>
                      </c:pt>
                      <c:pt idx="158">
                        <c:v>16.744625219813141</c:v>
                      </c:pt>
                      <c:pt idx="159">
                        <c:v>16.744625219813141</c:v>
                      </c:pt>
                      <c:pt idx="160">
                        <c:v>16.744625219813141</c:v>
                      </c:pt>
                      <c:pt idx="161">
                        <c:v>16.744625219813141</c:v>
                      </c:pt>
                      <c:pt idx="162">
                        <c:v>16.744625219813141</c:v>
                      </c:pt>
                      <c:pt idx="163">
                        <c:v>16.744625219813141</c:v>
                      </c:pt>
                      <c:pt idx="164">
                        <c:v>16.744625219813141</c:v>
                      </c:pt>
                      <c:pt idx="165">
                        <c:v>16.744625219813141</c:v>
                      </c:pt>
                      <c:pt idx="166">
                        <c:v>16.744625219813141</c:v>
                      </c:pt>
                      <c:pt idx="167">
                        <c:v>16.744625219813141</c:v>
                      </c:pt>
                      <c:pt idx="168">
                        <c:v>16.744625219813141</c:v>
                      </c:pt>
                      <c:pt idx="169">
                        <c:v>16.744625219813141</c:v>
                      </c:pt>
                      <c:pt idx="170">
                        <c:v>16.744625219813141</c:v>
                      </c:pt>
                      <c:pt idx="171">
                        <c:v>16.744625219813141</c:v>
                      </c:pt>
                      <c:pt idx="172">
                        <c:v>16.744625219813141</c:v>
                      </c:pt>
                      <c:pt idx="173">
                        <c:v>16.744625219813141</c:v>
                      </c:pt>
                      <c:pt idx="174">
                        <c:v>16.320661437867813</c:v>
                      </c:pt>
                      <c:pt idx="175">
                        <c:v>16.320661437867813</c:v>
                      </c:pt>
                      <c:pt idx="176">
                        <c:v>16.320661437867813</c:v>
                      </c:pt>
                      <c:pt idx="177">
                        <c:v>16.320661437867813</c:v>
                      </c:pt>
                      <c:pt idx="178">
                        <c:v>16.320661437867813</c:v>
                      </c:pt>
                      <c:pt idx="179">
                        <c:v>16.320661437867813</c:v>
                      </c:pt>
                      <c:pt idx="180">
                        <c:v>16.320661437867813</c:v>
                      </c:pt>
                      <c:pt idx="181">
                        <c:v>16.320661437867813</c:v>
                      </c:pt>
                      <c:pt idx="182">
                        <c:v>16.320661437867813</c:v>
                      </c:pt>
                      <c:pt idx="183">
                        <c:v>16.320661437867813</c:v>
                      </c:pt>
                      <c:pt idx="184">
                        <c:v>16.320661437867813</c:v>
                      </c:pt>
                      <c:pt idx="185">
                        <c:v>16.320661437867813</c:v>
                      </c:pt>
                      <c:pt idx="186">
                        <c:v>16.320661437867813</c:v>
                      </c:pt>
                      <c:pt idx="187">
                        <c:v>16.320661437867813</c:v>
                      </c:pt>
                      <c:pt idx="188">
                        <c:v>16.320661437867813</c:v>
                      </c:pt>
                      <c:pt idx="189">
                        <c:v>16.320661437867813</c:v>
                      </c:pt>
                      <c:pt idx="190">
                        <c:v>16.320661437867813</c:v>
                      </c:pt>
                      <c:pt idx="191">
                        <c:v>16.320661437867813</c:v>
                      </c:pt>
                      <c:pt idx="192">
                        <c:v>16.320661437867813</c:v>
                      </c:pt>
                      <c:pt idx="193">
                        <c:v>16.320661437867813</c:v>
                      </c:pt>
                      <c:pt idx="194">
                        <c:v>16.320661437867813</c:v>
                      </c:pt>
                      <c:pt idx="195">
                        <c:v>16.320661437867813</c:v>
                      </c:pt>
                      <c:pt idx="196">
                        <c:v>16.320661437867813</c:v>
                      </c:pt>
                      <c:pt idx="197">
                        <c:v>16.320661437867813</c:v>
                      </c:pt>
                      <c:pt idx="198">
                        <c:v>16.320661437867813</c:v>
                      </c:pt>
                      <c:pt idx="199">
                        <c:v>16.320661437867813</c:v>
                      </c:pt>
                      <c:pt idx="200">
                        <c:v>16.320661437867813</c:v>
                      </c:pt>
                      <c:pt idx="201">
                        <c:v>16.320661437867813</c:v>
                      </c:pt>
                      <c:pt idx="202">
                        <c:v>16.320661437867813</c:v>
                      </c:pt>
                      <c:pt idx="203">
                        <c:v>16.320661437867813</c:v>
                      </c:pt>
                      <c:pt idx="204">
                        <c:v>16.320661437867813</c:v>
                      </c:pt>
                      <c:pt idx="205">
                        <c:v>16.320661437867813</c:v>
                      </c:pt>
                      <c:pt idx="206">
                        <c:v>16.320661437867813</c:v>
                      </c:pt>
                      <c:pt idx="207">
                        <c:v>16.320661437867813</c:v>
                      </c:pt>
                      <c:pt idx="208">
                        <c:v>16.320661437867813</c:v>
                      </c:pt>
                      <c:pt idx="209">
                        <c:v>16.320661437867813</c:v>
                      </c:pt>
                      <c:pt idx="210">
                        <c:v>16.320661437867813</c:v>
                      </c:pt>
                      <c:pt idx="211">
                        <c:v>16.320661437867813</c:v>
                      </c:pt>
                      <c:pt idx="212">
                        <c:v>16.320661437867813</c:v>
                      </c:pt>
                      <c:pt idx="213">
                        <c:v>16.320661437867813</c:v>
                      </c:pt>
                      <c:pt idx="214">
                        <c:v>16.320661437867813</c:v>
                      </c:pt>
                      <c:pt idx="215">
                        <c:v>16.320661437867813</c:v>
                      </c:pt>
                      <c:pt idx="216">
                        <c:v>16.320661437867813</c:v>
                      </c:pt>
                      <c:pt idx="217">
                        <c:v>16.320661437867813</c:v>
                      </c:pt>
                      <c:pt idx="218">
                        <c:v>16.320661437867813</c:v>
                      </c:pt>
                      <c:pt idx="219">
                        <c:v>16.320661437867813</c:v>
                      </c:pt>
                      <c:pt idx="220">
                        <c:v>16.320661437867813</c:v>
                      </c:pt>
                      <c:pt idx="221">
                        <c:v>16.320661437867813</c:v>
                      </c:pt>
                      <c:pt idx="222">
                        <c:v>16.320661437867813</c:v>
                      </c:pt>
                      <c:pt idx="223">
                        <c:v>16.320661437867813</c:v>
                      </c:pt>
                      <c:pt idx="224">
                        <c:v>16.320661437867813</c:v>
                      </c:pt>
                      <c:pt idx="225">
                        <c:v>16.320661437867813</c:v>
                      </c:pt>
                      <c:pt idx="226">
                        <c:v>16.320661437867813</c:v>
                      </c:pt>
                      <c:pt idx="227">
                        <c:v>16.320661437867813</c:v>
                      </c:pt>
                      <c:pt idx="228">
                        <c:v>16.320661437867813</c:v>
                      </c:pt>
                      <c:pt idx="229">
                        <c:v>16.320661437867813</c:v>
                      </c:pt>
                      <c:pt idx="230">
                        <c:v>16.320661437867813</c:v>
                      </c:pt>
                      <c:pt idx="231">
                        <c:v>16.320661437867813</c:v>
                      </c:pt>
                      <c:pt idx="232">
                        <c:v>16.526481977739749</c:v>
                      </c:pt>
                      <c:pt idx="233">
                        <c:v>16.526481977739749</c:v>
                      </c:pt>
                      <c:pt idx="234">
                        <c:v>16.526481977739749</c:v>
                      </c:pt>
                      <c:pt idx="235">
                        <c:v>16.526481977739749</c:v>
                      </c:pt>
                      <c:pt idx="236">
                        <c:v>16.526481977739749</c:v>
                      </c:pt>
                      <c:pt idx="237">
                        <c:v>16.526481977739749</c:v>
                      </c:pt>
                      <c:pt idx="238">
                        <c:v>16.526481977739749</c:v>
                      </c:pt>
                      <c:pt idx="239">
                        <c:v>16.526481977739749</c:v>
                      </c:pt>
                      <c:pt idx="240">
                        <c:v>16.526481977739749</c:v>
                      </c:pt>
                      <c:pt idx="241">
                        <c:v>16.526481977739749</c:v>
                      </c:pt>
                      <c:pt idx="242">
                        <c:v>16.526481977739749</c:v>
                      </c:pt>
                      <c:pt idx="243">
                        <c:v>16.526481977739749</c:v>
                      </c:pt>
                      <c:pt idx="244">
                        <c:v>16.526481977739749</c:v>
                      </c:pt>
                      <c:pt idx="245">
                        <c:v>16.526481977739749</c:v>
                      </c:pt>
                      <c:pt idx="246">
                        <c:v>16.526481977739749</c:v>
                      </c:pt>
                      <c:pt idx="247">
                        <c:v>16.526481977739749</c:v>
                      </c:pt>
                      <c:pt idx="248">
                        <c:v>16.526481977739749</c:v>
                      </c:pt>
                      <c:pt idx="249">
                        <c:v>16.526481977739749</c:v>
                      </c:pt>
                      <c:pt idx="250">
                        <c:v>16.526481977739749</c:v>
                      </c:pt>
                      <c:pt idx="251">
                        <c:v>16.526481977739749</c:v>
                      </c:pt>
                      <c:pt idx="252">
                        <c:v>16.526481977739749</c:v>
                      </c:pt>
                      <c:pt idx="253">
                        <c:v>16.526481977739749</c:v>
                      </c:pt>
                      <c:pt idx="254">
                        <c:v>16.526481977739749</c:v>
                      </c:pt>
                      <c:pt idx="255">
                        <c:v>16.526481977739749</c:v>
                      </c:pt>
                      <c:pt idx="256">
                        <c:v>16.526481977739749</c:v>
                      </c:pt>
                      <c:pt idx="257">
                        <c:v>16.526481977739749</c:v>
                      </c:pt>
                      <c:pt idx="258">
                        <c:v>16.526481977739749</c:v>
                      </c:pt>
                      <c:pt idx="259">
                        <c:v>16.526481977739749</c:v>
                      </c:pt>
                      <c:pt idx="260">
                        <c:v>16.526481977739749</c:v>
                      </c:pt>
                      <c:pt idx="261">
                        <c:v>16.526481977739749</c:v>
                      </c:pt>
                      <c:pt idx="262">
                        <c:v>16.526481977739749</c:v>
                      </c:pt>
                      <c:pt idx="263">
                        <c:v>16.526481977739749</c:v>
                      </c:pt>
                      <c:pt idx="264">
                        <c:v>16.526481977739749</c:v>
                      </c:pt>
                      <c:pt idx="265">
                        <c:v>16.526481977739749</c:v>
                      </c:pt>
                      <c:pt idx="266">
                        <c:v>16.526481977739749</c:v>
                      </c:pt>
                      <c:pt idx="267">
                        <c:v>16.526481977739749</c:v>
                      </c:pt>
                      <c:pt idx="268">
                        <c:v>16.526481977739749</c:v>
                      </c:pt>
                      <c:pt idx="269">
                        <c:v>16.526481977739749</c:v>
                      </c:pt>
                      <c:pt idx="270">
                        <c:v>16.526481977739749</c:v>
                      </c:pt>
                      <c:pt idx="271">
                        <c:v>16.526481977739749</c:v>
                      </c:pt>
                      <c:pt idx="272">
                        <c:v>16.526481977739749</c:v>
                      </c:pt>
                      <c:pt idx="273">
                        <c:v>16.526481977739749</c:v>
                      </c:pt>
                      <c:pt idx="274">
                        <c:v>16.526481977739749</c:v>
                      </c:pt>
                      <c:pt idx="275">
                        <c:v>16.526481977739749</c:v>
                      </c:pt>
                      <c:pt idx="276">
                        <c:v>16.526481977739749</c:v>
                      </c:pt>
                      <c:pt idx="277">
                        <c:v>16.526481977739749</c:v>
                      </c:pt>
                      <c:pt idx="278">
                        <c:v>16.526481977739749</c:v>
                      </c:pt>
                      <c:pt idx="279">
                        <c:v>16.526481977739749</c:v>
                      </c:pt>
                      <c:pt idx="280">
                        <c:v>16.526481977739749</c:v>
                      </c:pt>
                      <c:pt idx="281">
                        <c:v>16.526481977739749</c:v>
                      </c:pt>
                      <c:pt idx="282">
                        <c:v>16.526481977739749</c:v>
                      </c:pt>
                      <c:pt idx="283">
                        <c:v>16.526481977739749</c:v>
                      </c:pt>
                      <c:pt idx="284">
                        <c:v>16.526481977739749</c:v>
                      </c:pt>
                      <c:pt idx="285">
                        <c:v>16.526481977739749</c:v>
                      </c:pt>
                      <c:pt idx="286">
                        <c:v>16.526481977739749</c:v>
                      </c:pt>
                      <c:pt idx="287">
                        <c:v>16.526481977739749</c:v>
                      </c:pt>
                      <c:pt idx="288">
                        <c:v>16.526481977739749</c:v>
                      </c:pt>
                      <c:pt idx="289">
                        <c:v>16.526481977739749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5C6-4E19-973B-91C5491E876C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(2)'!$V$1</c15:sqref>
                        </c15:formulaRef>
                      </c:ext>
                    </c:extLst>
                    <c:strCache>
                      <c:ptCount val="1"/>
                      <c:pt idx="0">
                        <c:v>LEV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(2)'!$V$2:$V$311</c15:sqref>
                        </c15:formulaRef>
                      </c:ext>
                    </c:extLst>
                    <c:numCache>
                      <c:formatCode>0.0%</c:formatCode>
                      <c:ptCount val="290"/>
                      <c:pt idx="0">
                        <c:v>5.044513314514696E-2</c:v>
                      </c:pt>
                      <c:pt idx="1">
                        <c:v>0.40679650557024927</c:v>
                      </c:pt>
                      <c:pt idx="2">
                        <c:v>0.72786535122318952</c:v>
                      </c:pt>
                      <c:pt idx="3">
                        <c:v>0.32713688752880388</c:v>
                      </c:pt>
                      <c:pt idx="4">
                        <c:v>1.1888225121442746</c:v>
                      </c:pt>
                      <c:pt idx="5">
                        <c:v>1.7266967310680847</c:v>
                      </c:pt>
                      <c:pt idx="6">
                        <c:v>0.79526291080306766</c:v>
                      </c:pt>
                      <c:pt idx="7">
                        <c:v>1.5947765490688937</c:v>
                      </c:pt>
                      <c:pt idx="8">
                        <c:v>2.4237728224062818</c:v>
                      </c:pt>
                      <c:pt idx="9">
                        <c:v>0.64818895273915755</c:v>
                      </c:pt>
                      <c:pt idx="10">
                        <c:v>0.34714439485641946</c:v>
                      </c:pt>
                      <c:pt idx="11">
                        <c:v>3.8028940412595351E-2</c:v>
                      </c:pt>
                      <c:pt idx="12">
                        <c:v>0.7893996895832216</c:v>
                      </c:pt>
                      <c:pt idx="13">
                        <c:v>1.2927478946547688</c:v>
                      </c:pt>
                      <c:pt idx="14">
                        <c:v>1.9333182298746412</c:v>
                      </c:pt>
                      <c:pt idx="15">
                        <c:v>2.4033683274120698</c:v>
                      </c:pt>
                      <c:pt idx="16">
                        <c:v>0.97519893363493138</c:v>
                      </c:pt>
                      <c:pt idx="17">
                        <c:v>1.7884802201346481</c:v>
                      </c:pt>
                      <c:pt idx="18">
                        <c:v>0.60354185914291802</c:v>
                      </c:pt>
                      <c:pt idx="19">
                        <c:v>0.82800973113000165</c:v>
                      </c:pt>
                      <c:pt idx="20">
                        <c:v>0.35591032139932055</c:v>
                      </c:pt>
                      <c:pt idx="21">
                        <c:v>0.50222613523497406</c:v>
                      </c:pt>
                      <c:pt idx="22">
                        <c:v>0.40201813094878897</c:v>
                      </c:pt>
                      <c:pt idx="23">
                        <c:v>0.31986002362032606</c:v>
                      </c:pt>
                      <c:pt idx="24">
                        <c:v>6.8046628506185369E-2</c:v>
                      </c:pt>
                      <c:pt idx="25">
                        <c:v>2.1304154118251373</c:v>
                      </c:pt>
                      <c:pt idx="26">
                        <c:v>0.72360919721925354</c:v>
                      </c:pt>
                      <c:pt idx="27">
                        <c:v>3.8280214010189544E-2</c:v>
                      </c:pt>
                      <c:pt idx="28">
                        <c:v>9.0907644976437496E-2</c:v>
                      </c:pt>
                      <c:pt idx="29">
                        <c:v>1.9967770307574275</c:v>
                      </c:pt>
                      <c:pt idx="30">
                        <c:v>0.73214789508059874</c:v>
                      </c:pt>
                      <c:pt idx="31">
                        <c:v>1.4192053500789261</c:v>
                      </c:pt>
                      <c:pt idx="32">
                        <c:v>0.74179847397777876</c:v>
                      </c:pt>
                      <c:pt idx="33">
                        <c:v>0.37183465071765853</c:v>
                      </c:pt>
                      <c:pt idx="34">
                        <c:v>0.49780607804319299</c:v>
                      </c:pt>
                      <c:pt idx="35">
                        <c:v>0.48020423081935998</c:v>
                      </c:pt>
                      <c:pt idx="36">
                        <c:v>0.59175174684547671</c:v>
                      </c:pt>
                      <c:pt idx="37">
                        <c:v>0.11980122504839391</c:v>
                      </c:pt>
                      <c:pt idx="38">
                        <c:v>2.8544483897256079</c:v>
                      </c:pt>
                      <c:pt idx="39">
                        <c:v>1.0681311629394652</c:v>
                      </c:pt>
                      <c:pt idx="40">
                        <c:v>0.57852545949320744</c:v>
                      </c:pt>
                      <c:pt idx="41">
                        <c:v>0.5359319842200071</c:v>
                      </c:pt>
                      <c:pt idx="42">
                        <c:v>1.4196399378290605</c:v>
                      </c:pt>
                      <c:pt idx="43">
                        <c:v>0.47127184374834608</c:v>
                      </c:pt>
                      <c:pt idx="44">
                        <c:v>1.6062471757794849</c:v>
                      </c:pt>
                      <c:pt idx="45">
                        <c:v>0.33633171903427089</c:v>
                      </c:pt>
                      <c:pt idx="46">
                        <c:v>2.0753716692468025</c:v>
                      </c:pt>
                      <c:pt idx="47">
                        <c:v>0.69886927661110532</c:v>
                      </c:pt>
                      <c:pt idx="48">
                        <c:v>2.0378707567384682</c:v>
                      </c:pt>
                      <c:pt idx="49">
                        <c:v>0.40305705579165363</c:v>
                      </c:pt>
                      <c:pt idx="50">
                        <c:v>0.82569776086645563</c:v>
                      </c:pt>
                      <c:pt idx="51">
                        <c:v>1.9401909316288042</c:v>
                      </c:pt>
                      <c:pt idx="52">
                        <c:v>0.63141367976411567</c:v>
                      </c:pt>
                      <c:pt idx="53">
                        <c:v>0.34120096658038757</c:v>
                      </c:pt>
                      <c:pt idx="54">
                        <c:v>3.9599659849172371</c:v>
                      </c:pt>
                      <c:pt idx="55">
                        <c:v>1.528886928556296</c:v>
                      </c:pt>
                      <c:pt idx="56">
                        <c:v>0.39011432354765235</c:v>
                      </c:pt>
                      <c:pt idx="57">
                        <c:v>0.50384731299355123</c:v>
                      </c:pt>
                      <c:pt idx="58">
                        <c:v>4.3157261759315821E-2</c:v>
                      </c:pt>
                      <c:pt idx="59">
                        <c:v>0.44015300444850319</c:v>
                      </c:pt>
                      <c:pt idx="60">
                        <c:v>0.84312160198569908</c:v>
                      </c:pt>
                      <c:pt idx="61">
                        <c:v>0.32204480442395372</c:v>
                      </c:pt>
                      <c:pt idx="62">
                        <c:v>0.79690684133915579</c:v>
                      </c:pt>
                      <c:pt idx="63">
                        <c:v>2.3202124502545294</c:v>
                      </c:pt>
                      <c:pt idx="64">
                        <c:v>0.8970395215049044</c:v>
                      </c:pt>
                      <c:pt idx="65">
                        <c:v>1.4345392967030612</c:v>
                      </c:pt>
                      <c:pt idx="66">
                        <c:v>1.7137102419967545</c:v>
                      </c:pt>
                      <c:pt idx="67">
                        <c:v>0.35725702164053807</c:v>
                      </c:pt>
                      <c:pt idx="68">
                        <c:v>0.36350206122582474</c:v>
                      </c:pt>
                      <c:pt idx="69">
                        <c:v>6.0696056110458287E-2</c:v>
                      </c:pt>
                      <c:pt idx="70">
                        <c:v>0.64572899846846821</c:v>
                      </c:pt>
                      <c:pt idx="71">
                        <c:v>1.0888362424285869</c:v>
                      </c:pt>
                      <c:pt idx="72">
                        <c:v>2.2304650101349743</c:v>
                      </c:pt>
                      <c:pt idx="73">
                        <c:v>1.7326119754067777</c:v>
                      </c:pt>
                      <c:pt idx="74">
                        <c:v>1.2872012235544674</c:v>
                      </c:pt>
                      <c:pt idx="75">
                        <c:v>1.7954032855097832</c:v>
                      </c:pt>
                      <c:pt idx="76">
                        <c:v>0.59010148207949398</c:v>
                      </c:pt>
                      <c:pt idx="77">
                        <c:v>0.78964562618502931</c:v>
                      </c:pt>
                      <c:pt idx="78">
                        <c:v>0.41723768559534019</c:v>
                      </c:pt>
                      <c:pt idx="79">
                        <c:v>0.41243829339594024</c:v>
                      </c:pt>
                      <c:pt idx="80">
                        <c:v>0.37932604271770776</c:v>
                      </c:pt>
                      <c:pt idx="81">
                        <c:v>0.58792933276372317</c:v>
                      </c:pt>
                      <c:pt idx="82">
                        <c:v>0.19494873294259965</c:v>
                      </c:pt>
                      <c:pt idx="83">
                        <c:v>2.811235127512564</c:v>
                      </c:pt>
                      <c:pt idx="84">
                        <c:v>1.6613679781282027</c:v>
                      </c:pt>
                      <c:pt idx="85">
                        <c:v>7.8359161016548426E-2</c:v>
                      </c:pt>
                      <c:pt idx="86">
                        <c:v>0.13872763669667473</c:v>
                      </c:pt>
                      <c:pt idx="87">
                        <c:v>1.7072950135779552</c:v>
                      </c:pt>
                      <c:pt idx="88">
                        <c:v>0.53857939677730338</c:v>
                      </c:pt>
                      <c:pt idx="89">
                        <c:v>1.4013961418955447</c:v>
                      </c:pt>
                      <c:pt idx="90">
                        <c:v>0.98572708319390734</c:v>
                      </c:pt>
                      <c:pt idx="91">
                        <c:v>0.46418115835557056</c:v>
                      </c:pt>
                      <c:pt idx="92">
                        <c:v>1.1579116191046437</c:v>
                      </c:pt>
                      <c:pt idx="93">
                        <c:v>0.45283508284589474</c:v>
                      </c:pt>
                      <c:pt idx="94">
                        <c:v>0.5255406045662615</c:v>
                      </c:pt>
                      <c:pt idx="95">
                        <c:v>0.11083080461787856</c:v>
                      </c:pt>
                      <c:pt idx="96">
                        <c:v>2.8579529417178748</c:v>
                      </c:pt>
                      <c:pt idx="97">
                        <c:v>0.95446251238528201</c:v>
                      </c:pt>
                      <c:pt idx="98">
                        <c:v>0.7244254132368827</c:v>
                      </c:pt>
                      <c:pt idx="99">
                        <c:v>0.49914302079987682</c:v>
                      </c:pt>
                      <c:pt idx="100">
                        <c:v>1.0412305366176617</c:v>
                      </c:pt>
                      <c:pt idx="101">
                        <c:v>0.57946174219972657</c:v>
                      </c:pt>
                      <c:pt idx="102">
                        <c:v>1.5618857266005388</c:v>
                      </c:pt>
                      <c:pt idx="103">
                        <c:v>0.40154088232669988</c:v>
                      </c:pt>
                      <c:pt idx="104">
                        <c:v>1.8535638268290089</c:v>
                      </c:pt>
                      <c:pt idx="105">
                        <c:v>0.61283814522030944</c:v>
                      </c:pt>
                      <c:pt idx="106">
                        <c:v>1.8339004809563586</c:v>
                      </c:pt>
                      <c:pt idx="107">
                        <c:v>0.38965614542155741</c:v>
                      </c:pt>
                      <c:pt idx="108">
                        <c:v>0.37891557274396692</c:v>
                      </c:pt>
                      <c:pt idx="109">
                        <c:v>1.503075536646022</c:v>
                      </c:pt>
                      <c:pt idx="110">
                        <c:v>0.75710827007712034</c:v>
                      </c:pt>
                      <c:pt idx="111">
                        <c:v>0.46538486683501268</c:v>
                      </c:pt>
                      <c:pt idx="112">
                        <c:v>7.050727715645599</c:v>
                      </c:pt>
                      <c:pt idx="113">
                        <c:v>1.9152599052083938</c:v>
                      </c:pt>
                      <c:pt idx="114">
                        <c:v>0.50542057405995122</c:v>
                      </c:pt>
                      <c:pt idx="115">
                        <c:v>0.47738599201780035</c:v>
                      </c:pt>
                      <c:pt idx="116">
                        <c:v>3.4792050471887451E-2</c:v>
                      </c:pt>
                      <c:pt idx="117">
                        <c:v>0.46038427662892883</c:v>
                      </c:pt>
                      <c:pt idx="118">
                        <c:v>0.71950034758053727</c:v>
                      </c:pt>
                      <c:pt idx="119">
                        <c:v>0.41968389568939979</c:v>
                      </c:pt>
                      <c:pt idx="120">
                        <c:v>1.0640863581866027</c:v>
                      </c:pt>
                      <c:pt idx="121">
                        <c:v>2.3998307935235705</c:v>
                      </c:pt>
                      <c:pt idx="122">
                        <c:v>1.0924855689321653</c:v>
                      </c:pt>
                      <c:pt idx="123">
                        <c:v>1.3981386790983508</c:v>
                      </c:pt>
                      <c:pt idx="124">
                        <c:v>2.7511537525656129</c:v>
                      </c:pt>
                      <c:pt idx="125">
                        <c:v>0.6705024330999404</c:v>
                      </c:pt>
                      <c:pt idx="126">
                        <c:v>0.46595818963787716</c:v>
                      </c:pt>
                      <c:pt idx="127">
                        <c:v>0.155428927680798</c:v>
                      </c:pt>
                      <c:pt idx="128">
                        <c:v>0.3568232705548256</c:v>
                      </c:pt>
                      <c:pt idx="129">
                        <c:v>0.86828128712901853</c:v>
                      </c:pt>
                      <c:pt idx="130">
                        <c:v>2.3033535300190411</c:v>
                      </c:pt>
                      <c:pt idx="131">
                        <c:v>1.1705225737471485</c:v>
                      </c:pt>
                      <c:pt idx="132">
                        <c:v>1.3790859617297677</c:v>
                      </c:pt>
                      <c:pt idx="133">
                        <c:v>1.3181247323099421</c:v>
                      </c:pt>
                      <c:pt idx="134">
                        <c:v>0.49312126958714914</c:v>
                      </c:pt>
                      <c:pt idx="135">
                        <c:v>0.76779410687005678</c:v>
                      </c:pt>
                      <c:pt idx="136">
                        <c:v>0.31607429598064801</c:v>
                      </c:pt>
                      <c:pt idx="137">
                        <c:v>0.36576510493207298</c:v>
                      </c:pt>
                      <c:pt idx="138">
                        <c:v>0.43547493716865182</c:v>
                      </c:pt>
                      <c:pt idx="139">
                        <c:v>1.3383677752663867</c:v>
                      </c:pt>
                      <c:pt idx="140">
                        <c:v>0.1775383306031422</c:v>
                      </c:pt>
                      <c:pt idx="141">
                        <c:v>2.9458090362710352</c:v>
                      </c:pt>
                      <c:pt idx="142">
                        <c:v>0.79888198127903154</c:v>
                      </c:pt>
                      <c:pt idx="143">
                        <c:v>8.1991495272882617E-2</c:v>
                      </c:pt>
                      <c:pt idx="144">
                        <c:v>0.24972680101179148</c:v>
                      </c:pt>
                      <c:pt idx="145">
                        <c:v>2.5802517287423199</c:v>
                      </c:pt>
                      <c:pt idx="146">
                        <c:v>0.67746709709461128</c:v>
                      </c:pt>
                      <c:pt idx="147">
                        <c:v>1.4036908198540829</c:v>
                      </c:pt>
                      <c:pt idx="148">
                        <c:v>1.0411072770555343</c:v>
                      </c:pt>
                      <c:pt idx="149">
                        <c:v>0.73960951217341342</c:v>
                      </c:pt>
                      <c:pt idx="150">
                        <c:v>0.42396632376220994</c:v>
                      </c:pt>
                      <c:pt idx="151">
                        <c:v>0.55872706083692325</c:v>
                      </c:pt>
                      <c:pt idx="152">
                        <c:v>0.5752336792338737</c:v>
                      </c:pt>
                      <c:pt idx="153">
                        <c:v>0.14428276628393036</c:v>
                      </c:pt>
                      <c:pt idx="154">
                        <c:v>1.9783524450634404</c:v>
                      </c:pt>
                      <c:pt idx="155">
                        <c:v>0.97759559444188049</c:v>
                      </c:pt>
                      <c:pt idx="156">
                        <c:v>1.2930941001912208</c:v>
                      </c:pt>
                      <c:pt idx="157">
                        <c:v>0.48084480463088086</c:v>
                      </c:pt>
                      <c:pt idx="158">
                        <c:v>0.98213546423095299</c:v>
                      </c:pt>
                      <c:pt idx="159">
                        <c:v>0.76611731231270686</c:v>
                      </c:pt>
                      <c:pt idx="160">
                        <c:v>2.9385957544093126</c:v>
                      </c:pt>
                      <c:pt idx="161">
                        <c:v>0.34929470011355718</c:v>
                      </c:pt>
                      <c:pt idx="162">
                        <c:v>1.4889867916063131</c:v>
                      </c:pt>
                      <c:pt idx="163">
                        <c:v>0.69122748125769262</c:v>
                      </c:pt>
                      <c:pt idx="164">
                        <c:v>1.8557373790144547</c:v>
                      </c:pt>
                      <c:pt idx="165">
                        <c:v>0.37684506906546833</c:v>
                      </c:pt>
                      <c:pt idx="166">
                        <c:v>0.56564730701441546</c:v>
                      </c:pt>
                      <c:pt idx="167">
                        <c:v>1.3684494792524509</c:v>
                      </c:pt>
                      <c:pt idx="168">
                        <c:v>1.1108089679169579</c:v>
                      </c:pt>
                      <c:pt idx="169">
                        <c:v>0.33992521820486443</c:v>
                      </c:pt>
                      <c:pt idx="170">
                        <c:v>5.8019402536148181</c:v>
                      </c:pt>
                      <c:pt idx="171">
                        <c:v>1.2095465052546288</c:v>
                      </c:pt>
                      <c:pt idx="172">
                        <c:v>0.48499366666842286</c:v>
                      </c:pt>
                      <c:pt idx="173">
                        <c:v>0.48764946744660281</c:v>
                      </c:pt>
                      <c:pt idx="174">
                        <c:v>8.6130416638760227E-2</c:v>
                      </c:pt>
                      <c:pt idx="175">
                        <c:v>0.36459779636367057</c:v>
                      </c:pt>
                      <c:pt idx="176">
                        <c:v>1.6881085079694729</c:v>
                      </c:pt>
                      <c:pt idx="177">
                        <c:v>0.32383127619112551</c:v>
                      </c:pt>
                      <c:pt idx="178">
                        <c:v>1.3896869510122973</c:v>
                      </c:pt>
                      <c:pt idx="179">
                        <c:v>3.3537063182231659</c:v>
                      </c:pt>
                      <c:pt idx="180">
                        <c:v>1.0711794561550385</c:v>
                      </c:pt>
                      <c:pt idx="181">
                        <c:v>1.5617457464658955</c:v>
                      </c:pt>
                      <c:pt idx="182">
                        <c:v>8.2750058346358131</c:v>
                      </c:pt>
                      <c:pt idx="183">
                        <c:v>0.40829699504071287</c:v>
                      </c:pt>
                      <c:pt idx="184">
                        <c:v>0.33973186124823868</c:v>
                      </c:pt>
                      <c:pt idx="185">
                        <c:v>0.19396442118200505</c:v>
                      </c:pt>
                      <c:pt idx="186">
                        <c:v>0.24770406138197026</c:v>
                      </c:pt>
                      <c:pt idx="187">
                        <c:v>1.6765000161378822</c:v>
                      </c:pt>
                      <c:pt idx="188">
                        <c:v>1.9897361474055764</c:v>
                      </c:pt>
                      <c:pt idx="189">
                        <c:v>1.9656192646332278</c:v>
                      </c:pt>
                      <c:pt idx="190">
                        <c:v>1.5363368112237399</c:v>
                      </c:pt>
                      <c:pt idx="191">
                        <c:v>1.4010855819879438</c:v>
                      </c:pt>
                      <c:pt idx="192">
                        <c:v>0.52693600870028645</c:v>
                      </c:pt>
                      <c:pt idx="193">
                        <c:v>0.44059745402843492</c:v>
                      </c:pt>
                      <c:pt idx="194">
                        <c:v>0.43280134953252425</c:v>
                      </c:pt>
                      <c:pt idx="195">
                        <c:v>0.58272741819567553</c:v>
                      </c:pt>
                      <c:pt idx="196">
                        <c:v>0.47434703216601243</c:v>
                      </c:pt>
                      <c:pt idx="197">
                        <c:v>1.0996799970232281</c:v>
                      </c:pt>
                      <c:pt idx="198">
                        <c:v>0.85713548026511621</c:v>
                      </c:pt>
                      <c:pt idx="199">
                        <c:v>2.7162525759651053</c:v>
                      </c:pt>
                      <c:pt idx="200">
                        <c:v>1.3022000706144765</c:v>
                      </c:pt>
                      <c:pt idx="201">
                        <c:v>5.466418214570791E-2</c:v>
                      </c:pt>
                      <c:pt idx="202">
                        <c:v>5.6027385564847605E-2</c:v>
                      </c:pt>
                      <c:pt idx="203">
                        <c:v>2.6637544718508757</c:v>
                      </c:pt>
                      <c:pt idx="204">
                        <c:v>0.93289289375244855</c:v>
                      </c:pt>
                      <c:pt idx="205">
                        <c:v>1.572340399988795</c:v>
                      </c:pt>
                      <c:pt idx="206">
                        <c:v>0.60391405185893376</c:v>
                      </c:pt>
                      <c:pt idx="207">
                        <c:v>0.8423791561306625</c:v>
                      </c:pt>
                      <c:pt idx="208">
                        <c:v>0.30891191513783167</c:v>
                      </c:pt>
                      <c:pt idx="209">
                        <c:v>0.59635855396286086</c:v>
                      </c:pt>
                      <c:pt idx="210">
                        <c:v>0.53233329264551121</c:v>
                      </c:pt>
                      <c:pt idx="211">
                        <c:v>0.34069809520676381</c:v>
                      </c:pt>
                      <c:pt idx="212">
                        <c:v>3.6238622430057612</c:v>
                      </c:pt>
                      <c:pt idx="213">
                        <c:v>1.0420385507640104</c:v>
                      </c:pt>
                      <c:pt idx="214">
                        <c:v>1.4393996755749976</c:v>
                      </c:pt>
                      <c:pt idx="215">
                        <c:v>0.49949019637219583</c:v>
                      </c:pt>
                      <c:pt idx="216">
                        <c:v>0.83638639178611118</c:v>
                      </c:pt>
                      <c:pt idx="217">
                        <c:v>0.61834592364316343</c:v>
                      </c:pt>
                      <c:pt idx="218">
                        <c:v>2.7301789665229945</c:v>
                      </c:pt>
                      <c:pt idx="219">
                        <c:v>0.29034248717763556</c:v>
                      </c:pt>
                      <c:pt idx="220">
                        <c:v>1.3100856996795465</c:v>
                      </c:pt>
                      <c:pt idx="221">
                        <c:v>0.62360117761561107</c:v>
                      </c:pt>
                      <c:pt idx="222">
                        <c:v>2.2819650538764416</c:v>
                      </c:pt>
                      <c:pt idx="223">
                        <c:v>0.40812925070784323</c:v>
                      </c:pt>
                      <c:pt idx="224">
                        <c:v>0.57314516546114125</c:v>
                      </c:pt>
                      <c:pt idx="225">
                        <c:v>1.4442121676454609</c:v>
                      </c:pt>
                      <c:pt idx="226">
                        <c:v>0.81629305531400753</c:v>
                      </c:pt>
                      <c:pt idx="227">
                        <c:v>0.32394495097983139</c:v>
                      </c:pt>
                      <c:pt idx="228">
                        <c:v>3.0895002336476591</c:v>
                      </c:pt>
                      <c:pt idx="229">
                        <c:v>1.7236356947709295</c:v>
                      </c:pt>
                      <c:pt idx="230">
                        <c:v>0.39146760138809383</c:v>
                      </c:pt>
                      <c:pt idx="231">
                        <c:v>0.43942415045185734</c:v>
                      </c:pt>
                      <c:pt idx="232">
                        <c:v>7.612042664900788E-2</c:v>
                      </c:pt>
                      <c:pt idx="233">
                        <c:v>0.46236873167110826</c:v>
                      </c:pt>
                      <c:pt idx="234">
                        <c:v>0.6442859692435825</c:v>
                      </c:pt>
                      <c:pt idx="235">
                        <c:v>0.30333396265690732</c:v>
                      </c:pt>
                      <c:pt idx="236">
                        <c:v>1.1930671373424828</c:v>
                      </c:pt>
                      <c:pt idx="237">
                        <c:v>3.30029421395755</c:v>
                      </c:pt>
                      <c:pt idx="238">
                        <c:v>0.73281392756259278</c:v>
                      </c:pt>
                      <c:pt idx="239">
                        <c:v>1.4748695308314737</c:v>
                      </c:pt>
                      <c:pt idx="240">
                        <c:v>51.91938177385147</c:v>
                      </c:pt>
                      <c:pt idx="241">
                        <c:v>0.56438288754498811</c:v>
                      </c:pt>
                      <c:pt idx="242">
                        <c:v>0.49996748085471504</c:v>
                      </c:pt>
                      <c:pt idx="243">
                        <c:v>0.14338160195872682</c:v>
                      </c:pt>
                      <c:pt idx="244">
                        <c:v>0.4782491994522074</c:v>
                      </c:pt>
                      <c:pt idx="245">
                        <c:v>3.133318624661797</c:v>
                      </c:pt>
                      <c:pt idx="246">
                        <c:v>2.0750960559058265</c:v>
                      </c:pt>
                      <c:pt idx="247">
                        <c:v>1.9050054084100776</c:v>
                      </c:pt>
                      <c:pt idx="248">
                        <c:v>1.6730358412417767</c:v>
                      </c:pt>
                      <c:pt idx="249">
                        <c:v>2.1698811318204454</c:v>
                      </c:pt>
                      <c:pt idx="250">
                        <c:v>0.54457225239751306</c:v>
                      </c:pt>
                      <c:pt idx="251">
                        <c:v>0.65939337941328036</c:v>
                      </c:pt>
                      <c:pt idx="252">
                        <c:v>0.63834643185925188</c:v>
                      </c:pt>
                      <c:pt idx="253">
                        <c:v>0.62005436970976546</c:v>
                      </c:pt>
                      <c:pt idx="254">
                        <c:v>0.39182610257792155</c:v>
                      </c:pt>
                      <c:pt idx="255">
                        <c:v>1.2695824740727457</c:v>
                      </c:pt>
                      <c:pt idx="256">
                        <c:v>1.1285370016031442</c:v>
                      </c:pt>
                      <c:pt idx="257">
                        <c:v>1.2983483536365823</c:v>
                      </c:pt>
                      <c:pt idx="258">
                        <c:v>2.5058423510307883</c:v>
                      </c:pt>
                      <c:pt idx="259">
                        <c:v>5.7009426397642934E-2</c:v>
                      </c:pt>
                      <c:pt idx="260">
                        <c:v>4.780113094427034E-2</c:v>
                      </c:pt>
                      <c:pt idx="261">
                        <c:v>2.68151248286462</c:v>
                      </c:pt>
                      <c:pt idx="262">
                        <c:v>0.96483010274061221</c:v>
                      </c:pt>
                      <c:pt idx="263">
                        <c:v>1.5916862737502795</c:v>
                      </c:pt>
                      <c:pt idx="264">
                        <c:v>0.46305335244809365</c:v>
                      </c:pt>
                      <c:pt idx="265">
                        <c:v>0.65745220532515702</c:v>
                      </c:pt>
                      <c:pt idx="266">
                        <c:v>0.88433474797111167</c:v>
                      </c:pt>
                      <c:pt idx="267">
                        <c:v>0.61510349498195227</c:v>
                      </c:pt>
                      <c:pt idx="268">
                        <c:v>0.48266815073938624</c:v>
                      </c:pt>
                      <c:pt idx="269">
                        <c:v>0.47537496215978203</c:v>
                      </c:pt>
                      <c:pt idx="270">
                        <c:v>0.87512503515476969</c:v>
                      </c:pt>
                      <c:pt idx="271">
                        <c:v>0.86445069414711095</c:v>
                      </c:pt>
                      <c:pt idx="272">
                        <c:v>1.6398573291090501</c:v>
                      </c:pt>
                      <c:pt idx="273">
                        <c:v>0.56629835722766675</c:v>
                      </c:pt>
                      <c:pt idx="274">
                        <c:v>0.75159513223504659</c:v>
                      </c:pt>
                      <c:pt idx="275">
                        <c:v>0.87949859151729448</c:v>
                      </c:pt>
                      <c:pt idx="276">
                        <c:v>2.6125075192745069</c:v>
                      </c:pt>
                      <c:pt idx="277">
                        <c:v>0.34300379946510923</c:v>
                      </c:pt>
                      <c:pt idx="278">
                        <c:v>1.2670401723621485</c:v>
                      </c:pt>
                      <c:pt idx="279">
                        <c:v>0.68952776424228301</c:v>
                      </c:pt>
                      <c:pt idx="280">
                        <c:v>1.1157241082714022</c:v>
                      </c:pt>
                      <c:pt idx="281">
                        <c:v>0.44009516950929367</c:v>
                      </c:pt>
                      <c:pt idx="282">
                        <c:v>0.91232181106433274</c:v>
                      </c:pt>
                      <c:pt idx="283">
                        <c:v>1.8832816708754851</c:v>
                      </c:pt>
                      <c:pt idx="284">
                        <c:v>1.050706990339354</c:v>
                      </c:pt>
                      <c:pt idx="285">
                        <c:v>0.33753258877900061</c:v>
                      </c:pt>
                      <c:pt idx="286">
                        <c:v>2.8272774739354625</c:v>
                      </c:pt>
                      <c:pt idx="287">
                        <c:v>1.7848210398722995</c:v>
                      </c:pt>
                      <c:pt idx="288">
                        <c:v>0.35575853754551717</c:v>
                      </c:pt>
                      <c:pt idx="289">
                        <c:v>0.50346404818767321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5C6-4E19-973B-91C5491E876C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(2)'!$W$1</c15:sqref>
                        </c15:formulaRef>
                      </c:ext>
                    </c:extLst>
                    <c:strCache>
                      <c:ptCount val="1"/>
                      <c:pt idx="0">
                        <c:v>CR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(2)'!$W$2:$W$311</c15:sqref>
                        </c15:formulaRef>
                      </c:ext>
                    </c:extLst>
                    <c:numCache>
                      <c:formatCode>General</c:formatCode>
                      <c:ptCount val="290"/>
                      <c:pt idx="0">
                        <c:v>18.98896174863388</c:v>
                      </c:pt>
                      <c:pt idx="1">
                        <c:v>2.0566352270234702</c:v>
                      </c:pt>
                      <c:pt idx="2">
                        <c:v>1.6884796025891917</c:v>
                      </c:pt>
                      <c:pt idx="3">
                        <c:v>2.1439603708878447</c:v>
                      </c:pt>
                      <c:pt idx="4">
                        <c:v>1.560044840217254</c:v>
                      </c:pt>
                      <c:pt idx="5">
                        <c:v>1.3207599818049736</c:v>
                      </c:pt>
                      <c:pt idx="6">
                        <c:v>1.4029717893976061</c:v>
                      </c:pt>
                      <c:pt idx="7">
                        <c:v>1.3518004088264584</c:v>
                      </c:pt>
                      <c:pt idx="8">
                        <c:v>1.0454795139269428</c:v>
                      </c:pt>
                      <c:pt idx="9">
                        <c:v>1.3796772437997713</c:v>
                      </c:pt>
                      <c:pt idx="10">
                        <c:v>2.9750055029716047</c:v>
                      </c:pt>
                      <c:pt idx="11">
                        <c:v>20.970643642072211</c:v>
                      </c:pt>
                      <c:pt idx="12">
                        <c:v>2.1033879164313944</c:v>
                      </c:pt>
                      <c:pt idx="13">
                        <c:v>1.3359416462462386</c:v>
                      </c:pt>
                      <c:pt idx="14">
                        <c:v>1.1644208513840586</c:v>
                      </c:pt>
                      <c:pt idx="15">
                        <c:v>1.1674066567580956</c:v>
                      </c:pt>
                      <c:pt idx="16">
                        <c:v>1.4222167772416565</c:v>
                      </c:pt>
                      <c:pt idx="17">
                        <c:v>0.99434735304784216</c:v>
                      </c:pt>
                      <c:pt idx="18">
                        <c:v>1.8702609542721196</c:v>
                      </c:pt>
                      <c:pt idx="19">
                        <c:v>1.5196752290901372</c:v>
                      </c:pt>
                      <c:pt idx="20">
                        <c:v>3.296751968503937</c:v>
                      </c:pt>
                      <c:pt idx="21">
                        <c:v>1.9132974130176663</c:v>
                      </c:pt>
                      <c:pt idx="22">
                        <c:v>2.3727772445685371</c:v>
                      </c:pt>
                      <c:pt idx="23">
                        <c:v>4.4788495713172249</c:v>
                      </c:pt>
                      <c:pt idx="24">
                        <c:v>19.291988689915176</c:v>
                      </c:pt>
                      <c:pt idx="25">
                        <c:v>0.90300358378645573</c:v>
                      </c:pt>
                      <c:pt idx="26">
                        <c:v>1.2767770987455775</c:v>
                      </c:pt>
                      <c:pt idx="27">
                        <c:v>6.0381204847354937</c:v>
                      </c:pt>
                      <c:pt idx="28">
                        <c:v>8.3778092540132203</c:v>
                      </c:pt>
                      <c:pt idx="29">
                        <c:v>1.2219388675370804</c:v>
                      </c:pt>
                      <c:pt idx="30">
                        <c:v>2.06325</c:v>
                      </c:pt>
                      <c:pt idx="31">
                        <c:v>1.2223157680964911</c:v>
                      </c:pt>
                      <c:pt idx="32">
                        <c:v>1.6525953593446698</c:v>
                      </c:pt>
                      <c:pt idx="33">
                        <c:v>2.8301476865289397</c:v>
                      </c:pt>
                      <c:pt idx="34">
                        <c:v>2.134598607888631</c:v>
                      </c:pt>
                      <c:pt idx="35">
                        <c:v>1.9835394312659382</c:v>
                      </c:pt>
                      <c:pt idx="36">
                        <c:v>1.3627104182028864</c:v>
                      </c:pt>
                      <c:pt idx="37">
                        <c:v>7.5700102018509074</c:v>
                      </c:pt>
                      <c:pt idx="38">
                        <c:v>0.86793548515047847</c:v>
                      </c:pt>
                      <c:pt idx="39">
                        <c:v>1.0540502431286354</c:v>
                      </c:pt>
                      <c:pt idx="40">
                        <c:v>1.0117117640227615</c:v>
                      </c:pt>
                      <c:pt idx="41">
                        <c:v>1.8387368591081021</c:v>
                      </c:pt>
                      <c:pt idx="42">
                        <c:v>1.314301451910971</c:v>
                      </c:pt>
                      <c:pt idx="43">
                        <c:v>2.809677013677482</c:v>
                      </c:pt>
                      <c:pt idx="44">
                        <c:v>1.53057208295475</c:v>
                      </c:pt>
                      <c:pt idx="45">
                        <c:v>3.2285307145262809</c:v>
                      </c:pt>
                      <c:pt idx="46">
                        <c:v>1.2083331918874636</c:v>
                      </c:pt>
                      <c:pt idx="47">
                        <c:v>1.5916302965309126</c:v>
                      </c:pt>
                      <c:pt idx="48">
                        <c:v>1.0161216570867344</c:v>
                      </c:pt>
                      <c:pt idx="49">
                        <c:v>2.104742780646395</c:v>
                      </c:pt>
                      <c:pt idx="50">
                        <c:v>1.4920541268517924</c:v>
                      </c:pt>
                      <c:pt idx="51">
                        <c:v>1.3786300884463867</c:v>
                      </c:pt>
                      <c:pt idx="52">
                        <c:v>1.8158648724657194</c:v>
                      </c:pt>
                      <c:pt idx="53">
                        <c:v>3.1453058192073264</c:v>
                      </c:pt>
                      <c:pt idx="54">
                        <c:v>1.0595116080441027</c:v>
                      </c:pt>
                      <c:pt idx="55">
                        <c:v>1.2553007266917486</c:v>
                      </c:pt>
                      <c:pt idx="56">
                        <c:v>2.4399556436770591</c:v>
                      </c:pt>
                      <c:pt idx="57">
                        <c:v>2.0967693563510399</c:v>
                      </c:pt>
                      <c:pt idx="58">
                        <c:v>22.78299748110831</c:v>
                      </c:pt>
                      <c:pt idx="59">
                        <c:v>2.0847968052619219</c:v>
                      </c:pt>
                      <c:pt idx="60">
                        <c:v>1.7798050943049764</c:v>
                      </c:pt>
                      <c:pt idx="61">
                        <c:v>2.0255689876409808</c:v>
                      </c:pt>
                      <c:pt idx="62">
                        <c:v>1.8391007199719924</c:v>
                      </c:pt>
                      <c:pt idx="63">
                        <c:v>1.2238281564851654</c:v>
                      </c:pt>
                      <c:pt idx="64">
                        <c:v>1.3464684737601913</c:v>
                      </c:pt>
                      <c:pt idx="65">
                        <c:v>1.2173074164112136</c:v>
                      </c:pt>
                      <c:pt idx="66">
                        <c:v>1.1618784144659906</c:v>
                      </c:pt>
                      <c:pt idx="67">
                        <c:v>1.4704383347090821</c:v>
                      </c:pt>
                      <c:pt idx="68">
                        <c:v>2.6677401942153995</c:v>
                      </c:pt>
                      <c:pt idx="69">
                        <c:v>15.312837444163915</c:v>
                      </c:pt>
                      <c:pt idx="70">
                        <c:v>2.4697294509825589</c:v>
                      </c:pt>
                      <c:pt idx="71">
                        <c:v>1.4416551539132185</c:v>
                      </c:pt>
                      <c:pt idx="72">
                        <c:v>1.0949252342563043</c:v>
                      </c:pt>
                      <c:pt idx="73">
                        <c:v>1.1768187063055726</c:v>
                      </c:pt>
                      <c:pt idx="74">
                        <c:v>1.3647405772964027</c:v>
                      </c:pt>
                      <c:pt idx="75">
                        <c:v>0.97949544088961227</c:v>
                      </c:pt>
                      <c:pt idx="76">
                        <c:v>1.9498728372702401</c:v>
                      </c:pt>
                      <c:pt idx="77">
                        <c:v>1.630749935298919</c:v>
                      </c:pt>
                      <c:pt idx="78">
                        <c:v>3.3817698150700299</c:v>
                      </c:pt>
                      <c:pt idx="79">
                        <c:v>2.1761034142948237</c:v>
                      </c:pt>
                      <c:pt idx="80">
                        <c:v>2.7402953194650816</c:v>
                      </c:pt>
                      <c:pt idx="81">
                        <c:v>2.6261726798309599</c:v>
                      </c:pt>
                      <c:pt idx="82">
                        <c:v>4.4891304347826084</c:v>
                      </c:pt>
                      <c:pt idx="83">
                        <c:v>0.87204476863895442</c:v>
                      </c:pt>
                      <c:pt idx="84">
                        <c:v>1.1127251548981496</c:v>
                      </c:pt>
                      <c:pt idx="85">
                        <c:v>3.9078597493257177</c:v>
                      </c:pt>
                      <c:pt idx="86">
                        <c:v>6.8466726217061185</c:v>
                      </c:pt>
                      <c:pt idx="87">
                        <c:v>1.2945934594913295</c:v>
                      </c:pt>
                      <c:pt idx="88">
                        <c:v>2.3544247787610617</c:v>
                      </c:pt>
                      <c:pt idx="89">
                        <c:v>1.2045136977975224</c:v>
                      </c:pt>
                      <c:pt idx="90">
                        <c:v>1.2861906183321725</c:v>
                      </c:pt>
                      <c:pt idx="91">
                        <c:v>2.3397146913195526</c:v>
                      </c:pt>
                      <c:pt idx="92">
                        <c:v>1.4277484217909751</c:v>
                      </c:pt>
                      <c:pt idx="93">
                        <c:v>2.0199793097960157</c:v>
                      </c:pt>
                      <c:pt idx="94">
                        <c:v>1.2536232438358959</c:v>
                      </c:pt>
                      <c:pt idx="95">
                        <c:v>8.9210924369747886</c:v>
                      </c:pt>
                      <c:pt idx="96">
                        <c:v>0.72985275152447437</c:v>
                      </c:pt>
                      <c:pt idx="97">
                        <c:v>1.5108030766043403</c:v>
                      </c:pt>
                      <c:pt idx="98">
                        <c:v>1.1135164025064503</c:v>
                      </c:pt>
                      <c:pt idx="99">
                        <c:v>1.8286140970396527</c:v>
                      </c:pt>
                      <c:pt idx="100">
                        <c:v>1.2946865592168588</c:v>
                      </c:pt>
                      <c:pt idx="101">
                        <c:v>2.4505859031017434</c:v>
                      </c:pt>
                      <c:pt idx="102">
                        <c:v>1.5356826536718817</c:v>
                      </c:pt>
                      <c:pt idx="103">
                        <c:v>2.9151978649556209</c:v>
                      </c:pt>
                      <c:pt idx="104">
                        <c:v>1.152234576795109</c:v>
                      </c:pt>
                      <c:pt idx="105">
                        <c:v>1.6199878651295829</c:v>
                      </c:pt>
                      <c:pt idx="106">
                        <c:v>1.0180437120688333</c:v>
                      </c:pt>
                      <c:pt idx="107">
                        <c:v>2.2169734704926909</c:v>
                      </c:pt>
                      <c:pt idx="108">
                        <c:v>2.0558723251152196</c:v>
                      </c:pt>
                      <c:pt idx="109">
                        <c:v>1.0721467643528086</c:v>
                      </c:pt>
                      <c:pt idx="110">
                        <c:v>1.6516140834978541</c:v>
                      </c:pt>
                      <c:pt idx="111">
                        <c:v>2.5662404061304529</c:v>
                      </c:pt>
                      <c:pt idx="112">
                        <c:v>1.0170965629781414</c:v>
                      </c:pt>
                      <c:pt idx="113">
                        <c:v>1.2073186848040598</c:v>
                      </c:pt>
                      <c:pt idx="114">
                        <c:v>2.0660068737442976</c:v>
                      </c:pt>
                      <c:pt idx="115">
                        <c:v>2.0616354921017321</c:v>
                      </c:pt>
                      <c:pt idx="116">
                        <c:v>29.429963898916967</c:v>
                      </c:pt>
                      <c:pt idx="117">
                        <c:v>2.9664909248055316</c:v>
                      </c:pt>
                      <c:pt idx="118">
                        <c:v>1.9246277170649693</c:v>
                      </c:pt>
                      <c:pt idx="119">
                        <c:v>1.7219753950206986</c:v>
                      </c:pt>
                      <c:pt idx="120">
                        <c:v>1.5409282588163304</c:v>
                      </c:pt>
                      <c:pt idx="121">
                        <c:v>1.2358487371677465</c:v>
                      </c:pt>
                      <c:pt idx="122">
                        <c:v>1.2482422577166041</c:v>
                      </c:pt>
                      <c:pt idx="123">
                        <c:v>1.4205806656082014</c:v>
                      </c:pt>
                      <c:pt idx="124">
                        <c:v>1.119268677720713</c:v>
                      </c:pt>
                      <c:pt idx="125">
                        <c:v>1.1114697062894048</c:v>
                      </c:pt>
                      <c:pt idx="126">
                        <c:v>2.0626587299702139</c:v>
                      </c:pt>
                      <c:pt idx="127">
                        <c:v>5.5658676569885204</c:v>
                      </c:pt>
                      <c:pt idx="128">
                        <c:v>3.6304034322385261</c:v>
                      </c:pt>
                      <c:pt idx="129">
                        <c:v>1.9291350175673416</c:v>
                      </c:pt>
                      <c:pt idx="130">
                        <c:v>1.0524768644529123</c:v>
                      </c:pt>
                      <c:pt idx="131">
                        <c:v>1.3542663391108447</c:v>
                      </c:pt>
                      <c:pt idx="132">
                        <c:v>1.3262867012089812</c:v>
                      </c:pt>
                      <c:pt idx="133">
                        <c:v>1.090060715045343</c:v>
                      </c:pt>
                      <c:pt idx="134">
                        <c:v>2.2104689651839862</c:v>
                      </c:pt>
                      <c:pt idx="135">
                        <c:v>1.5545665776954243</c:v>
                      </c:pt>
                      <c:pt idx="136">
                        <c:v>3.5510848779052662</c:v>
                      </c:pt>
                      <c:pt idx="137">
                        <c:v>3.0151759921469639</c:v>
                      </c:pt>
                      <c:pt idx="138">
                        <c:v>2.0536622629639614</c:v>
                      </c:pt>
                      <c:pt idx="139">
                        <c:v>1.5124307470919773</c:v>
                      </c:pt>
                      <c:pt idx="140">
                        <c:v>5.7512822895372606</c:v>
                      </c:pt>
                      <c:pt idx="141">
                        <c:v>1.0440215500458212</c:v>
                      </c:pt>
                      <c:pt idx="142">
                        <c:v>1.6615081408355674</c:v>
                      </c:pt>
                      <c:pt idx="143">
                        <c:v>2.7594441195693302</c:v>
                      </c:pt>
                      <c:pt idx="144">
                        <c:v>2.548424112607099</c:v>
                      </c:pt>
                      <c:pt idx="145">
                        <c:v>1.1678311403987287</c:v>
                      </c:pt>
                      <c:pt idx="146">
                        <c:v>1.9795335449110634</c:v>
                      </c:pt>
                      <c:pt idx="147">
                        <c:v>1.3399964527720614</c:v>
                      </c:pt>
                      <c:pt idx="148">
                        <c:v>1.2994775107277052</c:v>
                      </c:pt>
                      <c:pt idx="149">
                        <c:v>1.7523270021104076</c:v>
                      </c:pt>
                      <c:pt idx="150">
                        <c:v>2.3522478887232987</c:v>
                      </c:pt>
                      <c:pt idx="151">
                        <c:v>1.7021964895173087</c:v>
                      </c:pt>
                      <c:pt idx="152">
                        <c:v>1.0992235052179975</c:v>
                      </c:pt>
                      <c:pt idx="153">
                        <c:v>7.6526471907012033</c:v>
                      </c:pt>
                      <c:pt idx="154">
                        <c:v>1.2628915729608567</c:v>
                      </c:pt>
                      <c:pt idx="155">
                        <c:v>1.4686947092060954</c:v>
                      </c:pt>
                      <c:pt idx="156">
                        <c:v>0.89762381906670474</c:v>
                      </c:pt>
                      <c:pt idx="157">
                        <c:v>1.7533843931606705</c:v>
                      </c:pt>
                      <c:pt idx="158">
                        <c:v>1.6785208793959367</c:v>
                      </c:pt>
                      <c:pt idx="159">
                        <c:v>2.0364216524216521</c:v>
                      </c:pt>
                      <c:pt idx="160">
                        <c:v>1.2374679604312881</c:v>
                      </c:pt>
                      <c:pt idx="161">
                        <c:v>3.1519661009476412</c:v>
                      </c:pt>
                      <c:pt idx="162">
                        <c:v>1.4201012417908867</c:v>
                      </c:pt>
                      <c:pt idx="163">
                        <c:v>1.3739971988795519</c:v>
                      </c:pt>
                      <c:pt idx="164">
                        <c:v>0.9850620713772269</c:v>
                      </c:pt>
                      <c:pt idx="165">
                        <c:v>2.305809659090909</c:v>
                      </c:pt>
                      <c:pt idx="166">
                        <c:v>1.3854074479890992</c:v>
                      </c:pt>
                      <c:pt idx="167">
                        <c:v>0.9789910451651338</c:v>
                      </c:pt>
                      <c:pt idx="168">
                        <c:v>1.3379044280820749</c:v>
                      </c:pt>
                      <c:pt idx="169">
                        <c:v>3.2292132111360887</c:v>
                      </c:pt>
                      <c:pt idx="170">
                        <c:v>1.0499056647363234</c:v>
                      </c:pt>
                      <c:pt idx="171">
                        <c:v>1.2342384258592376</c:v>
                      </c:pt>
                      <c:pt idx="172">
                        <c:v>2.0680762069647431</c:v>
                      </c:pt>
                      <c:pt idx="173">
                        <c:v>2.1155977530433399</c:v>
                      </c:pt>
                      <c:pt idx="174">
                        <c:v>11.050451612903226</c:v>
                      </c:pt>
                      <c:pt idx="175">
                        <c:v>1.8721523106964633</c:v>
                      </c:pt>
                      <c:pt idx="176">
                        <c:v>1.1769386810434026</c:v>
                      </c:pt>
                      <c:pt idx="177">
                        <c:v>2.0112114606041733</c:v>
                      </c:pt>
                      <c:pt idx="178">
                        <c:v>1.3682326853732332</c:v>
                      </c:pt>
                      <c:pt idx="179">
                        <c:v>1.1527025078726714</c:v>
                      </c:pt>
                      <c:pt idx="180">
                        <c:v>1.1901761016507126</c:v>
                      </c:pt>
                      <c:pt idx="181">
                        <c:v>1.2736748340529347</c:v>
                      </c:pt>
                      <c:pt idx="182">
                        <c:v>1.0107142006052952</c:v>
                      </c:pt>
                      <c:pt idx="183">
                        <c:v>1.6655603008077247</c:v>
                      </c:pt>
                      <c:pt idx="184">
                        <c:v>2.5774761051202901</c:v>
                      </c:pt>
                      <c:pt idx="185">
                        <c:v>4.8684994784681868</c:v>
                      </c:pt>
                      <c:pt idx="186">
                        <c:v>4.6488031914893622</c:v>
                      </c:pt>
                      <c:pt idx="187">
                        <c:v>1.0300291351405244</c:v>
                      </c:pt>
                      <c:pt idx="188">
                        <c:v>1.0347525115831002</c:v>
                      </c:pt>
                      <c:pt idx="189">
                        <c:v>1.1137452261537752</c:v>
                      </c:pt>
                      <c:pt idx="190">
                        <c:v>1.302371132795322</c:v>
                      </c:pt>
                      <c:pt idx="191">
                        <c:v>1.0936635492491638</c:v>
                      </c:pt>
                      <c:pt idx="192">
                        <c:v>2.1509035030964045</c:v>
                      </c:pt>
                      <c:pt idx="193">
                        <c:v>1.767103667573904</c:v>
                      </c:pt>
                      <c:pt idx="194">
                        <c:v>7.0985832734869758</c:v>
                      </c:pt>
                      <c:pt idx="195">
                        <c:v>1.9704768821108694</c:v>
                      </c:pt>
                      <c:pt idx="196">
                        <c:v>2.3899055918663761</c:v>
                      </c:pt>
                      <c:pt idx="197">
                        <c:v>1.5258324682020099</c:v>
                      </c:pt>
                      <c:pt idx="198">
                        <c:v>1.8463658095950655</c:v>
                      </c:pt>
                      <c:pt idx="199">
                        <c:v>0.57880527423070094</c:v>
                      </c:pt>
                      <c:pt idx="200">
                        <c:v>1.3254532081512569</c:v>
                      </c:pt>
                      <c:pt idx="201">
                        <c:v>4.3603616226314381</c:v>
                      </c:pt>
                      <c:pt idx="202">
                        <c:v>9.2410740203193029</c:v>
                      </c:pt>
                      <c:pt idx="203">
                        <c:v>1.0171466286498758</c:v>
                      </c:pt>
                      <c:pt idx="204">
                        <c:v>1.6453553181607059</c:v>
                      </c:pt>
                      <c:pt idx="205">
                        <c:v>1.2720560346747367</c:v>
                      </c:pt>
                      <c:pt idx="206">
                        <c:v>1.439423809699002</c:v>
                      </c:pt>
                      <c:pt idx="207">
                        <c:v>1.5593960609169735</c:v>
                      </c:pt>
                      <c:pt idx="208">
                        <c:v>2.7590781822097785</c:v>
                      </c:pt>
                      <c:pt idx="209">
                        <c:v>1.4968033953850701</c:v>
                      </c:pt>
                      <c:pt idx="210">
                        <c:v>1.005680979582912</c:v>
                      </c:pt>
                      <c:pt idx="211">
                        <c:v>4.1334237829209899</c:v>
                      </c:pt>
                      <c:pt idx="212">
                        <c:v>0.76555486273063222</c:v>
                      </c:pt>
                      <c:pt idx="213">
                        <c:v>1.6348413779189994</c:v>
                      </c:pt>
                      <c:pt idx="214">
                        <c:v>0.90689561725505652</c:v>
                      </c:pt>
                      <c:pt idx="215">
                        <c:v>1.6213495968420857</c:v>
                      </c:pt>
                      <c:pt idx="216">
                        <c:v>1.6950462431239799</c:v>
                      </c:pt>
                      <c:pt idx="217">
                        <c:v>2.2104356247544024</c:v>
                      </c:pt>
                      <c:pt idx="218">
                        <c:v>1.266539935570816</c:v>
                      </c:pt>
                      <c:pt idx="219">
                        <c:v>3.7721303140899742</c:v>
                      </c:pt>
                      <c:pt idx="220">
                        <c:v>1.1725027687266603</c:v>
                      </c:pt>
                      <c:pt idx="221">
                        <c:v>1.1690429205722743</c:v>
                      </c:pt>
                      <c:pt idx="222">
                        <c:v>1.5122869696751422</c:v>
                      </c:pt>
                      <c:pt idx="223">
                        <c:v>2.1068373623229868</c:v>
                      </c:pt>
                      <c:pt idx="224">
                        <c:v>1.1139540609940553</c:v>
                      </c:pt>
                      <c:pt idx="225">
                        <c:v>0.96182014391970705</c:v>
                      </c:pt>
                      <c:pt idx="226">
                        <c:v>1.4192524643377118</c:v>
                      </c:pt>
                      <c:pt idx="227">
                        <c:v>3.4065017215149331</c:v>
                      </c:pt>
                      <c:pt idx="228">
                        <c:v>1.0839821723178449</c:v>
                      </c:pt>
                      <c:pt idx="229">
                        <c:v>1.0591319789000888</c:v>
                      </c:pt>
                      <c:pt idx="230">
                        <c:v>2.4397120041215867</c:v>
                      </c:pt>
                      <c:pt idx="231">
                        <c:v>2.0872761940946973</c:v>
                      </c:pt>
                      <c:pt idx="232">
                        <c:v>12.36411451398136</c:v>
                      </c:pt>
                      <c:pt idx="233">
                        <c:v>2.0909307541351274</c:v>
                      </c:pt>
                      <c:pt idx="234">
                        <c:v>1.3752505782575175</c:v>
                      </c:pt>
                      <c:pt idx="235">
                        <c:v>2.1511898818439006</c:v>
                      </c:pt>
                      <c:pt idx="236">
                        <c:v>1.3846146104590458</c:v>
                      </c:pt>
                      <c:pt idx="237">
                        <c:v>1.1181219908966922</c:v>
                      </c:pt>
                      <c:pt idx="238">
                        <c:v>1.5567605568606575</c:v>
                      </c:pt>
                      <c:pt idx="239">
                        <c:v>1.1474428398141581</c:v>
                      </c:pt>
                      <c:pt idx="240">
                        <c:v>1.0116937511313127</c:v>
                      </c:pt>
                      <c:pt idx="241">
                        <c:v>1.5351959281961471</c:v>
                      </c:pt>
                      <c:pt idx="242">
                        <c:v>1.8022336172058526</c:v>
                      </c:pt>
                      <c:pt idx="243">
                        <c:v>6.4353832442067729</c:v>
                      </c:pt>
                      <c:pt idx="244">
                        <c:v>2.75202317371232</c:v>
                      </c:pt>
                      <c:pt idx="245">
                        <c:v>0.92421813200594249</c:v>
                      </c:pt>
                      <c:pt idx="246">
                        <c:v>1.0067332514541283</c:v>
                      </c:pt>
                      <c:pt idx="247">
                        <c:v>1.1781631462939717</c:v>
                      </c:pt>
                      <c:pt idx="248">
                        <c:v>1.2893307423059364</c:v>
                      </c:pt>
                      <c:pt idx="249">
                        <c:v>0.90833063605882547</c:v>
                      </c:pt>
                      <c:pt idx="250">
                        <c:v>2.4947942521227953</c:v>
                      </c:pt>
                      <c:pt idx="251">
                        <c:v>1.4854470930859669</c:v>
                      </c:pt>
                      <c:pt idx="252">
                        <c:v>5.0983546240026465</c:v>
                      </c:pt>
                      <c:pt idx="253">
                        <c:v>1.9204039520853369</c:v>
                      </c:pt>
                      <c:pt idx="254">
                        <c:v>3.224585504500237</c:v>
                      </c:pt>
                      <c:pt idx="255">
                        <c:v>1.4574492386984719</c:v>
                      </c:pt>
                      <c:pt idx="256">
                        <c:v>1.5318676599637782</c:v>
                      </c:pt>
                      <c:pt idx="257">
                        <c:v>0.87439537985534854</c:v>
                      </c:pt>
                      <c:pt idx="258">
                        <c:v>1.0715226946267451</c:v>
                      </c:pt>
                      <c:pt idx="259">
                        <c:v>18.303966550728926</c:v>
                      </c:pt>
                      <c:pt idx="260">
                        <c:v>15.342920747996436</c:v>
                      </c:pt>
                      <c:pt idx="261">
                        <c:v>1.0398249596946665</c:v>
                      </c:pt>
                      <c:pt idx="262">
                        <c:v>1.5425447854088867</c:v>
                      </c:pt>
                      <c:pt idx="263">
                        <c:v>1.2072559733962294</c:v>
                      </c:pt>
                      <c:pt idx="264">
                        <c:v>1.8298170536399321</c:v>
                      </c:pt>
                      <c:pt idx="265">
                        <c:v>1.6279402597402597</c:v>
                      </c:pt>
                      <c:pt idx="266">
                        <c:v>1.5786759641873278</c:v>
                      </c:pt>
                      <c:pt idx="267">
                        <c:v>1.8321009243067703</c:v>
                      </c:pt>
                      <c:pt idx="268">
                        <c:v>0.98296627460393671</c:v>
                      </c:pt>
                      <c:pt idx="269">
                        <c:v>2.5430464736104623</c:v>
                      </c:pt>
                      <c:pt idx="270">
                        <c:v>0.79567561398508935</c:v>
                      </c:pt>
                      <c:pt idx="271">
                        <c:v>1.7641424143275357</c:v>
                      </c:pt>
                      <c:pt idx="272">
                        <c:v>0.75586231411813498</c:v>
                      </c:pt>
                      <c:pt idx="273">
                        <c:v>1.5762274613491978</c:v>
                      </c:pt>
                      <c:pt idx="274">
                        <c:v>1.8571870659934968</c:v>
                      </c:pt>
                      <c:pt idx="275">
                        <c:v>1.825191519863808</c:v>
                      </c:pt>
                      <c:pt idx="276">
                        <c:v>1.2466737941413992</c:v>
                      </c:pt>
                      <c:pt idx="277">
                        <c:v>3.1480187521662071</c:v>
                      </c:pt>
                      <c:pt idx="278">
                        <c:v>1.2384308973251366</c:v>
                      </c:pt>
                      <c:pt idx="279">
                        <c:v>0.90084773826081199</c:v>
                      </c:pt>
                      <c:pt idx="280">
                        <c:v>2.9711500423848545</c:v>
                      </c:pt>
                      <c:pt idx="281">
                        <c:v>2.5238210315542355</c:v>
                      </c:pt>
                      <c:pt idx="282">
                        <c:v>1.0679908215668896</c:v>
                      </c:pt>
                      <c:pt idx="283">
                        <c:v>0.97049399147425885</c:v>
                      </c:pt>
                      <c:pt idx="284">
                        <c:v>1.2201515743300084</c:v>
                      </c:pt>
                      <c:pt idx="285">
                        <c:v>3.3009898133958355</c:v>
                      </c:pt>
                      <c:pt idx="286">
                        <c:v>1.1110727944750671</c:v>
                      </c:pt>
                      <c:pt idx="287">
                        <c:v>0.9920087711132487</c:v>
                      </c:pt>
                      <c:pt idx="288">
                        <c:v>2.6878058589697256</c:v>
                      </c:pt>
                      <c:pt idx="289">
                        <c:v>1.7116819048871932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D5C6-4E19-973B-91C5491E876C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(2)'!$X$1</c15:sqref>
                        </c15:formulaRef>
                      </c:ext>
                    </c:extLst>
                    <c:strCache>
                      <c:ptCount val="1"/>
                      <c:pt idx="0">
                        <c:v>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(2)'!$X$2:$X$311</c15:sqref>
                        </c15:formulaRef>
                      </c:ext>
                    </c:extLst>
                    <c:numCache>
                      <c:formatCode>General</c:formatCode>
                      <c:ptCount val="290"/>
                      <c:pt idx="0">
                        <c:v>4.7559221713681952</c:v>
                      </c:pt>
                      <c:pt idx="1">
                        <c:v>6.3548482419344383</c:v>
                      </c:pt>
                      <c:pt idx="2">
                        <c:v>6.7599784274594539</c:v>
                      </c:pt>
                      <c:pt idx="3">
                        <c:v>5.8744009226848277</c:v>
                      </c:pt>
                      <c:pt idx="4">
                        <c:v>6.8622039783002595</c:v>
                      </c:pt>
                      <c:pt idx="5">
                        <c:v>7.2208632543022437</c:v>
                      </c:pt>
                      <c:pt idx="6">
                        <c:v>7.9347786442571362</c:v>
                      </c:pt>
                      <c:pt idx="7">
                        <c:v>9.3140448331317423</c:v>
                      </c:pt>
                      <c:pt idx="8">
                        <c:v>8.1800243009792695</c:v>
                      </c:pt>
                      <c:pt idx="9">
                        <c:v>7.1479766208140312</c:v>
                      </c:pt>
                      <c:pt idx="10">
                        <c:v>8.2701665709670333</c:v>
                      </c:pt>
                      <c:pt idx="11">
                        <c:v>6.2146823841864514</c:v>
                      </c:pt>
                      <c:pt idx="12">
                        <c:v>6.7520877267019879</c:v>
                      </c:pt>
                      <c:pt idx="13">
                        <c:v>7.5343808003279236</c:v>
                      </c:pt>
                      <c:pt idx="14">
                        <c:v>7.6599999164589478</c:v>
                      </c:pt>
                      <c:pt idx="15">
                        <c:v>7.5998249687859492</c:v>
                      </c:pt>
                      <c:pt idx="16">
                        <c:v>6.8114395137221555</c:v>
                      </c:pt>
                      <c:pt idx="17">
                        <c:v>8.8689061317272646</c:v>
                      </c:pt>
                      <c:pt idx="18">
                        <c:v>6.6705147699690066</c:v>
                      </c:pt>
                      <c:pt idx="19">
                        <c:v>7.522214894681313</c:v>
                      </c:pt>
                      <c:pt idx="20">
                        <c:v>6.6075009238567395</c:v>
                      </c:pt>
                      <c:pt idx="21">
                        <c:v>7.5138614858845187</c:v>
                      </c:pt>
                      <c:pt idx="22">
                        <c:v>5.4087893389492594</c:v>
                      </c:pt>
                      <c:pt idx="23">
                        <c:v>7.5141519522011828</c:v>
                      </c:pt>
                      <c:pt idx="24">
                        <c:v>5.4333586527400453</c:v>
                      </c:pt>
                      <c:pt idx="25">
                        <c:v>9.3429617600783974</c:v>
                      </c:pt>
                      <c:pt idx="26">
                        <c:v>6.9993431201340881</c:v>
                      </c:pt>
                      <c:pt idx="27">
                        <c:v>7.8449845985464171</c:v>
                      </c:pt>
                      <c:pt idx="28">
                        <c:v>5.5693272511649345</c:v>
                      </c:pt>
                      <c:pt idx="29">
                        <c:v>7.2224312441707657</c:v>
                      </c:pt>
                      <c:pt idx="30">
                        <c:v>5.5005299981957219</c:v>
                      </c:pt>
                      <c:pt idx="31">
                        <c:v>8.4165915799368332</c:v>
                      </c:pt>
                      <c:pt idx="32">
                        <c:v>8.8200284040933354</c:v>
                      </c:pt>
                      <c:pt idx="33">
                        <c:v>6.1745459979173667</c:v>
                      </c:pt>
                      <c:pt idx="34">
                        <c:v>5.2008461162169066</c:v>
                      </c:pt>
                      <c:pt idx="35">
                        <c:v>6.5700542328412457</c:v>
                      </c:pt>
                      <c:pt idx="36">
                        <c:v>7.3018355652367859</c:v>
                      </c:pt>
                      <c:pt idx="37">
                        <c:v>7.2608975249985619</c:v>
                      </c:pt>
                      <c:pt idx="38">
                        <c:v>11.296094714817672</c:v>
                      </c:pt>
                      <c:pt idx="39">
                        <c:v>7.0175912077488958</c:v>
                      </c:pt>
                      <c:pt idx="40">
                        <c:v>5.7909203890412142</c:v>
                      </c:pt>
                      <c:pt idx="41">
                        <c:v>7.101088704620139</c:v>
                      </c:pt>
                      <c:pt idx="42">
                        <c:v>9.308152224408067</c:v>
                      </c:pt>
                      <c:pt idx="43">
                        <c:v>8.972196999302712</c:v>
                      </c:pt>
                      <c:pt idx="44">
                        <c:v>8.3509674977077921</c:v>
                      </c:pt>
                      <c:pt idx="45">
                        <c:v>9.8310814520906682</c:v>
                      </c:pt>
                      <c:pt idx="46">
                        <c:v>9.8334450390755617</c:v>
                      </c:pt>
                      <c:pt idx="47">
                        <c:v>6.319488135966103</c:v>
                      </c:pt>
                      <c:pt idx="48">
                        <c:v>6.6008179795007509</c:v>
                      </c:pt>
                      <c:pt idx="49">
                        <c:v>5.6980432714644511</c:v>
                      </c:pt>
                      <c:pt idx="50">
                        <c:v>7.3929173076269183</c:v>
                      </c:pt>
                      <c:pt idx="51">
                        <c:v>8.273501153796829</c:v>
                      </c:pt>
                      <c:pt idx="52">
                        <c:v>7.4907063727628245</c:v>
                      </c:pt>
                      <c:pt idx="53">
                        <c:v>7.3356888892045982</c:v>
                      </c:pt>
                      <c:pt idx="54">
                        <c:v>7.0776697469142773</c:v>
                      </c:pt>
                      <c:pt idx="55">
                        <c:v>6.6789558441137027</c:v>
                      </c:pt>
                      <c:pt idx="56">
                        <c:v>8.7831644408743781</c:v>
                      </c:pt>
                      <c:pt idx="57">
                        <c:v>10.267166905332882</c:v>
                      </c:pt>
                      <c:pt idx="58">
                        <c:v>4.8144226531677212</c:v>
                      </c:pt>
                      <c:pt idx="59">
                        <c:v>6.3870925471373292</c:v>
                      </c:pt>
                      <c:pt idx="60">
                        <c:v>6.8474128560782628</c:v>
                      </c:pt>
                      <c:pt idx="61">
                        <c:v>5.861078456221775</c:v>
                      </c:pt>
                      <c:pt idx="62">
                        <c:v>6.7279931871795151</c:v>
                      </c:pt>
                      <c:pt idx="63">
                        <c:v>7.1151279495237416</c:v>
                      </c:pt>
                      <c:pt idx="64">
                        <c:v>8.0338753086176808</c:v>
                      </c:pt>
                      <c:pt idx="65">
                        <c:v>9.2839990098097278</c:v>
                      </c:pt>
                      <c:pt idx="66">
                        <c:v>7.8887599156319217</c:v>
                      </c:pt>
                      <c:pt idx="67">
                        <c:v>6.9504157944445168</c:v>
                      </c:pt>
                      <c:pt idx="68">
                        <c:v>8.3137043488946745</c:v>
                      </c:pt>
                      <c:pt idx="69">
                        <c:v>6.2563245774371605</c:v>
                      </c:pt>
                      <c:pt idx="70">
                        <c:v>6.6608075766601305</c:v>
                      </c:pt>
                      <c:pt idx="71">
                        <c:v>7.4045635410828199</c:v>
                      </c:pt>
                      <c:pt idx="72">
                        <c:v>7.7711186782080981</c:v>
                      </c:pt>
                      <c:pt idx="73">
                        <c:v>7.2619383723187925</c:v>
                      </c:pt>
                      <c:pt idx="74">
                        <c:v>6.8961627680486925</c:v>
                      </c:pt>
                      <c:pt idx="75">
                        <c:v>8.8979812226921311</c:v>
                      </c:pt>
                      <c:pt idx="76">
                        <c:v>6.730499881659493</c:v>
                      </c:pt>
                      <c:pt idx="77">
                        <c:v>7.5640226285460859</c:v>
                      </c:pt>
                      <c:pt idx="78">
                        <c:v>6.7111960229524712</c:v>
                      </c:pt>
                      <c:pt idx="79">
                        <c:v>7.429900163028063</c:v>
                      </c:pt>
                      <c:pt idx="80">
                        <c:v>5.4336385107368512</c:v>
                      </c:pt>
                      <c:pt idx="81">
                        <c:v>7.7184002039412345</c:v>
                      </c:pt>
                      <c:pt idx="82">
                        <c:v>5.7102697617944473</c:v>
                      </c:pt>
                      <c:pt idx="83">
                        <c:v>9.320626372146096</c:v>
                      </c:pt>
                      <c:pt idx="84">
                        <c:v>7.2822918580748066</c:v>
                      </c:pt>
                      <c:pt idx="85">
                        <c:v>7.8374554473539515</c:v>
                      </c:pt>
                      <c:pt idx="86">
                        <c:v>5.6188884089303643</c:v>
                      </c:pt>
                      <c:pt idx="87">
                        <c:v>7.2082683630515465</c:v>
                      </c:pt>
                      <c:pt idx="88">
                        <c:v>5.3063835571804967</c:v>
                      </c:pt>
                      <c:pt idx="89">
                        <c:v>8.4249260110763746</c:v>
                      </c:pt>
                      <c:pt idx="90">
                        <c:v>8.9744254800686125</c:v>
                      </c:pt>
                      <c:pt idx="91">
                        <c:v>6.2589565730270165</c:v>
                      </c:pt>
                      <c:pt idx="92">
                        <c:v>5.4278088291359916</c:v>
                      </c:pt>
                      <c:pt idx="93">
                        <c:v>6.5438335339311129</c:v>
                      </c:pt>
                      <c:pt idx="94">
                        <c:v>7.2481816750799988</c:v>
                      </c:pt>
                      <c:pt idx="95">
                        <c:v>7.2332528117937507</c:v>
                      </c:pt>
                      <c:pt idx="96">
                        <c:v>11.286214103479081</c:v>
                      </c:pt>
                      <c:pt idx="97">
                        <c:v>6.8910626715348071</c:v>
                      </c:pt>
                      <c:pt idx="98">
                        <c:v>6.0498260294496786</c:v>
                      </c:pt>
                      <c:pt idx="99">
                        <c:v>7.0409554876753813</c:v>
                      </c:pt>
                      <c:pt idx="100">
                        <c:v>9.1127014888239266</c:v>
                      </c:pt>
                      <c:pt idx="101">
                        <c:v>8.9255773519202517</c:v>
                      </c:pt>
                      <c:pt idx="102">
                        <c:v>8.2395905063388835</c:v>
                      </c:pt>
                      <c:pt idx="103">
                        <c:v>9.8749723733721595</c:v>
                      </c:pt>
                      <c:pt idx="104">
                        <c:v>9.7037422585976412</c:v>
                      </c:pt>
                      <c:pt idx="105">
                        <c:v>6.3132872718573427</c:v>
                      </c:pt>
                      <c:pt idx="106">
                        <c:v>6.5541822651340809</c:v>
                      </c:pt>
                      <c:pt idx="107">
                        <c:v>5.694391421889943</c:v>
                      </c:pt>
                      <c:pt idx="108">
                        <c:v>7.0888131835688961</c:v>
                      </c:pt>
                      <c:pt idx="109">
                        <c:v>8.1509452715552495</c:v>
                      </c:pt>
                      <c:pt idx="110">
                        <c:v>7.5812149742265902</c:v>
                      </c:pt>
                      <c:pt idx="111">
                        <c:v>7.3890019367479409</c:v>
                      </c:pt>
                      <c:pt idx="112">
                        <c:v>7.5896217110544564</c:v>
                      </c:pt>
                      <c:pt idx="113">
                        <c:v>6.9301632119038326</c:v>
                      </c:pt>
                      <c:pt idx="114">
                        <c:v>8.7845893942298314</c:v>
                      </c:pt>
                      <c:pt idx="115">
                        <c:v>10.216232142647717</c:v>
                      </c:pt>
                      <c:pt idx="116">
                        <c:v>4.7621162502743983</c:v>
                      </c:pt>
                      <c:pt idx="117">
                        <c:v>6.3424630661615247</c:v>
                      </c:pt>
                      <c:pt idx="118">
                        <c:v>6.8317178047106308</c:v>
                      </c:pt>
                      <c:pt idx="119">
                        <c:v>5.845714119548556</c:v>
                      </c:pt>
                      <c:pt idx="120">
                        <c:v>6.7433173030332352</c:v>
                      </c:pt>
                      <c:pt idx="121">
                        <c:v>7.0518329551175514</c:v>
                      </c:pt>
                      <c:pt idx="122">
                        <c:v>7.9527443560856783</c:v>
                      </c:pt>
                      <c:pt idx="123">
                        <c:v>9.2658520255875221</c:v>
                      </c:pt>
                      <c:pt idx="124">
                        <c:v>8.0630731729655984</c:v>
                      </c:pt>
                      <c:pt idx="125">
                        <c:v>6.8605434008955077</c:v>
                      </c:pt>
                      <c:pt idx="126">
                        <c:v>8.3244940260898836</c:v>
                      </c:pt>
                      <c:pt idx="127">
                        <c:v>5.5968066953797537</c:v>
                      </c:pt>
                      <c:pt idx="128">
                        <c:v>6.4150800096623737</c:v>
                      </c:pt>
                      <c:pt idx="129">
                        <c:v>7.2505507775651283</c:v>
                      </c:pt>
                      <c:pt idx="130">
                        <c:v>7.7900352350765161</c:v>
                      </c:pt>
                      <c:pt idx="131">
                        <c:v>6.9326306456082207</c:v>
                      </c:pt>
                      <c:pt idx="132">
                        <c:v>6.8524038121714916</c:v>
                      </c:pt>
                      <c:pt idx="133">
                        <c:v>8.751450367873888</c:v>
                      </c:pt>
                      <c:pt idx="134">
                        <c:v>6.7098271152049556</c:v>
                      </c:pt>
                      <c:pt idx="135">
                        <c:v>7.5090588323660015</c:v>
                      </c:pt>
                      <c:pt idx="136">
                        <c:v>6.6041555526147953</c:v>
                      </c:pt>
                      <c:pt idx="137">
                        <c:v>7.359300305473476</c:v>
                      </c:pt>
                      <c:pt idx="138">
                        <c:v>5.4010811344712266</c:v>
                      </c:pt>
                      <c:pt idx="139">
                        <c:v>7.692089493691415</c:v>
                      </c:pt>
                      <c:pt idx="140">
                        <c:v>6.1766401259771158</c:v>
                      </c:pt>
                      <c:pt idx="141">
                        <c:v>9.2806340416164748</c:v>
                      </c:pt>
                      <c:pt idx="142">
                        <c:v>6.6108123981997684</c:v>
                      </c:pt>
                      <c:pt idx="143">
                        <c:v>7.8166313431048886</c:v>
                      </c:pt>
                      <c:pt idx="144">
                        <c:v>5.2485508997925088</c:v>
                      </c:pt>
                      <c:pt idx="145">
                        <c:v>7.2166067050822624</c:v>
                      </c:pt>
                      <c:pt idx="146">
                        <c:v>5.2807032897994937</c:v>
                      </c:pt>
                      <c:pt idx="147">
                        <c:v>8.3881874645718693</c:v>
                      </c:pt>
                      <c:pt idx="148">
                        <c:v>9.0103660827916414</c:v>
                      </c:pt>
                      <c:pt idx="149">
                        <c:v>6.4384337535645297</c:v>
                      </c:pt>
                      <c:pt idx="150">
                        <c:v>5.0922771234881692</c:v>
                      </c:pt>
                      <c:pt idx="151">
                        <c:v>6.5211169494896311</c:v>
                      </c:pt>
                      <c:pt idx="152">
                        <c:v>7.2931087057583897</c:v>
                      </c:pt>
                      <c:pt idx="153">
                        <c:v>7.277192399701585</c:v>
                      </c:pt>
                      <c:pt idx="154">
                        <c:v>11.203152371325903</c:v>
                      </c:pt>
                      <c:pt idx="155">
                        <c:v>6.8693593594073858</c:v>
                      </c:pt>
                      <c:pt idx="156">
                        <c:v>6.2234264445965053</c:v>
                      </c:pt>
                      <c:pt idx="157">
                        <c:v>7.0246634200964895</c:v>
                      </c:pt>
                      <c:pt idx="158">
                        <c:v>9.075771239050761</c:v>
                      </c:pt>
                      <c:pt idx="159">
                        <c:v>8.7287753563879011</c:v>
                      </c:pt>
                      <c:pt idx="160">
                        <c:v>8.0511003597588786</c:v>
                      </c:pt>
                      <c:pt idx="161">
                        <c:v>9.7834300565274592</c:v>
                      </c:pt>
                      <c:pt idx="162">
                        <c:v>9.5231270718918548</c:v>
                      </c:pt>
                      <c:pt idx="163">
                        <c:v>6.3011614929648534</c:v>
                      </c:pt>
                      <c:pt idx="164">
                        <c:v>6.5775002358891692</c:v>
                      </c:pt>
                      <c:pt idx="165">
                        <c:v>5.7014370064679785</c:v>
                      </c:pt>
                      <c:pt idx="166">
                        <c:v>7.0447409616455543</c:v>
                      </c:pt>
                      <c:pt idx="167">
                        <c:v>7.8543049888479608</c:v>
                      </c:pt>
                      <c:pt idx="168">
                        <c:v>7.6488364553601977</c:v>
                      </c:pt>
                      <c:pt idx="169">
                        <c:v>7.2606397691872209</c:v>
                      </c:pt>
                      <c:pt idx="170">
                        <c:v>7.5042089927414635</c:v>
                      </c:pt>
                      <c:pt idx="171">
                        <c:v>6.6959993990500841</c:v>
                      </c:pt>
                      <c:pt idx="172">
                        <c:v>8.533767548567802</c:v>
                      </c:pt>
                      <c:pt idx="173">
                        <c:v>10.342672988727008</c:v>
                      </c:pt>
                      <c:pt idx="174">
                        <c:v>4.8275740396910836</c:v>
                      </c:pt>
                      <c:pt idx="175">
                        <c:v>5.8393676875447351</c:v>
                      </c:pt>
                      <c:pt idx="176">
                        <c:v>6.5414151699661014</c:v>
                      </c:pt>
                      <c:pt idx="177">
                        <c:v>5.7749257361133219</c:v>
                      </c:pt>
                      <c:pt idx="178">
                        <c:v>6.8908710339259978</c:v>
                      </c:pt>
                      <c:pt idx="179">
                        <c:v>6.9929480918245162</c:v>
                      </c:pt>
                      <c:pt idx="180">
                        <c:v>7.9600202048262148</c:v>
                      </c:pt>
                      <c:pt idx="181">
                        <c:v>9.2524893207546342</c:v>
                      </c:pt>
                      <c:pt idx="182">
                        <c:v>8.041763420400267</c:v>
                      </c:pt>
                      <c:pt idx="183">
                        <c:v>6.8181240494268716</c:v>
                      </c:pt>
                      <c:pt idx="184">
                        <c:v>8.4234804197541795</c:v>
                      </c:pt>
                      <c:pt idx="185">
                        <c:v>5.5874980489035799</c:v>
                      </c:pt>
                      <c:pt idx="186">
                        <c:v>6.2917973308362596</c:v>
                      </c:pt>
                      <c:pt idx="187">
                        <c:v>6.7848944960043802</c:v>
                      </c:pt>
                      <c:pt idx="188">
                        <c:v>7.7228112171383136</c:v>
                      </c:pt>
                      <c:pt idx="189">
                        <c:v>6.8409291964964334</c:v>
                      </c:pt>
                      <c:pt idx="190">
                        <c:v>6.8785169491425657</c:v>
                      </c:pt>
                      <c:pt idx="191">
                        <c:v>8.6969906307543923</c:v>
                      </c:pt>
                      <c:pt idx="192">
                        <c:v>6.7276701104705205</c:v>
                      </c:pt>
                      <c:pt idx="193">
                        <c:v>7.2725127689862479</c:v>
                      </c:pt>
                      <c:pt idx="194">
                        <c:v>6.6866781123755237</c:v>
                      </c:pt>
                      <c:pt idx="195">
                        <c:v>6.9215020451412794</c:v>
                      </c:pt>
                      <c:pt idx="196">
                        <c:v>5.4651895866615039</c:v>
                      </c:pt>
                      <c:pt idx="197">
                        <c:v>7.3807472399932532</c:v>
                      </c:pt>
                      <c:pt idx="198">
                        <c:v>6.58546450628927</c:v>
                      </c:pt>
                      <c:pt idx="199">
                        <c:v>10.002405925893889</c:v>
                      </c:pt>
                      <c:pt idx="200">
                        <c:v>6.5932685179386326</c:v>
                      </c:pt>
                      <c:pt idx="201">
                        <c:v>7.7571997849736727</c:v>
                      </c:pt>
                      <c:pt idx="202">
                        <c:v>5.0362937242376073</c:v>
                      </c:pt>
                      <c:pt idx="203">
                        <c:v>6.9446517686128413</c:v>
                      </c:pt>
                      <c:pt idx="204">
                        <c:v>5.3631058120153758</c:v>
                      </c:pt>
                      <c:pt idx="205">
                        <c:v>8.4273190449802566</c:v>
                      </c:pt>
                      <c:pt idx="206">
                        <c:v>8.8979170129209351</c:v>
                      </c:pt>
                      <c:pt idx="207">
                        <c:v>6.4844389266950104</c:v>
                      </c:pt>
                      <c:pt idx="208">
                        <c:v>4.8119222778865529</c:v>
                      </c:pt>
                      <c:pt idx="209">
                        <c:v>6.4018440911491385</c:v>
                      </c:pt>
                      <c:pt idx="210">
                        <c:v>7.2269356740238919</c:v>
                      </c:pt>
                      <c:pt idx="211">
                        <c:v>6.5853058401315288</c:v>
                      </c:pt>
                      <c:pt idx="212">
                        <c:v>11.135645964434804</c:v>
                      </c:pt>
                      <c:pt idx="213">
                        <c:v>6.8118031702325501</c:v>
                      </c:pt>
                      <c:pt idx="214">
                        <c:v>6.2596149962425622</c:v>
                      </c:pt>
                      <c:pt idx="215">
                        <c:v>6.9729778888646976</c:v>
                      </c:pt>
                      <c:pt idx="216">
                        <c:v>8.812338898578826</c:v>
                      </c:pt>
                      <c:pt idx="217">
                        <c:v>8.5224107448102728</c:v>
                      </c:pt>
                      <c:pt idx="218">
                        <c:v>7.7771056810794974</c:v>
                      </c:pt>
                      <c:pt idx="219">
                        <c:v>9.6939585750752162</c:v>
                      </c:pt>
                      <c:pt idx="220">
                        <c:v>9.2910472469113135</c:v>
                      </c:pt>
                      <c:pt idx="221">
                        <c:v>6.1662604243239452</c:v>
                      </c:pt>
                      <c:pt idx="222">
                        <c:v>6.7246107743455772</c:v>
                      </c:pt>
                      <c:pt idx="223">
                        <c:v>5.65537054206467</c:v>
                      </c:pt>
                      <c:pt idx="224">
                        <c:v>6.9169491692715113</c:v>
                      </c:pt>
                      <c:pt idx="225">
                        <c:v>7.8337351439083731</c:v>
                      </c:pt>
                      <c:pt idx="226">
                        <c:v>7.4750516172075079</c:v>
                      </c:pt>
                      <c:pt idx="227">
                        <c:v>7.2235658276320613</c:v>
                      </c:pt>
                      <c:pt idx="228">
                        <c:v>6.9187902703227548</c:v>
                      </c:pt>
                      <c:pt idx="229">
                        <c:v>6.8630461822447701</c:v>
                      </c:pt>
                      <c:pt idx="230">
                        <c:v>8.3586689769394393</c:v>
                      </c:pt>
                      <c:pt idx="231">
                        <c:v>10.264500056920735</c:v>
                      </c:pt>
                      <c:pt idx="232">
                        <c:v>4.9354202815806536</c:v>
                      </c:pt>
                      <c:pt idx="233">
                        <c:v>5.9066301263505077</c:v>
                      </c:pt>
                      <c:pt idx="234">
                        <c:v>6.0055376333356776</c:v>
                      </c:pt>
                      <c:pt idx="235">
                        <c:v>5.7969518066911547</c:v>
                      </c:pt>
                      <c:pt idx="236">
                        <c:v>6.7952399614320154</c:v>
                      </c:pt>
                      <c:pt idx="237">
                        <c:v>6.9661228373003921</c:v>
                      </c:pt>
                      <c:pt idx="238">
                        <c:v>7.835380262841122</c:v>
                      </c:pt>
                      <c:pt idx="239">
                        <c:v>9.1630246340046604</c:v>
                      </c:pt>
                      <c:pt idx="240">
                        <c:v>8.26251081812687</c:v>
                      </c:pt>
                      <c:pt idx="241">
                        <c:v>6.8673510869289176</c:v>
                      </c:pt>
                      <c:pt idx="242">
                        <c:v>8.4665403346073997</c:v>
                      </c:pt>
                      <c:pt idx="243">
                        <c:v>5.5210107186904471</c:v>
                      </c:pt>
                      <c:pt idx="244">
                        <c:v>6.44006892364321</c:v>
                      </c:pt>
                      <c:pt idx="245">
                        <c:v>6.7693167022552378</c:v>
                      </c:pt>
                      <c:pt idx="246">
                        <c:v>7.7551989387764335</c:v>
                      </c:pt>
                      <c:pt idx="247">
                        <c:v>6.8522605403264123</c:v>
                      </c:pt>
                      <c:pt idx="248">
                        <c:v>6.8704682625463782</c:v>
                      </c:pt>
                      <c:pt idx="249">
                        <c:v>8.676911756633686</c:v>
                      </c:pt>
                      <c:pt idx="250">
                        <c:v>6.8228170051420642</c:v>
                      </c:pt>
                      <c:pt idx="251">
                        <c:v>7.4123042742389638</c:v>
                      </c:pt>
                      <c:pt idx="252">
                        <c:v>6.8462343789772042</c:v>
                      </c:pt>
                      <c:pt idx="253">
                        <c:v>6.8352523142158441</c:v>
                      </c:pt>
                      <c:pt idx="254">
                        <c:v>5.4676410023868449</c:v>
                      </c:pt>
                      <c:pt idx="255">
                        <c:v>7.0570273949706417</c:v>
                      </c:pt>
                      <c:pt idx="256">
                        <c:v>6.4445659529312218</c:v>
                      </c:pt>
                      <c:pt idx="257">
                        <c:v>10.070083712576306</c:v>
                      </c:pt>
                      <c:pt idx="258">
                        <c:v>6.9059195686777226</c:v>
                      </c:pt>
                      <c:pt idx="259">
                        <c:v>7.7045956123414951</c:v>
                      </c:pt>
                      <c:pt idx="260">
                        <c:v>5.0138712464880264</c:v>
                      </c:pt>
                      <c:pt idx="261">
                        <c:v>6.9883817015537693</c:v>
                      </c:pt>
                      <c:pt idx="262">
                        <c:v>5.447392460207058</c:v>
                      </c:pt>
                      <c:pt idx="263">
                        <c:v>8.4300352105478904</c:v>
                      </c:pt>
                      <c:pt idx="264">
                        <c:v>8.8952269309941006</c:v>
                      </c:pt>
                      <c:pt idx="265">
                        <c:v>6.4111675478419192</c:v>
                      </c:pt>
                      <c:pt idx="266">
                        <c:v>5.0419602796549805</c:v>
                      </c:pt>
                      <c:pt idx="267">
                        <c:v>6.3069551217299535</c:v>
                      </c:pt>
                      <c:pt idx="268">
                        <c:v>7.2131508974335903</c:v>
                      </c:pt>
                      <c:pt idx="269">
                        <c:v>6.4857158275463789</c:v>
                      </c:pt>
                      <c:pt idx="270">
                        <c:v>10.993760893921419</c:v>
                      </c:pt>
                      <c:pt idx="271">
                        <c:v>6.6562134170962493</c:v>
                      </c:pt>
                      <c:pt idx="272">
                        <c:v>5.4763975334908475</c:v>
                      </c:pt>
                      <c:pt idx="273">
                        <c:v>6.9856648988495431</c:v>
                      </c:pt>
                      <c:pt idx="274">
                        <c:v>8.7922488573509394</c:v>
                      </c:pt>
                      <c:pt idx="275">
                        <c:v>8.5680969529985731</c:v>
                      </c:pt>
                      <c:pt idx="276">
                        <c:v>7.5194961197152681</c:v>
                      </c:pt>
                      <c:pt idx="277">
                        <c:v>9.7104362795445933</c:v>
                      </c:pt>
                      <c:pt idx="278">
                        <c:v>9.2628330782640038</c:v>
                      </c:pt>
                      <c:pt idx="279">
                        <c:v>6.1896853651780113</c:v>
                      </c:pt>
                      <c:pt idx="280">
                        <c:v>6.2013181218124638</c:v>
                      </c:pt>
                      <c:pt idx="281">
                        <c:v>5.6692987304608584</c:v>
                      </c:pt>
                      <c:pt idx="282">
                        <c:v>7.1441535520574231</c:v>
                      </c:pt>
                      <c:pt idx="283">
                        <c:v>7.969500263747185</c:v>
                      </c:pt>
                      <c:pt idx="284">
                        <c:v>7.4885339295767324</c:v>
                      </c:pt>
                      <c:pt idx="285">
                        <c:v>7.2984775402279327</c:v>
                      </c:pt>
                      <c:pt idx="286">
                        <c:v>6.8801190647609411</c:v>
                      </c:pt>
                      <c:pt idx="287">
                        <c:v>6.9053030330002461</c:v>
                      </c:pt>
                      <c:pt idx="288">
                        <c:v>8.3049389493836543</c:v>
                      </c:pt>
                      <c:pt idx="289">
                        <c:v>10.215960818407066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D5C6-4E19-973B-91C5491E876C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(2)'!$Y$1</c15:sqref>
                        </c15:formulaRef>
                      </c:ext>
                    </c:extLst>
                    <c:strCache>
                      <c:ptCount val="1"/>
                      <c:pt idx="0">
                        <c:v>AST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(2)'!$Y$2:$Y$311</c15:sqref>
                        </c15:formulaRef>
                      </c:ext>
                    </c:extLst>
                    <c:numCache>
                      <c:formatCode>0.00%</c:formatCode>
                      <c:ptCount val="290"/>
                      <c:pt idx="0">
                        <c:v>0.11108396717044776</c:v>
                      </c:pt>
                      <c:pt idx="1">
                        <c:v>0.16295306678212915</c:v>
                      </c:pt>
                      <c:pt idx="2">
                        <c:v>8.7620036664017662E-3</c:v>
                      </c:pt>
                      <c:pt idx="3">
                        <c:v>0.13859106149368114</c:v>
                      </c:pt>
                      <c:pt idx="4">
                        <c:v>0.14320767445317234</c:v>
                      </c:pt>
                      <c:pt idx="5">
                        <c:v>6.2554317611047558E-2</c:v>
                      </c:pt>
                      <c:pt idx="6">
                        <c:v>0.20181001316337646</c:v>
                      </c:pt>
                      <c:pt idx="7">
                        <c:v>0.32306596991754699</c:v>
                      </c:pt>
                      <c:pt idx="8">
                        <c:v>0.24754513587405283</c:v>
                      </c:pt>
                      <c:pt idx="9">
                        <c:v>0.25633014304119223</c:v>
                      </c:pt>
                      <c:pt idx="10">
                        <c:v>0.21359091723460524</c:v>
                      </c:pt>
                      <c:pt idx="11">
                        <c:v>6.1709514123602552E-2</c:v>
                      </c:pt>
                      <c:pt idx="12">
                        <c:v>1.5868082126994441E-2</c:v>
                      </c:pt>
                      <c:pt idx="13">
                        <c:v>0.14185019274543881</c:v>
                      </c:pt>
                      <c:pt idx="14">
                        <c:v>0.24372390296220608</c:v>
                      </c:pt>
                      <c:pt idx="15">
                        <c:v>5.1903002550679339E-2</c:v>
                      </c:pt>
                      <c:pt idx="16">
                        <c:v>0.14321063394683028</c:v>
                      </c:pt>
                      <c:pt idx="17">
                        <c:v>0.39567676916105687</c:v>
                      </c:pt>
                      <c:pt idx="18">
                        <c:v>0.22973853561384955</c:v>
                      </c:pt>
                      <c:pt idx="19">
                        <c:v>0.27740706673123866</c:v>
                      </c:pt>
                      <c:pt idx="20">
                        <c:v>0.25973341121684879</c:v>
                      </c:pt>
                      <c:pt idx="21">
                        <c:v>0.25277964497774852</c:v>
                      </c:pt>
                      <c:pt idx="22">
                        <c:v>0.31475616705020942</c:v>
                      </c:pt>
                      <c:pt idx="23">
                        <c:v>7.4245217459167109E-2</c:v>
                      </c:pt>
                      <c:pt idx="24">
                        <c:v>0.36474594228282087</c:v>
                      </c:pt>
                      <c:pt idx="25">
                        <c:v>0.28693521654881021</c:v>
                      </c:pt>
                      <c:pt idx="26">
                        <c:v>0.19005745934781049</c:v>
                      </c:pt>
                      <c:pt idx="27">
                        <c:v>1.5219560291005352E-3</c:v>
                      </c:pt>
                      <c:pt idx="28">
                        <c:v>9.6241525467856665E-2</c:v>
                      </c:pt>
                      <c:pt idx="29">
                        <c:v>0.26547769867541088</c:v>
                      </c:pt>
                      <c:pt idx="30">
                        <c:v>6.8215843550240407E-2</c:v>
                      </c:pt>
                      <c:pt idx="31">
                        <c:v>0.10981681793712265</c:v>
                      </c:pt>
                      <c:pt idx="32">
                        <c:v>0.20839133907846444</c:v>
                      </c:pt>
                      <c:pt idx="33">
                        <c:v>0.2235616394740074</c:v>
                      </c:pt>
                      <c:pt idx="34">
                        <c:v>0.22604595707782354</c:v>
                      </c:pt>
                      <c:pt idx="35">
                        <c:v>0.32058050422767503</c:v>
                      </c:pt>
                      <c:pt idx="36">
                        <c:v>0.33678457614907598</c:v>
                      </c:pt>
                      <c:pt idx="37">
                        <c:v>0.1506402569699965</c:v>
                      </c:pt>
                      <c:pt idx="38">
                        <c:v>0.29098122345767508</c:v>
                      </c:pt>
                      <c:pt idx="39">
                        <c:v>0.32499932704754958</c:v>
                      </c:pt>
                      <c:pt idx="40">
                        <c:v>0.38083389239904269</c:v>
                      </c:pt>
                      <c:pt idx="41">
                        <c:v>0.33448348051585541</c:v>
                      </c:pt>
                      <c:pt idx="42">
                        <c:v>0.2041859624420099</c:v>
                      </c:pt>
                      <c:pt idx="43">
                        <c:v>6.1182564644689005E-2</c:v>
                      </c:pt>
                      <c:pt idx="44">
                        <c:v>3.9946138183064125E-2</c:v>
                      </c:pt>
                      <c:pt idx="45">
                        <c:v>0.11656246031425604</c:v>
                      </c:pt>
                      <c:pt idx="46">
                        <c:v>0.11707085311233346</c:v>
                      </c:pt>
                      <c:pt idx="47">
                        <c:v>0.30837711631402553</c:v>
                      </c:pt>
                      <c:pt idx="48">
                        <c:v>3.8758130141664938E-2</c:v>
                      </c:pt>
                      <c:pt idx="49">
                        <c:v>0.19402564154215507</c:v>
                      </c:pt>
                      <c:pt idx="50">
                        <c:v>0.21600519728743026</c:v>
                      </c:pt>
                      <c:pt idx="51">
                        <c:v>0.12710515938205119</c:v>
                      </c:pt>
                      <c:pt idx="52">
                        <c:v>0.293020536908986</c:v>
                      </c:pt>
                      <c:pt idx="53">
                        <c:v>0.20494807096303724</c:v>
                      </c:pt>
                      <c:pt idx="54">
                        <c:v>0.13927444242475637</c:v>
                      </c:pt>
                      <c:pt idx="55">
                        <c:v>0.25303714893909224</c:v>
                      </c:pt>
                      <c:pt idx="56">
                        <c:v>0.28330124498547166</c:v>
                      </c:pt>
                      <c:pt idx="57">
                        <c:v>0.24091209199426405</c:v>
                      </c:pt>
                      <c:pt idx="58">
                        <c:v>0.11947113185103851</c:v>
                      </c:pt>
                      <c:pt idx="59">
                        <c:v>0.17102632693085362</c:v>
                      </c:pt>
                      <c:pt idx="60">
                        <c:v>8.8709382718563969E-3</c:v>
                      </c:pt>
                      <c:pt idx="61">
                        <c:v>0.14778970026022425</c:v>
                      </c:pt>
                      <c:pt idx="62">
                        <c:v>0.17390321121664407</c:v>
                      </c:pt>
                      <c:pt idx="63">
                        <c:v>8.2657291692926821E-2</c:v>
                      </c:pt>
                      <c:pt idx="64">
                        <c:v>0.2015663759203446</c:v>
                      </c:pt>
                      <c:pt idx="65">
                        <c:v>0.35866788533896876</c:v>
                      </c:pt>
                      <c:pt idx="66">
                        <c:v>0.23177812419117738</c:v>
                      </c:pt>
                      <c:pt idx="67">
                        <c:v>0.3552830826998592</c:v>
                      </c:pt>
                      <c:pt idx="68">
                        <c:v>0.25442689230100518</c:v>
                      </c:pt>
                      <c:pt idx="69">
                        <c:v>6.5702638491598103E-2</c:v>
                      </c:pt>
                      <c:pt idx="70">
                        <c:v>2.7192727235972804E-2</c:v>
                      </c:pt>
                      <c:pt idx="71">
                        <c:v>0.12823709554321983</c:v>
                      </c:pt>
                      <c:pt idx="72">
                        <c:v>0.26103904228044233</c:v>
                      </c:pt>
                      <c:pt idx="73">
                        <c:v>6.8611736433666734E-2</c:v>
                      </c:pt>
                      <c:pt idx="74">
                        <c:v>0.15486197012091307</c:v>
                      </c:pt>
                      <c:pt idx="75">
                        <c:v>0.33156547843303863</c:v>
                      </c:pt>
                      <c:pt idx="76">
                        <c:v>0.22721279816414919</c:v>
                      </c:pt>
                      <c:pt idx="77">
                        <c:v>0.26348565260859402</c:v>
                      </c:pt>
                      <c:pt idx="78">
                        <c:v>0.11362021562509654</c:v>
                      </c:pt>
                      <c:pt idx="79">
                        <c:v>0.14006692302313264</c:v>
                      </c:pt>
                      <c:pt idx="80">
                        <c:v>0.23860977423978957</c:v>
                      </c:pt>
                      <c:pt idx="81">
                        <c:v>6.4092878811394319E-2</c:v>
                      </c:pt>
                      <c:pt idx="82">
                        <c:v>0.26147570378339607</c:v>
                      </c:pt>
                      <c:pt idx="83">
                        <c:v>0.19300308691798546</c:v>
                      </c:pt>
                      <c:pt idx="84">
                        <c:v>0.16353091734046885</c:v>
                      </c:pt>
                      <c:pt idx="85">
                        <c:v>5.1538188096802041E-3</c:v>
                      </c:pt>
                      <c:pt idx="86">
                        <c:v>0.10253030885976473</c:v>
                      </c:pt>
                      <c:pt idx="87">
                        <c:v>0.2935039293629208</c:v>
                      </c:pt>
                      <c:pt idx="88">
                        <c:v>9.6371387331744482E-2</c:v>
                      </c:pt>
                      <c:pt idx="89">
                        <c:v>0.12372521495259588</c:v>
                      </c:pt>
                      <c:pt idx="90">
                        <c:v>0.18764675779213588</c:v>
                      </c:pt>
                      <c:pt idx="91">
                        <c:v>0.24696682607644765</c:v>
                      </c:pt>
                      <c:pt idx="92">
                        <c:v>0.20145374907716168</c:v>
                      </c:pt>
                      <c:pt idx="93">
                        <c:v>0.33131094750236972</c:v>
                      </c:pt>
                      <c:pt idx="94">
                        <c:v>0.42152136186263006</c:v>
                      </c:pt>
                      <c:pt idx="95">
                        <c:v>9.2383410867994495E-2</c:v>
                      </c:pt>
                      <c:pt idx="96">
                        <c:v>0.30801250845329492</c:v>
                      </c:pt>
                      <c:pt idx="97">
                        <c:v>0.23979324994207879</c:v>
                      </c:pt>
                      <c:pt idx="98">
                        <c:v>0.37944495281061469</c:v>
                      </c:pt>
                      <c:pt idx="99">
                        <c:v>0.35572576588477534</c:v>
                      </c:pt>
                      <c:pt idx="100">
                        <c:v>0.23799040368998156</c:v>
                      </c:pt>
                      <c:pt idx="101">
                        <c:v>6.616365970927017E-2</c:v>
                      </c:pt>
                      <c:pt idx="102">
                        <c:v>4.4823905606550335E-2</c:v>
                      </c:pt>
                      <c:pt idx="103">
                        <c:v>0.12926076240191664</c:v>
                      </c:pt>
                      <c:pt idx="104">
                        <c:v>0.14977873179321011</c:v>
                      </c:pt>
                      <c:pt idx="105">
                        <c:v>0.35906636307148931</c:v>
                      </c:pt>
                      <c:pt idx="106">
                        <c:v>3.6175148149516556E-2</c:v>
                      </c:pt>
                      <c:pt idx="107">
                        <c:v>0.16386694954816133</c:v>
                      </c:pt>
                      <c:pt idx="108">
                        <c:v>0.34379089642372612</c:v>
                      </c:pt>
                      <c:pt idx="109">
                        <c:v>0.12001285237260492</c:v>
                      </c:pt>
                      <c:pt idx="110">
                        <c:v>0.29824504388324991</c:v>
                      </c:pt>
                      <c:pt idx="111">
                        <c:v>0.16672847604561253</c:v>
                      </c:pt>
                      <c:pt idx="112">
                        <c:v>8.8031072138799071E-2</c:v>
                      </c:pt>
                      <c:pt idx="113">
                        <c:v>0.19778357451689757</c:v>
                      </c:pt>
                      <c:pt idx="114">
                        <c:v>0.24375682556510281</c:v>
                      </c:pt>
                      <c:pt idx="115">
                        <c:v>0.24551472666600996</c:v>
                      </c:pt>
                      <c:pt idx="116">
                        <c:v>0.13047521483131763</c:v>
                      </c:pt>
                      <c:pt idx="117">
                        <c:v>0.4453436984186146</c:v>
                      </c:pt>
                      <c:pt idx="118">
                        <c:v>8.167226633319773E-3</c:v>
                      </c:pt>
                      <c:pt idx="119">
                        <c:v>0.10540592386676853</c:v>
                      </c:pt>
                      <c:pt idx="120">
                        <c:v>0.19543211087253348</c:v>
                      </c:pt>
                      <c:pt idx="121">
                        <c:v>0.1132175648521612</c:v>
                      </c:pt>
                      <c:pt idx="122">
                        <c:v>0.21405943713961834</c:v>
                      </c:pt>
                      <c:pt idx="123">
                        <c:v>0.36950288274926335</c:v>
                      </c:pt>
                      <c:pt idx="124">
                        <c:v>9.9165219966261361E-2</c:v>
                      </c:pt>
                      <c:pt idx="125">
                        <c:v>0.3702457643555685</c:v>
                      </c:pt>
                      <c:pt idx="126">
                        <c:v>0.30826922018756359</c:v>
                      </c:pt>
                      <c:pt idx="127">
                        <c:v>0.12358010649066427</c:v>
                      </c:pt>
                      <c:pt idx="128">
                        <c:v>2.9550481874822052E-2</c:v>
                      </c:pt>
                      <c:pt idx="129">
                        <c:v>0.13806087255284147</c:v>
                      </c:pt>
                      <c:pt idx="130">
                        <c:v>0.3083143504956164</c:v>
                      </c:pt>
                      <c:pt idx="131">
                        <c:v>9.0491302383757494E-2</c:v>
                      </c:pt>
                      <c:pt idx="132">
                        <c:v>0.15730451770241544</c:v>
                      </c:pt>
                      <c:pt idx="133">
                        <c:v>0.42181433574461402</c:v>
                      </c:pt>
                      <c:pt idx="134">
                        <c:v>0.25413270758563078</c:v>
                      </c:pt>
                      <c:pt idx="135">
                        <c:v>0.31106018189743878</c:v>
                      </c:pt>
                      <c:pt idx="136">
                        <c:v>0.1494014154166762</c:v>
                      </c:pt>
                      <c:pt idx="137">
                        <c:v>9.7403754301734619E-2</c:v>
                      </c:pt>
                      <c:pt idx="138">
                        <c:v>0.25412308217290303</c:v>
                      </c:pt>
                      <c:pt idx="139">
                        <c:v>6.8825994788359768E-2</c:v>
                      </c:pt>
                      <c:pt idx="140">
                        <c:v>0.1823438266725648</c:v>
                      </c:pt>
                      <c:pt idx="141">
                        <c:v>0.15237082412199557</c:v>
                      </c:pt>
                      <c:pt idx="142">
                        <c:v>0.20484302980621147</c:v>
                      </c:pt>
                      <c:pt idx="143">
                        <c:v>5.9745520609895261E-3</c:v>
                      </c:pt>
                      <c:pt idx="144">
                        <c:v>3.9440977647055224E-2</c:v>
                      </c:pt>
                      <c:pt idx="145">
                        <c:v>0.28745089746300889</c:v>
                      </c:pt>
                      <c:pt idx="146">
                        <c:v>0.11262501554367328</c:v>
                      </c:pt>
                      <c:pt idx="147">
                        <c:v>0.14387891010409379</c:v>
                      </c:pt>
                      <c:pt idx="148">
                        <c:v>0.18055027938478926</c:v>
                      </c:pt>
                      <c:pt idx="149">
                        <c:v>0.24680018195636583</c:v>
                      </c:pt>
                      <c:pt idx="150">
                        <c:v>0.26121350338871574</c:v>
                      </c:pt>
                      <c:pt idx="151">
                        <c:v>0.35139734371092562</c:v>
                      </c:pt>
                      <c:pt idx="152">
                        <c:v>0.46963986218501502</c:v>
                      </c:pt>
                      <c:pt idx="153">
                        <c:v>5.7003593937351778E-2</c:v>
                      </c:pt>
                      <c:pt idx="154">
                        <c:v>0.33827238366687518</c:v>
                      </c:pt>
                      <c:pt idx="155">
                        <c:v>0.22005240451351102</c:v>
                      </c:pt>
                      <c:pt idx="156">
                        <c:v>0.36259244393387868</c:v>
                      </c:pt>
                      <c:pt idx="157">
                        <c:v>0.38062194901651636</c:v>
                      </c:pt>
                      <c:pt idx="158">
                        <c:v>0.2264431188677295</c:v>
                      </c:pt>
                      <c:pt idx="159">
                        <c:v>8.5693901799008335E-2</c:v>
                      </c:pt>
                      <c:pt idx="160">
                        <c:v>5.3357038753614645E-2</c:v>
                      </c:pt>
                      <c:pt idx="161">
                        <c:v>0.14438273804619303</c:v>
                      </c:pt>
                      <c:pt idx="162">
                        <c:v>0.18712148584845745</c:v>
                      </c:pt>
                      <c:pt idx="163">
                        <c:v>0.403350556718721</c:v>
                      </c:pt>
                      <c:pt idx="164">
                        <c:v>4.4085541914129438E-2</c:v>
                      </c:pt>
                      <c:pt idx="165">
                        <c:v>0.13778691838765864</c:v>
                      </c:pt>
                      <c:pt idx="166">
                        <c:v>0.40927838712623149</c:v>
                      </c:pt>
                      <c:pt idx="167">
                        <c:v>0.11239712712321714</c:v>
                      </c:pt>
                      <c:pt idx="168">
                        <c:v>0.25724248979104042</c:v>
                      </c:pt>
                      <c:pt idx="169">
                        <c:v>0.18214173438222439</c:v>
                      </c:pt>
                      <c:pt idx="170">
                        <c:v>9.9584365530184668E-2</c:v>
                      </c:pt>
                      <c:pt idx="171">
                        <c:v>0.31228339617540557</c:v>
                      </c:pt>
                      <c:pt idx="172">
                        <c:v>0.23652749196091796</c:v>
                      </c:pt>
                      <c:pt idx="173">
                        <c:v>0.23825288727380239</c:v>
                      </c:pt>
                      <c:pt idx="174">
                        <c:v>0.13595074447749017</c:v>
                      </c:pt>
                      <c:pt idx="175">
                        <c:v>0.51301684532924963</c:v>
                      </c:pt>
                      <c:pt idx="176">
                        <c:v>1.3045938111060973E-2</c:v>
                      </c:pt>
                      <c:pt idx="177">
                        <c:v>0.11771922564031823</c:v>
                      </c:pt>
                      <c:pt idx="178">
                        <c:v>0.19418490161743421</c:v>
                      </c:pt>
                      <c:pt idx="179">
                        <c:v>0.14900230753619231</c:v>
                      </c:pt>
                      <c:pt idx="180">
                        <c:v>0.21081839770959523</c:v>
                      </c:pt>
                      <c:pt idx="181">
                        <c:v>0.39520670597647939</c:v>
                      </c:pt>
                      <c:pt idx="182">
                        <c:v>4.0750058189042621E-2</c:v>
                      </c:pt>
                      <c:pt idx="183">
                        <c:v>0.30763941722582172</c:v>
                      </c:pt>
                      <c:pt idx="184">
                        <c:v>0.33263839029328551</c:v>
                      </c:pt>
                      <c:pt idx="185">
                        <c:v>9.2975119521691379E-2</c:v>
                      </c:pt>
                      <c:pt idx="186">
                        <c:v>6.4662907790526761E-2</c:v>
                      </c:pt>
                      <c:pt idx="187">
                        <c:v>0.22884794207419198</c:v>
                      </c:pt>
                      <c:pt idx="188">
                        <c:v>0.38568386546908806</c:v>
                      </c:pt>
                      <c:pt idx="189">
                        <c:v>0.10188908954663245</c:v>
                      </c:pt>
                      <c:pt idx="190">
                        <c:v>0.1879467973347422</c:v>
                      </c:pt>
                      <c:pt idx="191">
                        <c:v>0.44108003834368958</c:v>
                      </c:pt>
                      <c:pt idx="192">
                        <c:v>0.27008283622376916</c:v>
                      </c:pt>
                      <c:pt idx="193">
                        <c:v>0.43756803567681873</c:v>
                      </c:pt>
                      <c:pt idx="194">
                        <c:v>0.15237691911431578</c:v>
                      </c:pt>
                      <c:pt idx="195">
                        <c:v>0.1798882864392734</c:v>
                      </c:pt>
                      <c:pt idx="196">
                        <c:v>0.24611770487035614</c:v>
                      </c:pt>
                      <c:pt idx="197">
                        <c:v>6.847249573759065E-2</c:v>
                      </c:pt>
                      <c:pt idx="198">
                        <c:v>0.13159414126710228</c:v>
                      </c:pt>
                      <c:pt idx="199">
                        <c:v>0.33881637382459318</c:v>
                      </c:pt>
                      <c:pt idx="200">
                        <c:v>0.20168131324196467</c:v>
                      </c:pt>
                      <c:pt idx="201">
                        <c:v>6.6428271174914094E-3</c:v>
                      </c:pt>
                      <c:pt idx="202">
                        <c:v>3.8902791145332051E-2</c:v>
                      </c:pt>
                      <c:pt idx="203">
                        <c:v>0.42131704617935778</c:v>
                      </c:pt>
                      <c:pt idx="204">
                        <c:v>0.12130088795348656</c:v>
                      </c:pt>
                      <c:pt idx="205">
                        <c:v>0.15235059056455344</c:v>
                      </c:pt>
                      <c:pt idx="206">
                        <c:v>0.21674114544679374</c:v>
                      </c:pt>
                      <c:pt idx="207">
                        <c:v>0.27641112031933646</c:v>
                      </c:pt>
                      <c:pt idx="208">
                        <c:v>0.29416271170107688</c:v>
                      </c:pt>
                      <c:pt idx="209">
                        <c:v>0.39372723351109251</c:v>
                      </c:pt>
                      <c:pt idx="210">
                        <c:v>0.50552012304449001</c:v>
                      </c:pt>
                      <c:pt idx="211">
                        <c:v>0.12377432937781573</c:v>
                      </c:pt>
                      <c:pt idx="212">
                        <c:v>0.42840556297153526</c:v>
                      </c:pt>
                      <c:pt idx="213">
                        <c:v>0.22871449263358898</c:v>
                      </c:pt>
                      <c:pt idx="214">
                        <c:v>0.40449890059348698</c:v>
                      </c:pt>
                      <c:pt idx="215">
                        <c:v>0.43022405126246704</c:v>
                      </c:pt>
                      <c:pt idx="216">
                        <c:v>0.31062220946085117</c:v>
                      </c:pt>
                      <c:pt idx="217">
                        <c:v>0.10981975319062054</c:v>
                      </c:pt>
                      <c:pt idx="218">
                        <c:v>7.2164464487438199E-2</c:v>
                      </c:pt>
                      <c:pt idx="219">
                        <c:v>0.17806424868437312</c:v>
                      </c:pt>
                      <c:pt idx="220">
                        <c:v>0.22558022649831816</c:v>
                      </c:pt>
                      <c:pt idx="221">
                        <c:v>0.47521981916997275</c:v>
                      </c:pt>
                      <c:pt idx="222">
                        <c:v>4.4273177437821228E-2</c:v>
                      </c:pt>
                      <c:pt idx="223">
                        <c:v>0.16740289918762219</c:v>
                      </c:pt>
                      <c:pt idx="224">
                        <c:v>0.53653158497559872</c:v>
                      </c:pt>
                      <c:pt idx="225">
                        <c:v>0.12048823376712384</c:v>
                      </c:pt>
                      <c:pt idx="226">
                        <c:v>0.33137561428600709</c:v>
                      </c:pt>
                      <c:pt idx="227">
                        <c:v>0.20028868931508223</c:v>
                      </c:pt>
                      <c:pt idx="228">
                        <c:v>0.18234391700575672</c:v>
                      </c:pt>
                      <c:pt idx="229">
                        <c:v>0.2990826529335156</c:v>
                      </c:pt>
                      <c:pt idx="230">
                        <c:v>0.25111297606091315</c:v>
                      </c:pt>
                      <c:pt idx="231">
                        <c:v>0.28604373994386123</c:v>
                      </c:pt>
                      <c:pt idx="232">
                        <c:v>0.13408319707438859</c:v>
                      </c:pt>
                      <c:pt idx="233">
                        <c:v>0.57073458926907206</c:v>
                      </c:pt>
                      <c:pt idx="234">
                        <c:v>2.4587321926584756E-2</c:v>
                      </c:pt>
                      <c:pt idx="235">
                        <c:v>0.10081677072848223</c:v>
                      </c:pt>
                      <c:pt idx="236">
                        <c:v>0.23604902312365003</c:v>
                      </c:pt>
                      <c:pt idx="237">
                        <c:v>0.19097850974021666</c:v>
                      </c:pt>
                      <c:pt idx="238">
                        <c:v>0.13369280399206887</c:v>
                      </c:pt>
                      <c:pt idx="239">
                        <c:v>0.36862804488650908</c:v>
                      </c:pt>
                      <c:pt idx="240">
                        <c:v>7.1088544321073954E-3</c:v>
                      </c:pt>
                      <c:pt idx="241">
                        <c:v>0.12257967153321854</c:v>
                      </c:pt>
                      <c:pt idx="242">
                        <c:v>0.37145800609764879</c:v>
                      </c:pt>
                      <c:pt idx="243">
                        <c:v>5.5431015917144701E-2</c:v>
                      </c:pt>
                      <c:pt idx="244">
                        <c:v>9.3284561940937413E-2</c:v>
                      </c:pt>
                      <c:pt idx="245">
                        <c:v>0.14439147181197307</c:v>
                      </c:pt>
                      <c:pt idx="246">
                        <c:v>0.41314845324569582</c:v>
                      </c:pt>
                      <c:pt idx="247">
                        <c:v>8.515463237761059E-2</c:v>
                      </c:pt>
                      <c:pt idx="248">
                        <c:v>0.20819296778940055</c:v>
                      </c:pt>
                      <c:pt idx="249">
                        <c:v>0.47549131170229131</c:v>
                      </c:pt>
                      <c:pt idx="250">
                        <c:v>7.9534953703087261E-2</c:v>
                      </c:pt>
                      <c:pt idx="251">
                        <c:v>0.46541810100207476</c:v>
                      </c:pt>
                      <c:pt idx="252">
                        <c:v>0.15899632747216014</c:v>
                      </c:pt>
                      <c:pt idx="253">
                        <c:v>0.17566159205543785</c:v>
                      </c:pt>
                      <c:pt idx="254">
                        <c:v>0.1093474108110899</c:v>
                      </c:pt>
                      <c:pt idx="255">
                        <c:v>7.2980101124654917E-2</c:v>
                      </c:pt>
                      <c:pt idx="256">
                        <c:v>0.15387448638856818</c:v>
                      </c:pt>
                      <c:pt idx="257">
                        <c:v>0.26610857333621829</c:v>
                      </c:pt>
                      <c:pt idx="258">
                        <c:v>0.20430388169104172</c:v>
                      </c:pt>
                      <c:pt idx="259">
                        <c:v>5.9050798792851938E-3</c:v>
                      </c:pt>
                      <c:pt idx="260">
                        <c:v>4.6067255917911207E-2</c:v>
                      </c:pt>
                      <c:pt idx="261">
                        <c:v>0.41922120213190295</c:v>
                      </c:pt>
                      <c:pt idx="262">
                        <c:v>0.11362301278927335</c:v>
                      </c:pt>
                      <c:pt idx="263">
                        <c:v>0.15816644354198159</c:v>
                      </c:pt>
                      <c:pt idx="264">
                        <c:v>0.23898786421965387</c:v>
                      </c:pt>
                      <c:pt idx="265">
                        <c:v>0.34759427606213494</c:v>
                      </c:pt>
                      <c:pt idx="266">
                        <c:v>0.22771796036904596</c:v>
                      </c:pt>
                      <c:pt idx="267">
                        <c:v>0.36147692815537885</c:v>
                      </c:pt>
                      <c:pt idx="268">
                        <c:v>0.49751467963452195</c:v>
                      </c:pt>
                      <c:pt idx="269">
                        <c:v>0.18056843130196026</c:v>
                      </c:pt>
                      <c:pt idx="270">
                        <c:v>0.4192482169922766</c:v>
                      </c:pt>
                      <c:pt idx="271">
                        <c:v>0.28248264103251747</c:v>
                      </c:pt>
                      <c:pt idx="272">
                        <c:v>0.38969054753612586</c:v>
                      </c:pt>
                      <c:pt idx="273">
                        <c:v>0.25943829581171379</c:v>
                      </c:pt>
                      <c:pt idx="274">
                        <c:v>0.28239590790291913</c:v>
                      </c:pt>
                      <c:pt idx="275">
                        <c:v>0.10738973218997545</c:v>
                      </c:pt>
                      <c:pt idx="276">
                        <c:v>9.7039290918517387E-2</c:v>
                      </c:pt>
                      <c:pt idx="277">
                        <c:v>0.17377632529000675</c:v>
                      </c:pt>
                      <c:pt idx="278">
                        <c:v>0.24489318318749251</c:v>
                      </c:pt>
                      <c:pt idx="279">
                        <c:v>0.55100661462741773</c:v>
                      </c:pt>
                      <c:pt idx="280">
                        <c:v>0.1003872058462629</c:v>
                      </c:pt>
                      <c:pt idx="281">
                        <c:v>0.17066161390241638</c:v>
                      </c:pt>
                      <c:pt idx="282">
                        <c:v>0.50597917319445573</c:v>
                      </c:pt>
                      <c:pt idx="283">
                        <c:v>0.10634349942692918</c:v>
                      </c:pt>
                      <c:pt idx="284">
                        <c:v>0.37312718433148978</c:v>
                      </c:pt>
                      <c:pt idx="285">
                        <c:v>0.19207920546285662</c:v>
                      </c:pt>
                      <c:pt idx="286">
                        <c:v>0.2031782415498784</c:v>
                      </c:pt>
                      <c:pt idx="287">
                        <c:v>0.34131112466627228</c:v>
                      </c:pt>
                      <c:pt idx="288">
                        <c:v>0.22751191924764541</c:v>
                      </c:pt>
                      <c:pt idx="289">
                        <c:v>0.33318976096419783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D5C6-4E19-973B-91C5491E876C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(2)'!$Z$1</c15:sqref>
                        </c15:formulaRef>
                      </c:ext>
                    </c:extLst>
                    <c:strCache>
                      <c:ptCount val="1"/>
                      <c:pt idx="0">
                        <c:v>Lãi suất thực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(2)'!$Z$2:$Z$311</c15:sqref>
                        </c15:formulaRef>
                      </c:ext>
                    </c:extLst>
                    <c:numCache>
                      <c:formatCode>0.00%</c:formatCode>
                      <c:ptCount val="290"/>
                      <c:pt idx="0">
                        <c:v>5.8759682244523548E-2</c:v>
                      </c:pt>
                      <c:pt idx="1">
                        <c:v>5.8759682244523548E-2</c:v>
                      </c:pt>
                      <c:pt idx="2">
                        <c:v>5.8759682244523548E-2</c:v>
                      </c:pt>
                      <c:pt idx="3">
                        <c:v>5.8759682244523548E-2</c:v>
                      </c:pt>
                      <c:pt idx="4">
                        <c:v>5.8759682244523548E-2</c:v>
                      </c:pt>
                      <c:pt idx="5">
                        <c:v>5.8759682244523548E-2</c:v>
                      </c:pt>
                      <c:pt idx="6">
                        <c:v>5.8759682244523548E-2</c:v>
                      </c:pt>
                      <c:pt idx="7">
                        <c:v>5.8759682244523548E-2</c:v>
                      </c:pt>
                      <c:pt idx="8">
                        <c:v>5.8759682244523548E-2</c:v>
                      </c:pt>
                      <c:pt idx="9">
                        <c:v>5.8759682244523548E-2</c:v>
                      </c:pt>
                      <c:pt idx="10">
                        <c:v>5.8759682244523548E-2</c:v>
                      </c:pt>
                      <c:pt idx="11">
                        <c:v>5.8759682244523548E-2</c:v>
                      </c:pt>
                      <c:pt idx="12">
                        <c:v>5.8759682244523548E-2</c:v>
                      </c:pt>
                      <c:pt idx="13">
                        <c:v>5.8759682244523548E-2</c:v>
                      </c:pt>
                      <c:pt idx="14">
                        <c:v>5.8759682244523548E-2</c:v>
                      </c:pt>
                      <c:pt idx="15">
                        <c:v>5.8759682244523548E-2</c:v>
                      </c:pt>
                      <c:pt idx="16">
                        <c:v>5.8759682244523548E-2</c:v>
                      </c:pt>
                      <c:pt idx="17">
                        <c:v>5.8759682244523548E-2</c:v>
                      </c:pt>
                      <c:pt idx="18">
                        <c:v>5.8759682244523548E-2</c:v>
                      </c:pt>
                      <c:pt idx="19">
                        <c:v>5.8759682244523548E-2</c:v>
                      </c:pt>
                      <c:pt idx="20">
                        <c:v>5.8759682244523548E-2</c:v>
                      </c:pt>
                      <c:pt idx="21">
                        <c:v>5.8759682244523548E-2</c:v>
                      </c:pt>
                      <c:pt idx="22">
                        <c:v>5.8759682244523548E-2</c:v>
                      </c:pt>
                      <c:pt idx="23">
                        <c:v>5.8759682244523548E-2</c:v>
                      </c:pt>
                      <c:pt idx="24">
                        <c:v>5.8759682244523548E-2</c:v>
                      </c:pt>
                      <c:pt idx="25">
                        <c:v>5.8759682244523548E-2</c:v>
                      </c:pt>
                      <c:pt idx="26">
                        <c:v>5.8759682244523548E-2</c:v>
                      </c:pt>
                      <c:pt idx="27">
                        <c:v>5.8759682244523548E-2</c:v>
                      </c:pt>
                      <c:pt idx="28">
                        <c:v>5.8759682244523548E-2</c:v>
                      </c:pt>
                      <c:pt idx="29">
                        <c:v>5.8759682244523548E-2</c:v>
                      </c:pt>
                      <c:pt idx="30">
                        <c:v>5.8759682244523548E-2</c:v>
                      </c:pt>
                      <c:pt idx="31">
                        <c:v>5.8759682244523548E-2</c:v>
                      </c:pt>
                      <c:pt idx="32">
                        <c:v>5.8759682244523548E-2</c:v>
                      </c:pt>
                      <c:pt idx="33">
                        <c:v>5.8759682244523548E-2</c:v>
                      </c:pt>
                      <c:pt idx="34">
                        <c:v>5.8759682244523548E-2</c:v>
                      </c:pt>
                      <c:pt idx="35">
                        <c:v>5.8759682244523548E-2</c:v>
                      </c:pt>
                      <c:pt idx="36">
                        <c:v>5.8759682244523548E-2</c:v>
                      </c:pt>
                      <c:pt idx="37">
                        <c:v>5.8759682244523548E-2</c:v>
                      </c:pt>
                      <c:pt idx="38">
                        <c:v>5.8759682244523548E-2</c:v>
                      </c:pt>
                      <c:pt idx="39">
                        <c:v>5.8759682244523548E-2</c:v>
                      </c:pt>
                      <c:pt idx="40">
                        <c:v>5.8759682244523548E-2</c:v>
                      </c:pt>
                      <c:pt idx="41">
                        <c:v>5.8759682244523548E-2</c:v>
                      </c:pt>
                      <c:pt idx="42">
                        <c:v>5.8759682244523548E-2</c:v>
                      </c:pt>
                      <c:pt idx="43">
                        <c:v>5.8759682244523548E-2</c:v>
                      </c:pt>
                      <c:pt idx="44">
                        <c:v>5.8759682244523548E-2</c:v>
                      </c:pt>
                      <c:pt idx="45">
                        <c:v>5.8759682244523548E-2</c:v>
                      </c:pt>
                      <c:pt idx="46">
                        <c:v>5.8759682244523548E-2</c:v>
                      </c:pt>
                      <c:pt idx="47">
                        <c:v>5.8759682244523548E-2</c:v>
                      </c:pt>
                      <c:pt idx="48">
                        <c:v>5.8759682244523548E-2</c:v>
                      </c:pt>
                      <c:pt idx="49">
                        <c:v>5.8759682244523548E-2</c:v>
                      </c:pt>
                      <c:pt idx="50">
                        <c:v>5.8759682244523548E-2</c:v>
                      </c:pt>
                      <c:pt idx="51">
                        <c:v>5.8759682244523548E-2</c:v>
                      </c:pt>
                      <c:pt idx="52">
                        <c:v>5.8759682244523548E-2</c:v>
                      </c:pt>
                      <c:pt idx="53">
                        <c:v>5.8759682244523548E-2</c:v>
                      </c:pt>
                      <c:pt idx="54">
                        <c:v>5.8759682244523548E-2</c:v>
                      </c:pt>
                      <c:pt idx="55">
                        <c:v>5.8759682244523548E-2</c:v>
                      </c:pt>
                      <c:pt idx="56">
                        <c:v>5.8759682244523548E-2</c:v>
                      </c:pt>
                      <c:pt idx="57">
                        <c:v>5.8759682244523548E-2</c:v>
                      </c:pt>
                      <c:pt idx="58">
                        <c:v>4.7049794705254611E-2</c:v>
                      </c:pt>
                      <c:pt idx="59">
                        <c:v>4.7049794705254611E-2</c:v>
                      </c:pt>
                      <c:pt idx="60">
                        <c:v>4.7049794705254611E-2</c:v>
                      </c:pt>
                      <c:pt idx="61">
                        <c:v>4.7049794705254611E-2</c:v>
                      </c:pt>
                      <c:pt idx="62">
                        <c:v>4.7049794705254611E-2</c:v>
                      </c:pt>
                      <c:pt idx="63">
                        <c:v>4.7049794705254611E-2</c:v>
                      </c:pt>
                      <c:pt idx="64">
                        <c:v>4.7049794705254611E-2</c:v>
                      </c:pt>
                      <c:pt idx="65">
                        <c:v>4.7049794705254611E-2</c:v>
                      </c:pt>
                      <c:pt idx="66">
                        <c:v>4.7049794705254611E-2</c:v>
                      </c:pt>
                      <c:pt idx="67">
                        <c:v>4.7049794705254611E-2</c:v>
                      </c:pt>
                      <c:pt idx="68">
                        <c:v>4.7049794705254611E-2</c:v>
                      </c:pt>
                      <c:pt idx="69">
                        <c:v>4.7049794705254611E-2</c:v>
                      </c:pt>
                      <c:pt idx="70">
                        <c:v>4.7049794705254611E-2</c:v>
                      </c:pt>
                      <c:pt idx="71">
                        <c:v>4.7049794705254611E-2</c:v>
                      </c:pt>
                      <c:pt idx="72">
                        <c:v>4.7049794705254611E-2</c:v>
                      </c:pt>
                      <c:pt idx="73">
                        <c:v>4.7049794705254611E-2</c:v>
                      </c:pt>
                      <c:pt idx="74">
                        <c:v>4.7049794705254611E-2</c:v>
                      </c:pt>
                      <c:pt idx="75">
                        <c:v>4.7049794705254611E-2</c:v>
                      </c:pt>
                      <c:pt idx="76">
                        <c:v>4.7049794705254611E-2</c:v>
                      </c:pt>
                      <c:pt idx="77">
                        <c:v>4.7049794705254611E-2</c:v>
                      </c:pt>
                      <c:pt idx="78">
                        <c:v>4.7049794705254611E-2</c:v>
                      </c:pt>
                      <c:pt idx="79">
                        <c:v>4.7049794705254611E-2</c:v>
                      </c:pt>
                      <c:pt idx="80">
                        <c:v>4.7049794705254611E-2</c:v>
                      </c:pt>
                      <c:pt idx="81">
                        <c:v>4.7049794705254611E-2</c:v>
                      </c:pt>
                      <c:pt idx="82">
                        <c:v>4.7049794705254611E-2</c:v>
                      </c:pt>
                      <c:pt idx="83">
                        <c:v>4.7049794705254611E-2</c:v>
                      </c:pt>
                      <c:pt idx="84">
                        <c:v>4.7049794705254611E-2</c:v>
                      </c:pt>
                      <c:pt idx="85">
                        <c:v>4.7049794705254611E-2</c:v>
                      </c:pt>
                      <c:pt idx="86">
                        <c:v>4.7049794705254611E-2</c:v>
                      </c:pt>
                      <c:pt idx="87">
                        <c:v>4.7049794705254611E-2</c:v>
                      </c:pt>
                      <c:pt idx="88">
                        <c:v>4.7049794705254611E-2</c:v>
                      </c:pt>
                      <c:pt idx="89">
                        <c:v>4.7049794705254611E-2</c:v>
                      </c:pt>
                      <c:pt idx="90">
                        <c:v>4.7049794705254611E-2</c:v>
                      </c:pt>
                      <c:pt idx="91">
                        <c:v>4.7049794705254611E-2</c:v>
                      </c:pt>
                      <c:pt idx="92">
                        <c:v>4.7049794705254611E-2</c:v>
                      </c:pt>
                      <c:pt idx="93">
                        <c:v>4.7049794705254611E-2</c:v>
                      </c:pt>
                      <c:pt idx="94">
                        <c:v>4.7049794705254611E-2</c:v>
                      </c:pt>
                      <c:pt idx="95">
                        <c:v>4.7049794705254611E-2</c:v>
                      </c:pt>
                      <c:pt idx="96">
                        <c:v>4.7049794705254611E-2</c:v>
                      </c:pt>
                      <c:pt idx="97">
                        <c:v>4.7049794705254611E-2</c:v>
                      </c:pt>
                      <c:pt idx="98">
                        <c:v>4.7049794705254611E-2</c:v>
                      </c:pt>
                      <c:pt idx="99">
                        <c:v>4.7049794705254611E-2</c:v>
                      </c:pt>
                      <c:pt idx="100">
                        <c:v>4.7049794705254611E-2</c:v>
                      </c:pt>
                      <c:pt idx="101">
                        <c:v>4.7049794705254611E-2</c:v>
                      </c:pt>
                      <c:pt idx="102">
                        <c:v>4.7049794705254611E-2</c:v>
                      </c:pt>
                      <c:pt idx="103">
                        <c:v>4.7049794705254611E-2</c:v>
                      </c:pt>
                      <c:pt idx="104">
                        <c:v>4.7049794705254611E-2</c:v>
                      </c:pt>
                      <c:pt idx="105">
                        <c:v>4.7049794705254611E-2</c:v>
                      </c:pt>
                      <c:pt idx="106">
                        <c:v>4.7049794705254611E-2</c:v>
                      </c:pt>
                      <c:pt idx="107">
                        <c:v>4.7049794705254611E-2</c:v>
                      </c:pt>
                      <c:pt idx="108">
                        <c:v>4.7049794705254611E-2</c:v>
                      </c:pt>
                      <c:pt idx="109">
                        <c:v>4.7049794705254611E-2</c:v>
                      </c:pt>
                      <c:pt idx="110">
                        <c:v>4.7049794705254611E-2</c:v>
                      </c:pt>
                      <c:pt idx="111">
                        <c:v>4.7049794705254611E-2</c:v>
                      </c:pt>
                      <c:pt idx="112">
                        <c:v>4.7049794705254611E-2</c:v>
                      </c:pt>
                      <c:pt idx="113">
                        <c:v>4.7049794705254611E-2</c:v>
                      </c:pt>
                      <c:pt idx="114">
                        <c:v>4.7049794705254611E-2</c:v>
                      </c:pt>
                      <c:pt idx="115">
                        <c:v>4.7049794705254611E-2</c:v>
                      </c:pt>
                      <c:pt idx="116">
                        <c:v>5.8676301296024969E-2</c:v>
                      </c:pt>
                      <c:pt idx="117">
                        <c:v>5.8676301296024969E-2</c:v>
                      </c:pt>
                      <c:pt idx="118">
                        <c:v>5.8676301296024969E-2</c:v>
                      </c:pt>
                      <c:pt idx="119">
                        <c:v>5.8676301296024969E-2</c:v>
                      </c:pt>
                      <c:pt idx="120">
                        <c:v>5.8676301296024969E-2</c:v>
                      </c:pt>
                      <c:pt idx="121">
                        <c:v>5.8676301296024969E-2</c:v>
                      </c:pt>
                      <c:pt idx="122">
                        <c:v>5.8676301296024969E-2</c:v>
                      </c:pt>
                      <c:pt idx="123">
                        <c:v>5.8676301296024969E-2</c:v>
                      </c:pt>
                      <c:pt idx="124">
                        <c:v>5.8676301296024969E-2</c:v>
                      </c:pt>
                      <c:pt idx="125">
                        <c:v>5.8676301296024969E-2</c:v>
                      </c:pt>
                      <c:pt idx="126">
                        <c:v>5.8676301296024969E-2</c:v>
                      </c:pt>
                      <c:pt idx="127">
                        <c:v>5.8676301296024969E-2</c:v>
                      </c:pt>
                      <c:pt idx="128">
                        <c:v>5.8676301296024969E-2</c:v>
                      </c:pt>
                      <c:pt idx="129">
                        <c:v>5.8676301296024969E-2</c:v>
                      </c:pt>
                      <c:pt idx="130">
                        <c:v>5.8676301296024969E-2</c:v>
                      </c:pt>
                      <c:pt idx="131">
                        <c:v>5.8676301296024969E-2</c:v>
                      </c:pt>
                      <c:pt idx="132">
                        <c:v>5.8676301296024969E-2</c:v>
                      </c:pt>
                      <c:pt idx="133">
                        <c:v>5.8676301296024969E-2</c:v>
                      </c:pt>
                      <c:pt idx="134">
                        <c:v>5.8676301296024969E-2</c:v>
                      </c:pt>
                      <c:pt idx="135">
                        <c:v>5.8676301296024969E-2</c:v>
                      </c:pt>
                      <c:pt idx="136">
                        <c:v>5.8676301296024969E-2</c:v>
                      </c:pt>
                      <c:pt idx="137">
                        <c:v>5.8676301296024969E-2</c:v>
                      </c:pt>
                      <c:pt idx="138">
                        <c:v>5.8676301296024969E-2</c:v>
                      </c:pt>
                      <c:pt idx="139">
                        <c:v>5.8676301296024969E-2</c:v>
                      </c:pt>
                      <c:pt idx="140">
                        <c:v>5.8676301296024969E-2</c:v>
                      </c:pt>
                      <c:pt idx="141">
                        <c:v>5.8676301296024969E-2</c:v>
                      </c:pt>
                      <c:pt idx="142">
                        <c:v>5.8676301296024969E-2</c:v>
                      </c:pt>
                      <c:pt idx="143">
                        <c:v>5.8676301296024969E-2</c:v>
                      </c:pt>
                      <c:pt idx="144">
                        <c:v>5.8676301296024969E-2</c:v>
                      </c:pt>
                      <c:pt idx="145">
                        <c:v>5.8676301296024969E-2</c:v>
                      </c:pt>
                      <c:pt idx="146">
                        <c:v>5.8676301296024969E-2</c:v>
                      </c:pt>
                      <c:pt idx="147">
                        <c:v>5.8676301296024969E-2</c:v>
                      </c:pt>
                      <c:pt idx="148">
                        <c:v>5.8676301296024969E-2</c:v>
                      </c:pt>
                      <c:pt idx="149">
                        <c:v>5.8676301296024969E-2</c:v>
                      </c:pt>
                      <c:pt idx="150">
                        <c:v>5.8676301296024969E-2</c:v>
                      </c:pt>
                      <c:pt idx="151">
                        <c:v>5.8676301296024969E-2</c:v>
                      </c:pt>
                      <c:pt idx="152">
                        <c:v>5.8676301296024969E-2</c:v>
                      </c:pt>
                      <c:pt idx="153">
                        <c:v>5.8676301296024969E-2</c:v>
                      </c:pt>
                      <c:pt idx="154">
                        <c:v>5.8676301296024969E-2</c:v>
                      </c:pt>
                      <c:pt idx="155">
                        <c:v>5.8676301296024969E-2</c:v>
                      </c:pt>
                      <c:pt idx="156">
                        <c:v>5.8676301296024969E-2</c:v>
                      </c:pt>
                      <c:pt idx="157">
                        <c:v>5.8676301296024969E-2</c:v>
                      </c:pt>
                      <c:pt idx="158">
                        <c:v>5.8676301296024969E-2</c:v>
                      </c:pt>
                      <c:pt idx="159">
                        <c:v>5.8676301296024969E-2</c:v>
                      </c:pt>
                      <c:pt idx="160">
                        <c:v>5.8676301296024969E-2</c:v>
                      </c:pt>
                      <c:pt idx="161">
                        <c:v>5.8676301296024969E-2</c:v>
                      </c:pt>
                      <c:pt idx="162">
                        <c:v>5.8676301296024969E-2</c:v>
                      </c:pt>
                      <c:pt idx="163">
                        <c:v>5.8676301296024969E-2</c:v>
                      </c:pt>
                      <c:pt idx="164">
                        <c:v>5.8676301296024969E-2</c:v>
                      </c:pt>
                      <c:pt idx="165">
                        <c:v>5.8676301296024969E-2</c:v>
                      </c:pt>
                      <c:pt idx="166">
                        <c:v>5.8676301296024969E-2</c:v>
                      </c:pt>
                      <c:pt idx="167">
                        <c:v>5.8676301296024969E-2</c:v>
                      </c:pt>
                      <c:pt idx="168">
                        <c:v>5.8676301296024969E-2</c:v>
                      </c:pt>
                      <c:pt idx="169">
                        <c:v>5.8676301296024969E-2</c:v>
                      </c:pt>
                      <c:pt idx="170">
                        <c:v>5.8676301296024969E-2</c:v>
                      </c:pt>
                      <c:pt idx="171">
                        <c:v>5.8676301296024969E-2</c:v>
                      </c:pt>
                      <c:pt idx="172">
                        <c:v>5.8676301296024969E-2</c:v>
                      </c:pt>
                      <c:pt idx="173">
                        <c:v>5.8676301296024969E-2</c:v>
                      </c:pt>
                      <c:pt idx="174">
                        <c:v>4.2908598538236253E-2</c:v>
                      </c:pt>
                      <c:pt idx="175">
                        <c:v>4.2908598538236253E-2</c:v>
                      </c:pt>
                      <c:pt idx="176">
                        <c:v>4.2908598538236253E-2</c:v>
                      </c:pt>
                      <c:pt idx="177">
                        <c:v>4.2908598538236253E-2</c:v>
                      </c:pt>
                      <c:pt idx="178">
                        <c:v>4.2908598538236253E-2</c:v>
                      </c:pt>
                      <c:pt idx="179">
                        <c:v>4.2908598538236253E-2</c:v>
                      </c:pt>
                      <c:pt idx="180">
                        <c:v>4.2908598538236253E-2</c:v>
                      </c:pt>
                      <c:pt idx="181">
                        <c:v>4.2908598538236253E-2</c:v>
                      </c:pt>
                      <c:pt idx="182">
                        <c:v>4.2908598538236253E-2</c:v>
                      </c:pt>
                      <c:pt idx="183">
                        <c:v>4.2908598538236253E-2</c:v>
                      </c:pt>
                      <c:pt idx="184">
                        <c:v>4.2908598538236253E-2</c:v>
                      </c:pt>
                      <c:pt idx="185">
                        <c:v>4.2908598538236253E-2</c:v>
                      </c:pt>
                      <c:pt idx="186">
                        <c:v>4.2908598538236253E-2</c:v>
                      </c:pt>
                      <c:pt idx="187">
                        <c:v>4.2908598538236253E-2</c:v>
                      </c:pt>
                      <c:pt idx="188">
                        <c:v>4.2908598538236253E-2</c:v>
                      </c:pt>
                      <c:pt idx="189">
                        <c:v>4.2908598538236253E-2</c:v>
                      </c:pt>
                      <c:pt idx="190">
                        <c:v>4.2908598538236253E-2</c:v>
                      </c:pt>
                      <c:pt idx="191">
                        <c:v>4.2908598538236253E-2</c:v>
                      </c:pt>
                      <c:pt idx="192">
                        <c:v>4.2908598538236253E-2</c:v>
                      </c:pt>
                      <c:pt idx="193">
                        <c:v>4.2908598538236253E-2</c:v>
                      </c:pt>
                      <c:pt idx="194">
                        <c:v>4.2908598538236253E-2</c:v>
                      </c:pt>
                      <c:pt idx="195">
                        <c:v>4.2908598538236253E-2</c:v>
                      </c:pt>
                      <c:pt idx="196">
                        <c:v>4.2908598538236253E-2</c:v>
                      </c:pt>
                      <c:pt idx="197">
                        <c:v>4.2908598538236253E-2</c:v>
                      </c:pt>
                      <c:pt idx="198">
                        <c:v>4.2908598538236253E-2</c:v>
                      </c:pt>
                      <c:pt idx="199">
                        <c:v>4.2908598538236253E-2</c:v>
                      </c:pt>
                      <c:pt idx="200">
                        <c:v>4.2908598538236253E-2</c:v>
                      </c:pt>
                      <c:pt idx="201">
                        <c:v>4.2908598538236253E-2</c:v>
                      </c:pt>
                      <c:pt idx="202">
                        <c:v>4.2908598538236253E-2</c:v>
                      </c:pt>
                      <c:pt idx="203">
                        <c:v>4.2908598538236253E-2</c:v>
                      </c:pt>
                      <c:pt idx="204">
                        <c:v>4.2908598538236253E-2</c:v>
                      </c:pt>
                      <c:pt idx="205">
                        <c:v>4.2908598538236253E-2</c:v>
                      </c:pt>
                      <c:pt idx="206">
                        <c:v>4.2908598538236253E-2</c:v>
                      </c:pt>
                      <c:pt idx="207">
                        <c:v>4.2908598538236253E-2</c:v>
                      </c:pt>
                      <c:pt idx="208">
                        <c:v>4.2908598538236253E-2</c:v>
                      </c:pt>
                      <c:pt idx="209">
                        <c:v>4.2908598538236253E-2</c:v>
                      </c:pt>
                      <c:pt idx="210">
                        <c:v>4.2908598538236253E-2</c:v>
                      </c:pt>
                      <c:pt idx="211">
                        <c:v>4.2908598538236253E-2</c:v>
                      </c:pt>
                      <c:pt idx="212">
                        <c:v>4.2908598538236253E-2</c:v>
                      </c:pt>
                      <c:pt idx="213">
                        <c:v>4.2908598538236253E-2</c:v>
                      </c:pt>
                      <c:pt idx="214">
                        <c:v>4.2908598538236253E-2</c:v>
                      </c:pt>
                      <c:pt idx="215">
                        <c:v>4.2908598538236253E-2</c:v>
                      </c:pt>
                      <c:pt idx="216">
                        <c:v>4.2908598538236253E-2</c:v>
                      </c:pt>
                      <c:pt idx="217">
                        <c:v>4.2908598538236253E-2</c:v>
                      </c:pt>
                      <c:pt idx="218">
                        <c:v>4.2908598538236253E-2</c:v>
                      </c:pt>
                      <c:pt idx="219">
                        <c:v>4.2908598538236253E-2</c:v>
                      </c:pt>
                      <c:pt idx="220">
                        <c:v>4.2908598538236253E-2</c:v>
                      </c:pt>
                      <c:pt idx="221">
                        <c:v>4.2908598538236253E-2</c:v>
                      </c:pt>
                      <c:pt idx="222">
                        <c:v>4.2908598538236253E-2</c:v>
                      </c:pt>
                      <c:pt idx="223">
                        <c:v>4.2908598538236253E-2</c:v>
                      </c:pt>
                      <c:pt idx="224">
                        <c:v>4.2908598538236253E-2</c:v>
                      </c:pt>
                      <c:pt idx="225">
                        <c:v>4.2908598538236253E-2</c:v>
                      </c:pt>
                      <c:pt idx="226">
                        <c:v>4.2908598538236253E-2</c:v>
                      </c:pt>
                      <c:pt idx="227">
                        <c:v>4.2908598538236253E-2</c:v>
                      </c:pt>
                      <c:pt idx="228">
                        <c:v>4.2908598538236253E-2</c:v>
                      </c:pt>
                      <c:pt idx="229">
                        <c:v>4.2908598538236253E-2</c:v>
                      </c:pt>
                      <c:pt idx="230">
                        <c:v>4.2908598538236253E-2</c:v>
                      </c:pt>
                      <c:pt idx="231">
                        <c:v>4.2908598538236253E-2</c:v>
                      </c:pt>
                      <c:pt idx="232">
                        <c:v>4.7805213770522714E-2</c:v>
                      </c:pt>
                      <c:pt idx="233">
                        <c:v>4.7805213770522714E-2</c:v>
                      </c:pt>
                      <c:pt idx="234">
                        <c:v>4.7805213770522714E-2</c:v>
                      </c:pt>
                      <c:pt idx="235">
                        <c:v>4.7805213770522714E-2</c:v>
                      </c:pt>
                      <c:pt idx="236">
                        <c:v>4.7805213770522714E-2</c:v>
                      </c:pt>
                      <c:pt idx="237">
                        <c:v>4.7805213770522714E-2</c:v>
                      </c:pt>
                      <c:pt idx="238">
                        <c:v>4.7805213770522714E-2</c:v>
                      </c:pt>
                      <c:pt idx="239">
                        <c:v>4.7805213770522714E-2</c:v>
                      </c:pt>
                      <c:pt idx="240">
                        <c:v>4.7805213770522714E-2</c:v>
                      </c:pt>
                      <c:pt idx="241">
                        <c:v>4.7805213770522714E-2</c:v>
                      </c:pt>
                      <c:pt idx="242">
                        <c:v>4.7805213770522714E-2</c:v>
                      </c:pt>
                      <c:pt idx="243">
                        <c:v>4.7805213770522714E-2</c:v>
                      </c:pt>
                      <c:pt idx="244">
                        <c:v>4.7805213770522714E-2</c:v>
                      </c:pt>
                      <c:pt idx="245">
                        <c:v>4.7805213770522714E-2</c:v>
                      </c:pt>
                      <c:pt idx="246">
                        <c:v>4.7805213770522714E-2</c:v>
                      </c:pt>
                      <c:pt idx="247">
                        <c:v>4.7805213770522714E-2</c:v>
                      </c:pt>
                      <c:pt idx="248">
                        <c:v>4.7805213770522714E-2</c:v>
                      </c:pt>
                      <c:pt idx="249">
                        <c:v>4.7805213770522714E-2</c:v>
                      </c:pt>
                      <c:pt idx="250">
                        <c:v>4.7805213770522714E-2</c:v>
                      </c:pt>
                      <c:pt idx="251">
                        <c:v>4.7805213770522714E-2</c:v>
                      </c:pt>
                      <c:pt idx="252">
                        <c:v>4.7805213770522714E-2</c:v>
                      </c:pt>
                      <c:pt idx="253">
                        <c:v>4.7805213770522714E-2</c:v>
                      </c:pt>
                      <c:pt idx="254">
                        <c:v>4.7805213770522714E-2</c:v>
                      </c:pt>
                      <c:pt idx="255">
                        <c:v>4.7805213770522714E-2</c:v>
                      </c:pt>
                      <c:pt idx="256">
                        <c:v>4.7805213770522714E-2</c:v>
                      </c:pt>
                      <c:pt idx="257">
                        <c:v>4.7805213770522714E-2</c:v>
                      </c:pt>
                      <c:pt idx="258">
                        <c:v>4.7805213770522714E-2</c:v>
                      </c:pt>
                      <c:pt idx="259">
                        <c:v>4.7805213770522714E-2</c:v>
                      </c:pt>
                      <c:pt idx="260">
                        <c:v>4.7805213770522714E-2</c:v>
                      </c:pt>
                      <c:pt idx="261">
                        <c:v>4.7805213770522714E-2</c:v>
                      </c:pt>
                      <c:pt idx="262">
                        <c:v>4.7805213770522714E-2</c:v>
                      </c:pt>
                      <c:pt idx="263">
                        <c:v>4.7805213770522714E-2</c:v>
                      </c:pt>
                      <c:pt idx="264">
                        <c:v>4.7805213770522714E-2</c:v>
                      </c:pt>
                      <c:pt idx="265">
                        <c:v>4.7805213770522714E-2</c:v>
                      </c:pt>
                      <c:pt idx="266">
                        <c:v>4.7805213770522714E-2</c:v>
                      </c:pt>
                      <c:pt idx="267">
                        <c:v>4.7805213770522714E-2</c:v>
                      </c:pt>
                      <c:pt idx="268">
                        <c:v>4.7805213770522714E-2</c:v>
                      </c:pt>
                      <c:pt idx="269">
                        <c:v>4.7805213770522714E-2</c:v>
                      </c:pt>
                      <c:pt idx="270">
                        <c:v>4.7805213770522714E-2</c:v>
                      </c:pt>
                      <c:pt idx="271">
                        <c:v>4.7805213770522714E-2</c:v>
                      </c:pt>
                      <c:pt idx="272">
                        <c:v>4.7805213770522714E-2</c:v>
                      </c:pt>
                      <c:pt idx="273">
                        <c:v>4.7805213770522714E-2</c:v>
                      </c:pt>
                      <c:pt idx="274">
                        <c:v>4.7805213770522714E-2</c:v>
                      </c:pt>
                      <c:pt idx="275">
                        <c:v>4.7805213770522714E-2</c:v>
                      </c:pt>
                      <c:pt idx="276">
                        <c:v>4.7805213770522714E-2</c:v>
                      </c:pt>
                      <c:pt idx="277">
                        <c:v>4.7805213770522714E-2</c:v>
                      </c:pt>
                      <c:pt idx="278">
                        <c:v>4.7805213770522714E-2</c:v>
                      </c:pt>
                      <c:pt idx="279">
                        <c:v>4.7805213770522714E-2</c:v>
                      </c:pt>
                      <c:pt idx="280">
                        <c:v>4.7805213770522714E-2</c:v>
                      </c:pt>
                      <c:pt idx="281">
                        <c:v>4.7805213770522714E-2</c:v>
                      </c:pt>
                      <c:pt idx="282">
                        <c:v>4.7805213770522714E-2</c:v>
                      </c:pt>
                      <c:pt idx="283">
                        <c:v>4.7805213770522714E-2</c:v>
                      </c:pt>
                      <c:pt idx="284">
                        <c:v>4.7805213770522714E-2</c:v>
                      </c:pt>
                      <c:pt idx="285">
                        <c:v>4.7805213770522714E-2</c:v>
                      </c:pt>
                      <c:pt idx="286">
                        <c:v>4.7805213770522714E-2</c:v>
                      </c:pt>
                      <c:pt idx="287">
                        <c:v>4.7805213770522714E-2</c:v>
                      </c:pt>
                      <c:pt idx="288">
                        <c:v>4.7805213770522714E-2</c:v>
                      </c:pt>
                      <c:pt idx="289">
                        <c:v>4.7805213770522714E-2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D5C6-4E19-973B-91C5491E876C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(2)'!$AA$1</c15:sqref>
                        </c15:formulaRef>
                      </c:ext>
                    </c:extLst>
                    <c:strCache>
                      <c:ptCount val="1"/>
                      <c:pt idx="0">
                        <c:v>Lãi suất thực công thức rút gọn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'Sheet1 (2)'!$A$2:$A$311</c15:sqref>
                        </c15:formulaRef>
                      </c:ext>
                    </c:extLst>
                    <c:strCache>
                      <c:ptCount val="290"/>
                      <c:pt idx="0">
                        <c:v>AAM</c:v>
                      </c:pt>
                      <c:pt idx="1">
                        <c:v>AAT</c:v>
                      </c:pt>
                      <c:pt idx="2">
                        <c:v>ABS</c:v>
                      </c:pt>
                      <c:pt idx="3">
                        <c:v>ABT</c:v>
                      </c:pt>
                      <c:pt idx="4">
                        <c:v>ACL</c:v>
                      </c:pt>
                      <c:pt idx="5">
                        <c:v>ADS</c:v>
                      </c:pt>
                      <c:pt idx="6">
                        <c:v>ANV</c:v>
                      </c:pt>
                      <c:pt idx="7">
                        <c:v>ASM</c:v>
                      </c:pt>
                      <c:pt idx="8">
                        <c:v>BAF</c:v>
                      </c:pt>
                      <c:pt idx="9">
                        <c:v>BBC</c:v>
                      </c:pt>
                      <c:pt idx="10">
                        <c:v>BHN</c:v>
                      </c:pt>
                      <c:pt idx="11">
                        <c:v>BKG</c:v>
                      </c:pt>
                      <c:pt idx="12">
                        <c:v>CLC</c:v>
                      </c:pt>
                      <c:pt idx="13">
                        <c:v>CMX</c:v>
                      </c:pt>
                      <c:pt idx="14">
                        <c:v>CSM</c:v>
                      </c:pt>
                      <c:pt idx="15">
                        <c:v>CTF</c:v>
                      </c:pt>
                      <c:pt idx="16">
                        <c:v>DAT</c:v>
                      </c:pt>
                      <c:pt idx="17">
                        <c:v>DBC</c:v>
                      </c:pt>
                      <c:pt idx="18">
                        <c:v>DQC</c:v>
                      </c:pt>
                      <c:pt idx="19">
                        <c:v>DRC</c:v>
                      </c:pt>
                      <c:pt idx="20">
                        <c:v>EVE</c:v>
                      </c:pt>
                      <c:pt idx="21">
                        <c:v>FMC</c:v>
                      </c:pt>
                      <c:pt idx="22">
                        <c:v>GDT</c:v>
                      </c:pt>
                      <c:pt idx="23">
                        <c:v>GIL</c:v>
                      </c:pt>
                      <c:pt idx="24">
                        <c:v>GMC</c:v>
                      </c:pt>
                      <c:pt idx="25">
                        <c:v>HAG</c:v>
                      </c:pt>
                      <c:pt idx="26">
                        <c:v>HAX</c:v>
                      </c:pt>
                      <c:pt idx="27">
                        <c:v>HHS</c:v>
                      </c:pt>
                      <c:pt idx="28">
                        <c:v>HSL</c:v>
                      </c:pt>
                      <c:pt idx="29">
                        <c:v>HTG</c:v>
                      </c:pt>
                      <c:pt idx="30">
                        <c:v>HTL</c:v>
                      </c:pt>
                      <c:pt idx="31">
                        <c:v>IDI</c:v>
                      </c:pt>
                      <c:pt idx="32">
                        <c:v>KDC</c:v>
                      </c:pt>
                      <c:pt idx="33">
                        <c:v>KMR</c:v>
                      </c:pt>
                      <c:pt idx="34">
                        <c:v>LAF</c:v>
                      </c:pt>
                      <c:pt idx="35">
                        <c:v>LIX</c:v>
                      </c:pt>
                      <c:pt idx="36">
                        <c:v>LSS</c:v>
                      </c:pt>
                      <c:pt idx="37">
                        <c:v>MCM</c:v>
                      </c:pt>
                      <c:pt idx="38">
                        <c:v>MSN</c:v>
                      </c:pt>
                      <c:pt idx="39">
                        <c:v>NAF</c:v>
                      </c:pt>
                      <c:pt idx="40">
                        <c:v>NHT</c:v>
                      </c:pt>
                      <c:pt idx="41">
                        <c:v>NSC</c:v>
                      </c:pt>
                      <c:pt idx="42">
                        <c:v>PAN</c:v>
                      </c:pt>
                      <c:pt idx="43">
                        <c:v>PNJ</c:v>
                      </c:pt>
                      <c:pt idx="44">
                        <c:v>RAL</c:v>
                      </c:pt>
                      <c:pt idx="45">
                        <c:v>SAB</c:v>
                      </c:pt>
                      <c:pt idx="46">
                        <c:v>SBT</c:v>
                      </c:pt>
                      <c:pt idx="47">
                        <c:v>SMB</c:v>
                      </c:pt>
                      <c:pt idx="48">
                        <c:v>SRC</c:v>
                      </c:pt>
                      <c:pt idx="49">
                        <c:v>SSC</c:v>
                      </c:pt>
                      <c:pt idx="50">
                        <c:v>STK</c:v>
                      </c:pt>
                      <c:pt idx="51">
                        <c:v>SVC</c:v>
                      </c:pt>
                      <c:pt idx="52">
                        <c:v>TCM</c:v>
                      </c:pt>
                      <c:pt idx="53">
                        <c:v>TLG</c:v>
                      </c:pt>
                      <c:pt idx="54">
                        <c:v>TMT</c:v>
                      </c:pt>
                      <c:pt idx="55">
                        <c:v>TVT</c:v>
                      </c:pt>
                      <c:pt idx="56">
                        <c:v>VHC</c:v>
                      </c:pt>
                      <c:pt idx="57">
                        <c:v>VNM</c:v>
                      </c:pt>
                      <c:pt idx="58">
                        <c:v>AAM</c:v>
                      </c:pt>
                      <c:pt idx="59">
                        <c:v>AAT</c:v>
                      </c:pt>
                      <c:pt idx="60">
                        <c:v>ABS</c:v>
                      </c:pt>
                      <c:pt idx="61">
                        <c:v>ABT</c:v>
                      </c:pt>
                      <c:pt idx="62">
                        <c:v>ACL</c:v>
                      </c:pt>
                      <c:pt idx="63">
                        <c:v>ADS</c:v>
                      </c:pt>
                      <c:pt idx="64">
                        <c:v>ANV</c:v>
                      </c:pt>
                      <c:pt idx="65">
                        <c:v>ASM</c:v>
                      </c:pt>
                      <c:pt idx="66">
                        <c:v>BAF</c:v>
                      </c:pt>
                      <c:pt idx="67">
                        <c:v>BBC</c:v>
                      </c:pt>
                      <c:pt idx="68">
                        <c:v>BHN</c:v>
                      </c:pt>
                      <c:pt idx="69">
                        <c:v>BKG</c:v>
                      </c:pt>
                      <c:pt idx="70">
                        <c:v>CLC</c:v>
                      </c:pt>
                      <c:pt idx="71">
                        <c:v>CMX</c:v>
                      </c:pt>
                      <c:pt idx="72">
                        <c:v>CSM</c:v>
                      </c:pt>
                      <c:pt idx="73">
                        <c:v>CTF</c:v>
                      </c:pt>
                      <c:pt idx="74">
                        <c:v>DAT</c:v>
                      </c:pt>
                      <c:pt idx="75">
                        <c:v>DBC</c:v>
                      </c:pt>
                      <c:pt idx="76">
                        <c:v>DQC</c:v>
                      </c:pt>
                      <c:pt idx="77">
                        <c:v>DRC</c:v>
                      </c:pt>
                      <c:pt idx="78">
                        <c:v>EVE</c:v>
                      </c:pt>
                      <c:pt idx="79">
                        <c:v>FMC</c:v>
                      </c:pt>
                      <c:pt idx="80">
                        <c:v>GDT</c:v>
                      </c:pt>
                      <c:pt idx="81">
                        <c:v>GIL</c:v>
                      </c:pt>
                      <c:pt idx="82">
                        <c:v>GMC</c:v>
                      </c:pt>
                      <c:pt idx="83">
                        <c:v>HAG</c:v>
                      </c:pt>
                      <c:pt idx="84">
                        <c:v>HAX</c:v>
                      </c:pt>
                      <c:pt idx="85">
                        <c:v>HHS</c:v>
                      </c:pt>
                      <c:pt idx="86">
                        <c:v>HSL</c:v>
                      </c:pt>
                      <c:pt idx="87">
                        <c:v>HTG</c:v>
                      </c:pt>
                      <c:pt idx="88">
                        <c:v>HTL</c:v>
                      </c:pt>
                      <c:pt idx="89">
                        <c:v>IDI</c:v>
                      </c:pt>
                      <c:pt idx="90">
                        <c:v>KDC</c:v>
                      </c:pt>
                      <c:pt idx="91">
                        <c:v>KMR</c:v>
                      </c:pt>
                      <c:pt idx="92">
                        <c:v>LAF</c:v>
                      </c:pt>
                      <c:pt idx="93">
                        <c:v>LIX</c:v>
                      </c:pt>
                      <c:pt idx="94">
                        <c:v>LSS</c:v>
                      </c:pt>
                      <c:pt idx="95">
                        <c:v>MCM</c:v>
                      </c:pt>
                      <c:pt idx="96">
                        <c:v>MSN</c:v>
                      </c:pt>
                      <c:pt idx="97">
                        <c:v>NAF</c:v>
                      </c:pt>
                      <c:pt idx="98">
                        <c:v>NHT</c:v>
                      </c:pt>
                      <c:pt idx="99">
                        <c:v>NSC</c:v>
                      </c:pt>
                      <c:pt idx="100">
                        <c:v>PAN</c:v>
                      </c:pt>
                      <c:pt idx="101">
                        <c:v>PNJ</c:v>
                      </c:pt>
                      <c:pt idx="102">
                        <c:v>RAL</c:v>
                      </c:pt>
                      <c:pt idx="103">
                        <c:v>SAB</c:v>
                      </c:pt>
                      <c:pt idx="104">
                        <c:v>SBT</c:v>
                      </c:pt>
                      <c:pt idx="105">
                        <c:v>SMB</c:v>
                      </c:pt>
                      <c:pt idx="106">
                        <c:v>SRC</c:v>
                      </c:pt>
                      <c:pt idx="107">
                        <c:v>SSC</c:v>
                      </c:pt>
                      <c:pt idx="108">
                        <c:v>STK</c:v>
                      </c:pt>
                      <c:pt idx="109">
                        <c:v>SVC</c:v>
                      </c:pt>
                      <c:pt idx="110">
                        <c:v>TCM</c:v>
                      </c:pt>
                      <c:pt idx="111">
                        <c:v>TLG</c:v>
                      </c:pt>
                      <c:pt idx="112">
                        <c:v>TMT</c:v>
                      </c:pt>
                      <c:pt idx="113">
                        <c:v>TVT</c:v>
                      </c:pt>
                      <c:pt idx="114">
                        <c:v>VHC</c:v>
                      </c:pt>
                      <c:pt idx="115">
                        <c:v>VNM</c:v>
                      </c:pt>
                      <c:pt idx="116">
                        <c:v>AAM</c:v>
                      </c:pt>
                      <c:pt idx="117">
                        <c:v>AAT</c:v>
                      </c:pt>
                      <c:pt idx="118">
                        <c:v>ABS</c:v>
                      </c:pt>
                      <c:pt idx="119">
                        <c:v>ABT</c:v>
                      </c:pt>
                      <c:pt idx="120">
                        <c:v>ACL</c:v>
                      </c:pt>
                      <c:pt idx="121">
                        <c:v>ADS</c:v>
                      </c:pt>
                      <c:pt idx="122">
                        <c:v>ANV</c:v>
                      </c:pt>
                      <c:pt idx="123">
                        <c:v>ASM</c:v>
                      </c:pt>
                      <c:pt idx="124">
                        <c:v>BAF</c:v>
                      </c:pt>
                      <c:pt idx="125">
                        <c:v>BBC</c:v>
                      </c:pt>
                      <c:pt idx="126">
                        <c:v>BHN</c:v>
                      </c:pt>
                      <c:pt idx="127">
                        <c:v>BKG</c:v>
                      </c:pt>
                      <c:pt idx="128">
                        <c:v>CLC</c:v>
                      </c:pt>
                      <c:pt idx="129">
                        <c:v>CMX</c:v>
                      </c:pt>
                      <c:pt idx="130">
                        <c:v>CSM</c:v>
                      </c:pt>
                      <c:pt idx="131">
                        <c:v>CTF</c:v>
                      </c:pt>
                      <c:pt idx="132">
                        <c:v>DAT</c:v>
                      </c:pt>
                      <c:pt idx="133">
                        <c:v>DBC</c:v>
                      </c:pt>
                      <c:pt idx="134">
                        <c:v>DQC</c:v>
                      </c:pt>
                      <c:pt idx="135">
                        <c:v>DRC</c:v>
                      </c:pt>
                      <c:pt idx="136">
                        <c:v>EVE</c:v>
                      </c:pt>
                      <c:pt idx="137">
                        <c:v>FMC</c:v>
                      </c:pt>
                      <c:pt idx="138">
                        <c:v>GDT</c:v>
                      </c:pt>
                      <c:pt idx="139">
                        <c:v>GIL</c:v>
                      </c:pt>
                      <c:pt idx="140">
                        <c:v>GMC</c:v>
                      </c:pt>
                      <c:pt idx="141">
                        <c:v>HAG</c:v>
                      </c:pt>
                      <c:pt idx="142">
                        <c:v>HAX</c:v>
                      </c:pt>
                      <c:pt idx="143">
                        <c:v>HHS</c:v>
                      </c:pt>
                      <c:pt idx="144">
                        <c:v>HSL</c:v>
                      </c:pt>
                      <c:pt idx="145">
                        <c:v>HTG</c:v>
                      </c:pt>
                      <c:pt idx="146">
                        <c:v>HTL</c:v>
                      </c:pt>
                      <c:pt idx="147">
                        <c:v>IDI</c:v>
                      </c:pt>
                      <c:pt idx="148">
                        <c:v>KDC</c:v>
                      </c:pt>
                      <c:pt idx="149">
                        <c:v>KMR</c:v>
                      </c:pt>
                      <c:pt idx="150">
                        <c:v>LAF</c:v>
                      </c:pt>
                      <c:pt idx="151">
                        <c:v>LIX</c:v>
                      </c:pt>
                      <c:pt idx="152">
                        <c:v>LSS</c:v>
                      </c:pt>
                      <c:pt idx="153">
                        <c:v>MCM</c:v>
                      </c:pt>
                      <c:pt idx="154">
                        <c:v>MSN</c:v>
                      </c:pt>
                      <c:pt idx="155">
                        <c:v>NAF</c:v>
                      </c:pt>
                      <c:pt idx="156">
                        <c:v>NHT</c:v>
                      </c:pt>
                      <c:pt idx="157">
                        <c:v>NSC</c:v>
                      </c:pt>
                      <c:pt idx="158">
                        <c:v>PAN</c:v>
                      </c:pt>
                      <c:pt idx="159">
                        <c:v>PNJ</c:v>
                      </c:pt>
                      <c:pt idx="160">
                        <c:v>RAL</c:v>
                      </c:pt>
                      <c:pt idx="161">
                        <c:v>SAB</c:v>
                      </c:pt>
                      <c:pt idx="162">
                        <c:v>SBT</c:v>
                      </c:pt>
                      <c:pt idx="163">
                        <c:v>SMB</c:v>
                      </c:pt>
                      <c:pt idx="164">
                        <c:v>SRC</c:v>
                      </c:pt>
                      <c:pt idx="165">
                        <c:v>SSC</c:v>
                      </c:pt>
                      <c:pt idx="166">
                        <c:v>STK</c:v>
                      </c:pt>
                      <c:pt idx="167">
                        <c:v>SVC</c:v>
                      </c:pt>
                      <c:pt idx="168">
                        <c:v>TCM</c:v>
                      </c:pt>
                      <c:pt idx="169">
                        <c:v>TLG</c:v>
                      </c:pt>
                      <c:pt idx="170">
                        <c:v>TMT</c:v>
                      </c:pt>
                      <c:pt idx="171">
                        <c:v>TVT</c:v>
                      </c:pt>
                      <c:pt idx="172">
                        <c:v>VHC</c:v>
                      </c:pt>
                      <c:pt idx="173">
                        <c:v>VNM</c:v>
                      </c:pt>
                      <c:pt idx="174">
                        <c:v>AAM</c:v>
                      </c:pt>
                      <c:pt idx="175">
                        <c:v>AAT</c:v>
                      </c:pt>
                      <c:pt idx="176">
                        <c:v>ABS</c:v>
                      </c:pt>
                      <c:pt idx="177">
                        <c:v>ABT</c:v>
                      </c:pt>
                      <c:pt idx="178">
                        <c:v>ACL</c:v>
                      </c:pt>
                      <c:pt idx="179">
                        <c:v>ADS</c:v>
                      </c:pt>
                      <c:pt idx="180">
                        <c:v>ANV</c:v>
                      </c:pt>
                      <c:pt idx="181">
                        <c:v>ASM</c:v>
                      </c:pt>
                      <c:pt idx="182">
                        <c:v>BAF</c:v>
                      </c:pt>
                      <c:pt idx="183">
                        <c:v>BBC</c:v>
                      </c:pt>
                      <c:pt idx="184">
                        <c:v>BHN</c:v>
                      </c:pt>
                      <c:pt idx="185">
                        <c:v>BKG</c:v>
                      </c:pt>
                      <c:pt idx="186">
                        <c:v>CLC</c:v>
                      </c:pt>
                      <c:pt idx="187">
                        <c:v>CMX</c:v>
                      </c:pt>
                      <c:pt idx="188">
                        <c:v>CSM</c:v>
                      </c:pt>
                      <c:pt idx="189">
                        <c:v>CTF</c:v>
                      </c:pt>
                      <c:pt idx="190">
                        <c:v>DAT</c:v>
                      </c:pt>
                      <c:pt idx="191">
                        <c:v>DBC</c:v>
                      </c:pt>
                      <c:pt idx="192">
                        <c:v>DQC</c:v>
                      </c:pt>
                      <c:pt idx="193">
                        <c:v>DRC</c:v>
                      </c:pt>
                      <c:pt idx="194">
                        <c:v>EVE</c:v>
                      </c:pt>
                      <c:pt idx="195">
                        <c:v>FMC</c:v>
                      </c:pt>
                      <c:pt idx="196">
                        <c:v>GDT</c:v>
                      </c:pt>
                      <c:pt idx="197">
                        <c:v>GIL</c:v>
                      </c:pt>
                      <c:pt idx="198">
                        <c:v>GMC</c:v>
                      </c:pt>
                      <c:pt idx="199">
                        <c:v>HAG</c:v>
                      </c:pt>
                      <c:pt idx="200">
                        <c:v>HAX</c:v>
                      </c:pt>
                      <c:pt idx="201">
                        <c:v>HHS</c:v>
                      </c:pt>
                      <c:pt idx="202">
                        <c:v>HSL</c:v>
                      </c:pt>
                      <c:pt idx="203">
                        <c:v>HTG</c:v>
                      </c:pt>
                      <c:pt idx="204">
                        <c:v>HTL</c:v>
                      </c:pt>
                      <c:pt idx="205">
                        <c:v>IDI</c:v>
                      </c:pt>
                      <c:pt idx="206">
                        <c:v>KDC</c:v>
                      </c:pt>
                      <c:pt idx="207">
                        <c:v>KMR</c:v>
                      </c:pt>
                      <c:pt idx="208">
                        <c:v>LAF</c:v>
                      </c:pt>
                      <c:pt idx="209">
                        <c:v>LIX</c:v>
                      </c:pt>
                      <c:pt idx="210">
                        <c:v>LSS</c:v>
                      </c:pt>
                      <c:pt idx="211">
                        <c:v>MCM</c:v>
                      </c:pt>
                      <c:pt idx="212">
                        <c:v>MSN</c:v>
                      </c:pt>
                      <c:pt idx="213">
                        <c:v>NAF</c:v>
                      </c:pt>
                      <c:pt idx="214">
                        <c:v>NHT</c:v>
                      </c:pt>
                      <c:pt idx="215">
                        <c:v>NSC</c:v>
                      </c:pt>
                      <c:pt idx="216">
                        <c:v>PAN</c:v>
                      </c:pt>
                      <c:pt idx="217">
                        <c:v>PNJ</c:v>
                      </c:pt>
                      <c:pt idx="218">
                        <c:v>RAL</c:v>
                      </c:pt>
                      <c:pt idx="219">
                        <c:v>SAB</c:v>
                      </c:pt>
                      <c:pt idx="220">
                        <c:v>SBT</c:v>
                      </c:pt>
                      <c:pt idx="221">
                        <c:v>SMB</c:v>
                      </c:pt>
                      <c:pt idx="222">
                        <c:v>SRC</c:v>
                      </c:pt>
                      <c:pt idx="223">
                        <c:v>SSC</c:v>
                      </c:pt>
                      <c:pt idx="224">
                        <c:v>STK</c:v>
                      </c:pt>
                      <c:pt idx="225">
                        <c:v>SVC</c:v>
                      </c:pt>
                      <c:pt idx="226">
                        <c:v>TCM</c:v>
                      </c:pt>
                      <c:pt idx="227">
                        <c:v>TLG</c:v>
                      </c:pt>
                      <c:pt idx="228">
                        <c:v>TMT</c:v>
                      </c:pt>
                      <c:pt idx="229">
                        <c:v>TVT</c:v>
                      </c:pt>
                      <c:pt idx="230">
                        <c:v>VHC</c:v>
                      </c:pt>
                      <c:pt idx="231">
                        <c:v>VNM</c:v>
                      </c:pt>
                      <c:pt idx="232">
                        <c:v>AAM</c:v>
                      </c:pt>
                      <c:pt idx="233">
                        <c:v>AAT</c:v>
                      </c:pt>
                      <c:pt idx="234">
                        <c:v>ABS</c:v>
                      </c:pt>
                      <c:pt idx="235">
                        <c:v>ABT</c:v>
                      </c:pt>
                      <c:pt idx="236">
                        <c:v>ACL</c:v>
                      </c:pt>
                      <c:pt idx="237">
                        <c:v>ADS</c:v>
                      </c:pt>
                      <c:pt idx="238">
                        <c:v>ANV</c:v>
                      </c:pt>
                      <c:pt idx="239">
                        <c:v>ASM</c:v>
                      </c:pt>
                      <c:pt idx="240">
                        <c:v>BAF</c:v>
                      </c:pt>
                      <c:pt idx="241">
                        <c:v>BBC</c:v>
                      </c:pt>
                      <c:pt idx="242">
                        <c:v>BHN</c:v>
                      </c:pt>
                      <c:pt idx="243">
                        <c:v>BKG</c:v>
                      </c:pt>
                      <c:pt idx="244">
                        <c:v>CLC</c:v>
                      </c:pt>
                      <c:pt idx="245">
                        <c:v>CMX</c:v>
                      </c:pt>
                      <c:pt idx="246">
                        <c:v>CSM</c:v>
                      </c:pt>
                      <c:pt idx="247">
                        <c:v>CTF</c:v>
                      </c:pt>
                      <c:pt idx="248">
                        <c:v>DAT</c:v>
                      </c:pt>
                      <c:pt idx="249">
                        <c:v>DBC</c:v>
                      </c:pt>
                      <c:pt idx="250">
                        <c:v>DQC</c:v>
                      </c:pt>
                      <c:pt idx="251">
                        <c:v>DRC</c:v>
                      </c:pt>
                      <c:pt idx="252">
                        <c:v>EVE</c:v>
                      </c:pt>
                      <c:pt idx="253">
                        <c:v>FMC</c:v>
                      </c:pt>
                      <c:pt idx="254">
                        <c:v>GDT</c:v>
                      </c:pt>
                      <c:pt idx="255">
                        <c:v>GIL</c:v>
                      </c:pt>
                      <c:pt idx="256">
                        <c:v>GMC</c:v>
                      </c:pt>
                      <c:pt idx="257">
                        <c:v>HAG</c:v>
                      </c:pt>
                      <c:pt idx="258">
                        <c:v>HAX</c:v>
                      </c:pt>
                      <c:pt idx="259">
                        <c:v>HHS</c:v>
                      </c:pt>
                      <c:pt idx="260">
                        <c:v>HSL</c:v>
                      </c:pt>
                      <c:pt idx="261">
                        <c:v>HTG</c:v>
                      </c:pt>
                      <c:pt idx="262">
                        <c:v>HTL</c:v>
                      </c:pt>
                      <c:pt idx="263">
                        <c:v>IDI</c:v>
                      </c:pt>
                      <c:pt idx="264">
                        <c:v>KDC</c:v>
                      </c:pt>
                      <c:pt idx="265">
                        <c:v>KMR</c:v>
                      </c:pt>
                      <c:pt idx="266">
                        <c:v>LAF</c:v>
                      </c:pt>
                      <c:pt idx="267">
                        <c:v>LIX</c:v>
                      </c:pt>
                      <c:pt idx="268">
                        <c:v>LSS</c:v>
                      </c:pt>
                      <c:pt idx="269">
                        <c:v>MCM</c:v>
                      </c:pt>
                      <c:pt idx="270">
                        <c:v>MSN</c:v>
                      </c:pt>
                      <c:pt idx="271">
                        <c:v>NAF</c:v>
                      </c:pt>
                      <c:pt idx="272">
                        <c:v>NHT</c:v>
                      </c:pt>
                      <c:pt idx="273">
                        <c:v>NSC</c:v>
                      </c:pt>
                      <c:pt idx="274">
                        <c:v>PAN</c:v>
                      </c:pt>
                      <c:pt idx="275">
                        <c:v>PNJ</c:v>
                      </c:pt>
                      <c:pt idx="276">
                        <c:v>RAL</c:v>
                      </c:pt>
                      <c:pt idx="277">
                        <c:v>SAB</c:v>
                      </c:pt>
                      <c:pt idx="278">
                        <c:v>SBT</c:v>
                      </c:pt>
                      <c:pt idx="279">
                        <c:v>SMB</c:v>
                      </c:pt>
                      <c:pt idx="280">
                        <c:v>SRC</c:v>
                      </c:pt>
                      <c:pt idx="281">
                        <c:v>SSC</c:v>
                      </c:pt>
                      <c:pt idx="282">
                        <c:v>STK</c:v>
                      </c:pt>
                      <c:pt idx="283">
                        <c:v>SVC</c:v>
                      </c:pt>
                      <c:pt idx="284">
                        <c:v>TCM</c:v>
                      </c:pt>
                      <c:pt idx="285">
                        <c:v>TLG</c:v>
                      </c:pt>
                      <c:pt idx="286">
                        <c:v>TMT</c:v>
                      </c:pt>
                      <c:pt idx="287">
                        <c:v>TVT</c:v>
                      </c:pt>
                      <c:pt idx="288">
                        <c:v>VHC</c:v>
                      </c:pt>
                      <c:pt idx="289">
                        <c:v>VNM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'Sheet1 (2)'!$AA$2:$AA$311</c15:sqref>
                        </c15:formulaRef>
                      </c:ext>
                    </c:extLst>
                    <c:numCache>
                      <c:formatCode>0.00%</c:formatCode>
                      <c:ptCount val="290"/>
                      <c:pt idx="0">
                        <c:v>6.06710717332338E-2</c:v>
                      </c:pt>
                      <c:pt idx="1">
                        <c:v>6.06710717332338E-2</c:v>
                      </c:pt>
                      <c:pt idx="2">
                        <c:v>6.06710717332338E-2</c:v>
                      </c:pt>
                      <c:pt idx="3">
                        <c:v>6.06710717332338E-2</c:v>
                      </c:pt>
                      <c:pt idx="4">
                        <c:v>6.06710717332338E-2</c:v>
                      </c:pt>
                      <c:pt idx="5">
                        <c:v>6.06710717332338E-2</c:v>
                      </c:pt>
                      <c:pt idx="6">
                        <c:v>6.06710717332338E-2</c:v>
                      </c:pt>
                      <c:pt idx="7">
                        <c:v>6.06710717332338E-2</c:v>
                      </c:pt>
                      <c:pt idx="8">
                        <c:v>6.06710717332338E-2</c:v>
                      </c:pt>
                      <c:pt idx="9">
                        <c:v>6.06710717332338E-2</c:v>
                      </c:pt>
                      <c:pt idx="10">
                        <c:v>6.06710717332338E-2</c:v>
                      </c:pt>
                      <c:pt idx="11">
                        <c:v>6.06710717332338E-2</c:v>
                      </c:pt>
                      <c:pt idx="12">
                        <c:v>6.06710717332338E-2</c:v>
                      </c:pt>
                      <c:pt idx="13">
                        <c:v>6.06710717332338E-2</c:v>
                      </c:pt>
                      <c:pt idx="14">
                        <c:v>6.06710717332338E-2</c:v>
                      </c:pt>
                      <c:pt idx="15">
                        <c:v>6.06710717332338E-2</c:v>
                      </c:pt>
                      <c:pt idx="16">
                        <c:v>6.06710717332338E-2</c:v>
                      </c:pt>
                      <c:pt idx="17">
                        <c:v>6.06710717332338E-2</c:v>
                      </c:pt>
                      <c:pt idx="18">
                        <c:v>6.06710717332338E-2</c:v>
                      </c:pt>
                      <c:pt idx="19">
                        <c:v>6.06710717332338E-2</c:v>
                      </c:pt>
                      <c:pt idx="20">
                        <c:v>6.06710717332338E-2</c:v>
                      </c:pt>
                      <c:pt idx="21">
                        <c:v>6.06710717332338E-2</c:v>
                      </c:pt>
                      <c:pt idx="22">
                        <c:v>6.06710717332338E-2</c:v>
                      </c:pt>
                      <c:pt idx="23">
                        <c:v>6.06710717332338E-2</c:v>
                      </c:pt>
                      <c:pt idx="24">
                        <c:v>6.06710717332338E-2</c:v>
                      </c:pt>
                      <c:pt idx="25">
                        <c:v>6.06710717332338E-2</c:v>
                      </c:pt>
                      <c:pt idx="26">
                        <c:v>6.06710717332338E-2</c:v>
                      </c:pt>
                      <c:pt idx="27">
                        <c:v>6.06710717332338E-2</c:v>
                      </c:pt>
                      <c:pt idx="28">
                        <c:v>6.06710717332338E-2</c:v>
                      </c:pt>
                      <c:pt idx="29">
                        <c:v>6.06710717332338E-2</c:v>
                      </c:pt>
                      <c:pt idx="30">
                        <c:v>6.06710717332338E-2</c:v>
                      </c:pt>
                      <c:pt idx="31">
                        <c:v>6.06710717332338E-2</c:v>
                      </c:pt>
                      <c:pt idx="32">
                        <c:v>6.06710717332338E-2</c:v>
                      </c:pt>
                      <c:pt idx="33">
                        <c:v>6.06710717332338E-2</c:v>
                      </c:pt>
                      <c:pt idx="34">
                        <c:v>6.06710717332338E-2</c:v>
                      </c:pt>
                      <c:pt idx="35">
                        <c:v>6.06710717332338E-2</c:v>
                      </c:pt>
                      <c:pt idx="36">
                        <c:v>6.06710717332338E-2</c:v>
                      </c:pt>
                      <c:pt idx="37">
                        <c:v>6.06710717332338E-2</c:v>
                      </c:pt>
                      <c:pt idx="38">
                        <c:v>6.06710717332338E-2</c:v>
                      </c:pt>
                      <c:pt idx="39">
                        <c:v>6.06710717332338E-2</c:v>
                      </c:pt>
                      <c:pt idx="40">
                        <c:v>6.06710717332338E-2</c:v>
                      </c:pt>
                      <c:pt idx="41">
                        <c:v>6.06710717332338E-2</c:v>
                      </c:pt>
                      <c:pt idx="42">
                        <c:v>6.06710717332338E-2</c:v>
                      </c:pt>
                      <c:pt idx="43">
                        <c:v>6.06710717332338E-2</c:v>
                      </c:pt>
                      <c:pt idx="44">
                        <c:v>6.06710717332338E-2</c:v>
                      </c:pt>
                      <c:pt idx="45">
                        <c:v>6.06710717332338E-2</c:v>
                      </c:pt>
                      <c:pt idx="46">
                        <c:v>6.06710717332338E-2</c:v>
                      </c:pt>
                      <c:pt idx="47">
                        <c:v>6.06710717332338E-2</c:v>
                      </c:pt>
                      <c:pt idx="48">
                        <c:v>6.06710717332338E-2</c:v>
                      </c:pt>
                      <c:pt idx="49">
                        <c:v>6.06710717332338E-2</c:v>
                      </c:pt>
                      <c:pt idx="50">
                        <c:v>6.06710717332338E-2</c:v>
                      </c:pt>
                      <c:pt idx="51">
                        <c:v>6.06710717332338E-2</c:v>
                      </c:pt>
                      <c:pt idx="52">
                        <c:v>6.06710717332338E-2</c:v>
                      </c:pt>
                      <c:pt idx="53">
                        <c:v>6.06710717332338E-2</c:v>
                      </c:pt>
                      <c:pt idx="54">
                        <c:v>6.06710717332338E-2</c:v>
                      </c:pt>
                      <c:pt idx="55">
                        <c:v>6.06710717332338E-2</c:v>
                      </c:pt>
                      <c:pt idx="56">
                        <c:v>6.06710717332338E-2</c:v>
                      </c:pt>
                      <c:pt idx="57">
                        <c:v>6.06710717332338E-2</c:v>
                      </c:pt>
                      <c:pt idx="58">
                        <c:v>4.8534925003687106E-2</c:v>
                      </c:pt>
                      <c:pt idx="59">
                        <c:v>4.8534925003687106E-2</c:v>
                      </c:pt>
                      <c:pt idx="60">
                        <c:v>4.8534925003687106E-2</c:v>
                      </c:pt>
                      <c:pt idx="61">
                        <c:v>4.8534925003687106E-2</c:v>
                      </c:pt>
                      <c:pt idx="62">
                        <c:v>4.8534925003687106E-2</c:v>
                      </c:pt>
                      <c:pt idx="63">
                        <c:v>4.8534925003687106E-2</c:v>
                      </c:pt>
                      <c:pt idx="64">
                        <c:v>4.8534925003687106E-2</c:v>
                      </c:pt>
                      <c:pt idx="65">
                        <c:v>4.8534925003687106E-2</c:v>
                      </c:pt>
                      <c:pt idx="66">
                        <c:v>4.8534925003687106E-2</c:v>
                      </c:pt>
                      <c:pt idx="67">
                        <c:v>4.8534925003687106E-2</c:v>
                      </c:pt>
                      <c:pt idx="68">
                        <c:v>4.8534925003687106E-2</c:v>
                      </c:pt>
                      <c:pt idx="69">
                        <c:v>4.8534925003687106E-2</c:v>
                      </c:pt>
                      <c:pt idx="70">
                        <c:v>4.8534925003687106E-2</c:v>
                      </c:pt>
                      <c:pt idx="71">
                        <c:v>4.8534925003687106E-2</c:v>
                      </c:pt>
                      <c:pt idx="72">
                        <c:v>4.8534925003687106E-2</c:v>
                      </c:pt>
                      <c:pt idx="73">
                        <c:v>4.8534925003687106E-2</c:v>
                      </c:pt>
                      <c:pt idx="74">
                        <c:v>4.8534925003687106E-2</c:v>
                      </c:pt>
                      <c:pt idx="75">
                        <c:v>4.8534925003687106E-2</c:v>
                      </c:pt>
                      <c:pt idx="76">
                        <c:v>4.8534925003687106E-2</c:v>
                      </c:pt>
                      <c:pt idx="77">
                        <c:v>4.8534925003687106E-2</c:v>
                      </c:pt>
                      <c:pt idx="78">
                        <c:v>4.8534925003687106E-2</c:v>
                      </c:pt>
                      <c:pt idx="79">
                        <c:v>4.8534925003687106E-2</c:v>
                      </c:pt>
                      <c:pt idx="80">
                        <c:v>4.8534925003687106E-2</c:v>
                      </c:pt>
                      <c:pt idx="81">
                        <c:v>4.8534925003687106E-2</c:v>
                      </c:pt>
                      <c:pt idx="82">
                        <c:v>4.8534925003687106E-2</c:v>
                      </c:pt>
                      <c:pt idx="83">
                        <c:v>4.8534925003687106E-2</c:v>
                      </c:pt>
                      <c:pt idx="84">
                        <c:v>4.8534925003687106E-2</c:v>
                      </c:pt>
                      <c:pt idx="85">
                        <c:v>4.8534925003687106E-2</c:v>
                      </c:pt>
                      <c:pt idx="86">
                        <c:v>4.8534925003687106E-2</c:v>
                      </c:pt>
                      <c:pt idx="87">
                        <c:v>4.8534925003687106E-2</c:v>
                      </c:pt>
                      <c:pt idx="88">
                        <c:v>4.8534925003687106E-2</c:v>
                      </c:pt>
                      <c:pt idx="89">
                        <c:v>4.8534925003687106E-2</c:v>
                      </c:pt>
                      <c:pt idx="90">
                        <c:v>4.8534925003687106E-2</c:v>
                      </c:pt>
                      <c:pt idx="91">
                        <c:v>4.8534925003687106E-2</c:v>
                      </c:pt>
                      <c:pt idx="92">
                        <c:v>4.8534925003687106E-2</c:v>
                      </c:pt>
                      <c:pt idx="93">
                        <c:v>4.8534925003687106E-2</c:v>
                      </c:pt>
                      <c:pt idx="94">
                        <c:v>4.8534925003687106E-2</c:v>
                      </c:pt>
                      <c:pt idx="95">
                        <c:v>4.8534925003687106E-2</c:v>
                      </c:pt>
                      <c:pt idx="96">
                        <c:v>4.8534925003687106E-2</c:v>
                      </c:pt>
                      <c:pt idx="97">
                        <c:v>4.8534925003687106E-2</c:v>
                      </c:pt>
                      <c:pt idx="98">
                        <c:v>4.8534925003687106E-2</c:v>
                      </c:pt>
                      <c:pt idx="99">
                        <c:v>4.8534925003687106E-2</c:v>
                      </c:pt>
                      <c:pt idx="100">
                        <c:v>4.8534925003687106E-2</c:v>
                      </c:pt>
                      <c:pt idx="101">
                        <c:v>4.8534925003687106E-2</c:v>
                      </c:pt>
                      <c:pt idx="102">
                        <c:v>4.8534925003687106E-2</c:v>
                      </c:pt>
                      <c:pt idx="103">
                        <c:v>4.8534925003687106E-2</c:v>
                      </c:pt>
                      <c:pt idx="104">
                        <c:v>4.8534925003687106E-2</c:v>
                      </c:pt>
                      <c:pt idx="105">
                        <c:v>4.8534925003687106E-2</c:v>
                      </c:pt>
                      <c:pt idx="106">
                        <c:v>4.8534925003687106E-2</c:v>
                      </c:pt>
                      <c:pt idx="107">
                        <c:v>4.8534925003687106E-2</c:v>
                      </c:pt>
                      <c:pt idx="108">
                        <c:v>4.8534925003687106E-2</c:v>
                      </c:pt>
                      <c:pt idx="109">
                        <c:v>4.8534925003687106E-2</c:v>
                      </c:pt>
                      <c:pt idx="110">
                        <c:v>4.8534925003687106E-2</c:v>
                      </c:pt>
                      <c:pt idx="111">
                        <c:v>4.8534925003687106E-2</c:v>
                      </c:pt>
                      <c:pt idx="112">
                        <c:v>4.8534925003687106E-2</c:v>
                      </c:pt>
                      <c:pt idx="113">
                        <c:v>4.8534925003687106E-2</c:v>
                      </c:pt>
                      <c:pt idx="114">
                        <c:v>4.8534925003687106E-2</c:v>
                      </c:pt>
                      <c:pt idx="115">
                        <c:v>4.8534925003687106E-2</c:v>
                      </c:pt>
                      <c:pt idx="116">
                        <c:v>5.97528445189556E-2</c:v>
                      </c:pt>
                      <c:pt idx="117">
                        <c:v>5.97528445189556E-2</c:v>
                      </c:pt>
                      <c:pt idx="118">
                        <c:v>5.97528445189556E-2</c:v>
                      </c:pt>
                      <c:pt idx="119">
                        <c:v>5.97528445189556E-2</c:v>
                      </c:pt>
                      <c:pt idx="120">
                        <c:v>5.97528445189556E-2</c:v>
                      </c:pt>
                      <c:pt idx="121">
                        <c:v>5.97528445189556E-2</c:v>
                      </c:pt>
                      <c:pt idx="122">
                        <c:v>5.97528445189556E-2</c:v>
                      </c:pt>
                      <c:pt idx="123">
                        <c:v>5.97528445189556E-2</c:v>
                      </c:pt>
                      <c:pt idx="124">
                        <c:v>5.97528445189556E-2</c:v>
                      </c:pt>
                      <c:pt idx="125">
                        <c:v>5.97528445189556E-2</c:v>
                      </c:pt>
                      <c:pt idx="126">
                        <c:v>5.97528445189556E-2</c:v>
                      </c:pt>
                      <c:pt idx="127">
                        <c:v>5.97528445189556E-2</c:v>
                      </c:pt>
                      <c:pt idx="128">
                        <c:v>5.97528445189556E-2</c:v>
                      </c:pt>
                      <c:pt idx="129">
                        <c:v>5.97528445189556E-2</c:v>
                      </c:pt>
                      <c:pt idx="130">
                        <c:v>5.97528445189556E-2</c:v>
                      </c:pt>
                      <c:pt idx="131">
                        <c:v>5.97528445189556E-2</c:v>
                      </c:pt>
                      <c:pt idx="132">
                        <c:v>5.97528445189556E-2</c:v>
                      </c:pt>
                      <c:pt idx="133">
                        <c:v>5.97528445189556E-2</c:v>
                      </c:pt>
                      <c:pt idx="134">
                        <c:v>5.97528445189556E-2</c:v>
                      </c:pt>
                      <c:pt idx="135">
                        <c:v>5.97528445189556E-2</c:v>
                      </c:pt>
                      <c:pt idx="136">
                        <c:v>5.97528445189556E-2</c:v>
                      </c:pt>
                      <c:pt idx="137">
                        <c:v>5.97528445189556E-2</c:v>
                      </c:pt>
                      <c:pt idx="138">
                        <c:v>5.97528445189556E-2</c:v>
                      </c:pt>
                      <c:pt idx="139">
                        <c:v>5.97528445189556E-2</c:v>
                      </c:pt>
                      <c:pt idx="140">
                        <c:v>5.97528445189556E-2</c:v>
                      </c:pt>
                      <c:pt idx="141">
                        <c:v>5.97528445189556E-2</c:v>
                      </c:pt>
                      <c:pt idx="142">
                        <c:v>5.97528445189556E-2</c:v>
                      </c:pt>
                      <c:pt idx="143">
                        <c:v>5.97528445189556E-2</c:v>
                      </c:pt>
                      <c:pt idx="144">
                        <c:v>5.97528445189556E-2</c:v>
                      </c:pt>
                      <c:pt idx="145">
                        <c:v>5.97528445189556E-2</c:v>
                      </c:pt>
                      <c:pt idx="146">
                        <c:v>5.97528445189556E-2</c:v>
                      </c:pt>
                      <c:pt idx="147">
                        <c:v>5.97528445189556E-2</c:v>
                      </c:pt>
                      <c:pt idx="148">
                        <c:v>5.97528445189556E-2</c:v>
                      </c:pt>
                      <c:pt idx="149">
                        <c:v>5.97528445189556E-2</c:v>
                      </c:pt>
                      <c:pt idx="150">
                        <c:v>5.97528445189556E-2</c:v>
                      </c:pt>
                      <c:pt idx="151">
                        <c:v>5.97528445189556E-2</c:v>
                      </c:pt>
                      <c:pt idx="152">
                        <c:v>5.97528445189556E-2</c:v>
                      </c:pt>
                      <c:pt idx="153">
                        <c:v>5.97528445189556E-2</c:v>
                      </c:pt>
                      <c:pt idx="154">
                        <c:v>5.97528445189556E-2</c:v>
                      </c:pt>
                      <c:pt idx="155">
                        <c:v>5.97528445189556E-2</c:v>
                      </c:pt>
                      <c:pt idx="156">
                        <c:v>5.97528445189556E-2</c:v>
                      </c:pt>
                      <c:pt idx="157">
                        <c:v>5.97528445189556E-2</c:v>
                      </c:pt>
                      <c:pt idx="158">
                        <c:v>5.97528445189556E-2</c:v>
                      </c:pt>
                      <c:pt idx="159">
                        <c:v>5.97528445189556E-2</c:v>
                      </c:pt>
                      <c:pt idx="160">
                        <c:v>5.97528445189556E-2</c:v>
                      </c:pt>
                      <c:pt idx="161">
                        <c:v>5.97528445189556E-2</c:v>
                      </c:pt>
                      <c:pt idx="162">
                        <c:v>5.97528445189556E-2</c:v>
                      </c:pt>
                      <c:pt idx="163">
                        <c:v>5.97528445189556E-2</c:v>
                      </c:pt>
                      <c:pt idx="164">
                        <c:v>5.97528445189556E-2</c:v>
                      </c:pt>
                      <c:pt idx="165">
                        <c:v>5.97528445189556E-2</c:v>
                      </c:pt>
                      <c:pt idx="166">
                        <c:v>5.97528445189556E-2</c:v>
                      </c:pt>
                      <c:pt idx="167">
                        <c:v>5.97528445189556E-2</c:v>
                      </c:pt>
                      <c:pt idx="168">
                        <c:v>5.97528445189556E-2</c:v>
                      </c:pt>
                      <c:pt idx="169">
                        <c:v>5.97528445189556E-2</c:v>
                      </c:pt>
                      <c:pt idx="170">
                        <c:v>5.97528445189556E-2</c:v>
                      </c:pt>
                      <c:pt idx="171">
                        <c:v>5.97528445189556E-2</c:v>
                      </c:pt>
                      <c:pt idx="172">
                        <c:v>5.97528445189556E-2</c:v>
                      </c:pt>
                      <c:pt idx="173">
                        <c:v>5.97528445189556E-2</c:v>
                      </c:pt>
                      <c:pt idx="174">
                        <c:v>4.4290656334748595E-2</c:v>
                      </c:pt>
                      <c:pt idx="175">
                        <c:v>4.4290656334748595E-2</c:v>
                      </c:pt>
                      <c:pt idx="176">
                        <c:v>4.4290656334748595E-2</c:v>
                      </c:pt>
                      <c:pt idx="177">
                        <c:v>4.4290656334748595E-2</c:v>
                      </c:pt>
                      <c:pt idx="178">
                        <c:v>4.4290656334748595E-2</c:v>
                      </c:pt>
                      <c:pt idx="179">
                        <c:v>4.4290656334748595E-2</c:v>
                      </c:pt>
                      <c:pt idx="180">
                        <c:v>4.4290656334748595E-2</c:v>
                      </c:pt>
                      <c:pt idx="181">
                        <c:v>4.4290656334748595E-2</c:v>
                      </c:pt>
                      <c:pt idx="182">
                        <c:v>4.4290656334748595E-2</c:v>
                      </c:pt>
                      <c:pt idx="183">
                        <c:v>4.4290656334748595E-2</c:v>
                      </c:pt>
                      <c:pt idx="184">
                        <c:v>4.4290656334748595E-2</c:v>
                      </c:pt>
                      <c:pt idx="185">
                        <c:v>4.4290656334748595E-2</c:v>
                      </c:pt>
                      <c:pt idx="186">
                        <c:v>4.4290656334748595E-2</c:v>
                      </c:pt>
                      <c:pt idx="187">
                        <c:v>4.4290656334748595E-2</c:v>
                      </c:pt>
                      <c:pt idx="188">
                        <c:v>4.4290656334748595E-2</c:v>
                      </c:pt>
                      <c:pt idx="189">
                        <c:v>4.4290656334748595E-2</c:v>
                      </c:pt>
                      <c:pt idx="190">
                        <c:v>4.4290656334748595E-2</c:v>
                      </c:pt>
                      <c:pt idx="191">
                        <c:v>4.4290656334748595E-2</c:v>
                      </c:pt>
                      <c:pt idx="192">
                        <c:v>4.4290656334748595E-2</c:v>
                      </c:pt>
                      <c:pt idx="193">
                        <c:v>4.4290656334748595E-2</c:v>
                      </c:pt>
                      <c:pt idx="194">
                        <c:v>4.4290656334748595E-2</c:v>
                      </c:pt>
                      <c:pt idx="195">
                        <c:v>4.4290656334748595E-2</c:v>
                      </c:pt>
                      <c:pt idx="196">
                        <c:v>4.4290656334748595E-2</c:v>
                      </c:pt>
                      <c:pt idx="197">
                        <c:v>4.4290656334748595E-2</c:v>
                      </c:pt>
                      <c:pt idx="198">
                        <c:v>4.4290656334748595E-2</c:v>
                      </c:pt>
                      <c:pt idx="199">
                        <c:v>4.4290656334748595E-2</c:v>
                      </c:pt>
                      <c:pt idx="200">
                        <c:v>4.4290656334748595E-2</c:v>
                      </c:pt>
                      <c:pt idx="201">
                        <c:v>4.4290656334748595E-2</c:v>
                      </c:pt>
                      <c:pt idx="202">
                        <c:v>4.4290656334748595E-2</c:v>
                      </c:pt>
                      <c:pt idx="203">
                        <c:v>4.4290656334748595E-2</c:v>
                      </c:pt>
                      <c:pt idx="204">
                        <c:v>4.4290656334748595E-2</c:v>
                      </c:pt>
                      <c:pt idx="205">
                        <c:v>4.4290656334748595E-2</c:v>
                      </c:pt>
                      <c:pt idx="206">
                        <c:v>4.4290656334748595E-2</c:v>
                      </c:pt>
                      <c:pt idx="207">
                        <c:v>4.4290656334748595E-2</c:v>
                      </c:pt>
                      <c:pt idx="208">
                        <c:v>4.4290656334748595E-2</c:v>
                      </c:pt>
                      <c:pt idx="209">
                        <c:v>4.4290656334748595E-2</c:v>
                      </c:pt>
                      <c:pt idx="210">
                        <c:v>4.4290656334748595E-2</c:v>
                      </c:pt>
                      <c:pt idx="211">
                        <c:v>4.4290656334748595E-2</c:v>
                      </c:pt>
                      <c:pt idx="212">
                        <c:v>4.4290656334748595E-2</c:v>
                      </c:pt>
                      <c:pt idx="213">
                        <c:v>4.4290656334748595E-2</c:v>
                      </c:pt>
                      <c:pt idx="214">
                        <c:v>4.4290656334748595E-2</c:v>
                      </c:pt>
                      <c:pt idx="215">
                        <c:v>4.4290656334748595E-2</c:v>
                      </c:pt>
                      <c:pt idx="216">
                        <c:v>4.4290656334748595E-2</c:v>
                      </c:pt>
                      <c:pt idx="217">
                        <c:v>4.4290656334748595E-2</c:v>
                      </c:pt>
                      <c:pt idx="218">
                        <c:v>4.4290656334748595E-2</c:v>
                      </c:pt>
                      <c:pt idx="219">
                        <c:v>4.4290656334748595E-2</c:v>
                      </c:pt>
                      <c:pt idx="220">
                        <c:v>4.4290656334748595E-2</c:v>
                      </c:pt>
                      <c:pt idx="221">
                        <c:v>4.4290656334748595E-2</c:v>
                      </c:pt>
                      <c:pt idx="222">
                        <c:v>4.4290656334748595E-2</c:v>
                      </c:pt>
                      <c:pt idx="223">
                        <c:v>4.4290656334748595E-2</c:v>
                      </c:pt>
                      <c:pt idx="224">
                        <c:v>4.4290656334748595E-2</c:v>
                      </c:pt>
                      <c:pt idx="225">
                        <c:v>4.4290656334748595E-2</c:v>
                      </c:pt>
                      <c:pt idx="226">
                        <c:v>4.4290656334748595E-2</c:v>
                      </c:pt>
                      <c:pt idx="227">
                        <c:v>4.4290656334748595E-2</c:v>
                      </c:pt>
                      <c:pt idx="228">
                        <c:v>4.4290656334748595E-2</c:v>
                      </c:pt>
                      <c:pt idx="229">
                        <c:v>4.4290656334748595E-2</c:v>
                      </c:pt>
                      <c:pt idx="230">
                        <c:v>4.4290656334748595E-2</c:v>
                      </c:pt>
                      <c:pt idx="231">
                        <c:v>4.4290656334748595E-2</c:v>
                      </c:pt>
                      <c:pt idx="232">
                        <c:v>4.9141763254774998E-2</c:v>
                      </c:pt>
                      <c:pt idx="233">
                        <c:v>4.9141763254774998E-2</c:v>
                      </c:pt>
                      <c:pt idx="234">
                        <c:v>4.9141763254774998E-2</c:v>
                      </c:pt>
                      <c:pt idx="235">
                        <c:v>4.9141763254774998E-2</c:v>
                      </c:pt>
                      <c:pt idx="236">
                        <c:v>4.9141763254774998E-2</c:v>
                      </c:pt>
                      <c:pt idx="237">
                        <c:v>4.9141763254774998E-2</c:v>
                      </c:pt>
                      <c:pt idx="238">
                        <c:v>4.9141763254774998E-2</c:v>
                      </c:pt>
                      <c:pt idx="239">
                        <c:v>4.9141763254774998E-2</c:v>
                      </c:pt>
                      <c:pt idx="240">
                        <c:v>4.9141763254774998E-2</c:v>
                      </c:pt>
                      <c:pt idx="241">
                        <c:v>4.9141763254774998E-2</c:v>
                      </c:pt>
                      <c:pt idx="242">
                        <c:v>4.9141763254774998E-2</c:v>
                      </c:pt>
                      <c:pt idx="243">
                        <c:v>4.9141763254774998E-2</c:v>
                      </c:pt>
                      <c:pt idx="244">
                        <c:v>4.9141763254774998E-2</c:v>
                      </c:pt>
                      <c:pt idx="245">
                        <c:v>4.9141763254774998E-2</c:v>
                      </c:pt>
                      <c:pt idx="246">
                        <c:v>4.9141763254774998E-2</c:v>
                      </c:pt>
                      <c:pt idx="247">
                        <c:v>4.9141763254774998E-2</c:v>
                      </c:pt>
                      <c:pt idx="248">
                        <c:v>4.9141763254774998E-2</c:v>
                      </c:pt>
                      <c:pt idx="249">
                        <c:v>4.9141763254774998E-2</c:v>
                      </c:pt>
                      <c:pt idx="250">
                        <c:v>4.9141763254774998E-2</c:v>
                      </c:pt>
                      <c:pt idx="251">
                        <c:v>4.9141763254774998E-2</c:v>
                      </c:pt>
                      <c:pt idx="252">
                        <c:v>4.9141763254774998E-2</c:v>
                      </c:pt>
                      <c:pt idx="253">
                        <c:v>4.9141763254774998E-2</c:v>
                      </c:pt>
                      <c:pt idx="254">
                        <c:v>4.9141763254774998E-2</c:v>
                      </c:pt>
                      <c:pt idx="255">
                        <c:v>4.9141763254774998E-2</c:v>
                      </c:pt>
                      <c:pt idx="256">
                        <c:v>4.9141763254774998E-2</c:v>
                      </c:pt>
                      <c:pt idx="257">
                        <c:v>4.9141763254774998E-2</c:v>
                      </c:pt>
                      <c:pt idx="258">
                        <c:v>4.9141763254774998E-2</c:v>
                      </c:pt>
                      <c:pt idx="259">
                        <c:v>4.9141763254774998E-2</c:v>
                      </c:pt>
                      <c:pt idx="260">
                        <c:v>4.9141763254774998E-2</c:v>
                      </c:pt>
                      <c:pt idx="261">
                        <c:v>4.9141763254774998E-2</c:v>
                      </c:pt>
                      <c:pt idx="262">
                        <c:v>4.9141763254774998E-2</c:v>
                      </c:pt>
                      <c:pt idx="263">
                        <c:v>4.9141763254774998E-2</c:v>
                      </c:pt>
                      <c:pt idx="264">
                        <c:v>4.9141763254774998E-2</c:v>
                      </c:pt>
                      <c:pt idx="265">
                        <c:v>4.9141763254774998E-2</c:v>
                      </c:pt>
                      <c:pt idx="266">
                        <c:v>4.9141763254774998E-2</c:v>
                      </c:pt>
                      <c:pt idx="267">
                        <c:v>4.9141763254774998E-2</c:v>
                      </c:pt>
                      <c:pt idx="268">
                        <c:v>4.9141763254774998E-2</c:v>
                      </c:pt>
                      <c:pt idx="269">
                        <c:v>4.9141763254774998E-2</c:v>
                      </c:pt>
                      <c:pt idx="270">
                        <c:v>4.9141763254774998E-2</c:v>
                      </c:pt>
                      <c:pt idx="271">
                        <c:v>4.9141763254774998E-2</c:v>
                      </c:pt>
                      <c:pt idx="272">
                        <c:v>4.9141763254774998E-2</c:v>
                      </c:pt>
                      <c:pt idx="273">
                        <c:v>4.9141763254774998E-2</c:v>
                      </c:pt>
                      <c:pt idx="274">
                        <c:v>4.9141763254774998E-2</c:v>
                      </c:pt>
                      <c:pt idx="275">
                        <c:v>4.9141763254774998E-2</c:v>
                      </c:pt>
                      <c:pt idx="276">
                        <c:v>4.9141763254774998E-2</c:v>
                      </c:pt>
                      <c:pt idx="277">
                        <c:v>4.9141763254774998E-2</c:v>
                      </c:pt>
                      <c:pt idx="278">
                        <c:v>4.9141763254774998E-2</c:v>
                      </c:pt>
                      <c:pt idx="279">
                        <c:v>4.9141763254774998E-2</c:v>
                      </c:pt>
                      <c:pt idx="280">
                        <c:v>4.9141763254774998E-2</c:v>
                      </c:pt>
                      <c:pt idx="281">
                        <c:v>4.9141763254774998E-2</c:v>
                      </c:pt>
                      <c:pt idx="282">
                        <c:v>4.9141763254774998E-2</c:v>
                      </c:pt>
                      <c:pt idx="283">
                        <c:v>4.9141763254774998E-2</c:v>
                      </c:pt>
                      <c:pt idx="284">
                        <c:v>4.9141763254774998E-2</c:v>
                      </c:pt>
                      <c:pt idx="285">
                        <c:v>4.9141763254774998E-2</c:v>
                      </c:pt>
                      <c:pt idx="286">
                        <c:v>4.9141763254774998E-2</c:v>
                      </c:pt>
                      <c:pt idx="287">
                        <c:v>4.9141763254774998E-2</c:v>
                      </c:pt>
                      <c:pt idx="288">
                        <c:v>4.9141763254774998E-2</c:v>
                      </c:pt>
                      <c:pt idx="289">
                        <c:v>4.9141763254774998E-2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D5C6-4E19-973B-91C5491E876C}"/>
                  </c:ext>
                </c:extLst>
              </c15:ser>
            </c15:filteredLineSeries>
          </c:ext>
        </c:extLst>
      </c:lineChart>
      <c:catAx>
        <c:axId val="4591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44960"/>
        <c:crosses val="autoZero"/>
        <c:auto val="1"/>
        <c:lblAlgn val="ctr"/>
        <c:lblOffset val="100"/>
        <c:noMultiLvlLbl val="0"/>
      </c:catAx>
      <c:valAx>
        <c:axId val="45914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762000</xdr:colOff>
      <xdr:row>0</xdr:row>
      <xdr:rowOff>0</xdr:rowOff>
    </xdr:from>
    <xdr:to>
      <xdr:col>27</xdr:col>
      <xdr:colOff>277091</xdr:colOff>
      <xdr:row>27</xdr:row>
      <xdr:rowOff>15394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AA311" totalsRowShown="0" headerRowDxfId="15">
  <autoFilter ref="A1:AA311">
    <filterColumn colId="0">
      <filters>
        <filter val="AAM"/>
        <filter val="AAT"/>
        <filter val="ABS"/>
        <filter val="ABT"/>
        <filter val="ACL"/>
        <filter val="ADS"/>
        <filter val="ANV"/>
        <filter val="ASM"/>
        <filter val="BAF"/>
        <filter val="BBC"/>
        <filter val="BHN"/>
        <filter val="BKG"/>
        <filter val="CLC"/>
        <filter val="CMX"/>
        <filter val="CSM"/>
        <filter val="CTF"/>
        <filter val="DAT"/>
        <filter val="DBC"/>
        <filter val="DQC"/>
        <filter val="DRC"/>
        <filter val="EVE"/>
        <filter val="FMC"/>
        <filter val="GDT"/>
        <filter val="GIL"/>
        <filter val="GMC"/>
        <filter val="HAG"/>
        <filter val="HAX"/>
        <filter val="HHS"/>
        <filter val="HSL"/>
        <filter val="HTG"/>
        <filter val="HTL"/>
        <filter val="IDI"/>
        <filter val="KDC"/>
        <filter val="KMR"/>
        <filter val="LAF"/>
        <filter val="LIX"/>
        <filter val="LSS"/>
        <filter val="MCM"/>
        <filter val="MSN"/>
        <filter val="NAF"/>
        <filter val="NHT"/>
        <filter val="NSC"/>
        <filter val="PAN"/>
        <filter val="PNJ"/>
        <filter val="RAL"/>
        <filter val="SAB"/>
        <filter val="SBT"/>
        <filter val="SMB"/>
        <filter val="SRC"/>
        <filter val="SSC"/>
        <filter val="STK"/>
        <filter val="SVC"/>
        <filter val="TCM"/>
        <filter val="TLG"/>
        <filter val="TMT"/>
        <filter val="TVT"/>
        <filter val="VHC"/>
        <filter val="VNM"/>
      </filters>
    </filterColumn>
  </autoFilter>
  <tableColumns count="27">
    <tableColumn id="1" name="Chỉ tiêu"/>
    <tableColumn id="2" name="Năm"/>
    <tableColumn id="3" name="Lợi nhuận sau thuế"/>
    <tableColumn id="4" name="Tổng tài sản ngắn hạn"/>
    <tableColumn id="5" name="Tài sản dài hạn"/>
    <tableColumn id="6" name="Tài sản cố định"/>
    <tableColumn id="7" name="Tổng tài sản"/>
    <tableColumn id="8" name="Tổng nợ"/>
    <tableColumn id="9" name="Vốn chủ sở hữu"/>
    <tableColumn id="10" name="Nợ ngắn hạn"/>
    <tableColumn id="11" name="Lạm phát" dataDxfId="14" dataCellStyle="Percent"/>
    <tableColumn id="12" name="Tăng trưởng " dataDxfId="13" dataCellStyle="Percent"/>
    <tableColumn id="13" name="Lãi suất danh nghĩa" dataDxfId="12" dataCellStyle="Percent"/>
    <tableColumn id="14" name="Tỷ giá hối đoái danh nghĩa"/>
    <tableColumn id="15" name="Age" dataDxfId="11">
      <calculatedColumnFormula>B2-P2+1</calculatedColumnFormula>
    </tableColumn>
    <tableColumn id="16" name="Năm thành lập" dataDxfId="10"/>
    <tableColumn id="17" name="us cpi" dataDxfId="9"/>
    <tableColumn id="18" name="vn cpi" dataDxfId="8"/>
    <tableColumn id="19" name="Tỷ giá hối đoái thực" dataDxfId="7">
      <calculatedColumnFormula>N2*Q2/(R2*1000)</calculatedColumnFormula>
    </tableColumn>
    <tableColumn id="20" name="ROE" dataDxfId="6" dataCellStyle="Percent">
      <calculatedColumnFormula>C2/I2</calculatedColumnFormula>
    </tableColumn>
    <tableColumn id="21" name="ROA" dataDxfId="5" dataCellStyle="Percent">
      <calculatedColumnFormula>C2/G2</calculatedColumnFormula>
    </tableColumn>
    <tableColumn id="22" name="LEV" dataDxfId="4" dataCellStyle="Percent">
      <calculatedColumnFormula>H2/I2</calculatedColumnFormula>
    </tableColumn>
    <tableColumn id="23" name="CR">
      <calculatedColumnFormula>D2/J2</calculatedColumnFormula>
    </tableColumn>
    <tableColumn id="24" name="SIZE" dataDxfId="3">
      <calculatedColumnFormula>LN(100*G2/R2)</calculatedColumnFormula>
    </tableColumn>
    <tableColumn id="25" name="AST" dataDxfId="2" dataCellStyle="Percent">
      <calculatedColumnFormula>F2/G2</calculatedColumnFormula>
    </tableColumn>
    <tableColumn id="26" name="Lãi suất thực" dataDxfId="1" dataCellStyle="Percent">
      <calculatedColumnFormula>(M2+1)/(K2+1)-1</calculatedColumnFormula>
    </tableColumn>
    <tableColumn id="27" name="Lãi suất thực công thức rút gọn" dataDxfId="0">
      <calculatedColumnFormula>M2-K2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1"/>
  <sheetViews>
    <sheetView tabSelected="1" topLeftCell="M1" workbookViewId="0">
      <selection activeCell="S2" sqref="S2"/>
    </sheetView>
  </sheetViews>
  <sheetFormatPr defaultRowHeight="14.4" x14ac:dyDescent="0.3"/>
  <cols>
    <col min="23" max="23" width="11.5546875" bestFit="1" customWidth="1"/>
  </cols>
  <sheetData>
    <row r="1" spans="1:38" ht="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95</v>
      </c>
      <c r="L1" s="1" t="s">
        <v>10</v>
      </c>
      <c r="M1" s="1" t="s">
        <v>96</v>
      </c>
      <c r="N1" s="1" t="s">
        <v>11</v>
      </c>
      <c r="O1" s="1" t="s">
        <v>92</v>
      </c>
      <c r="P1" s="1" t="s">
        <v>12</v>
      </c>
      <c r="Q1" s="1" t="s">
        <v>93</v>
      </c>
      <c r="R1" s="1" t="s">
        <v>13</v>
      </c>
      <c r="S1" s="1" t="s">
        <v>102</v>
      </c>
      <c r="T1" s="1" t="s">
        <v>15</v>
      </c>
      <c r="U1" s="1" t="s">
        <v>16</v>
      </c>
      <c r="V1" s="1" t="s">
        <v>17</v>
      </c>
      <c r="W1" s="1" t="s">
        <v>94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101</v>
      </c>
      <c r="AC1" s="1" t="s">
        <v>24</v>
      </c>
      <c r="AD1" s="1" t="s">
        <v>97</v>
      </c>
      <c r="AE1" s="17" t="s">
        <v>89</v>
      </c>
      <c r="AF1" s="17" t="s">
        <v>90</v>
      </c>
      <c r="AG1" t="s">
        <v>91</v>
      </c>
      <c r="AH1" t="s">
        <v>99</v>
      </c>
      <c r="AI1" t="s">
        <v>100</v>
      </c>
      <c r="AJ1">
        <v>2</v>
      </c>
      <c r="AK1">
        <v>0</v>
      </c>
      <c r="AL1">
        <v>18</v>
      </c>
    </row>
    <row r="2" spans="1:38" x14ac:dyDescent="0.3">
      <c r="A2" s="2" t="s">
        <v>27</v>
      </c>
      <c r="B2" s="3">
        <v>2023</v>
      </c>
      <c r="C2" s="4">
        <v>0.70299999999999996</v>
      </c>
      <c r="D2" s="4">
        <v>173.749</v>
      </c>
      <c r="E2" s="4">
        <v>39.109000000000002</v>
      </c>
      <c r="F2" s="4">
        <v>23.645</v>
      </c>
      <c r="G2" s="4">
        <v>212.857</v>
      </c>
      <c r="H2" s="4">
        <v>10.222</v>
      </c>
      <c r="I2" s="4">
        <v>202.636</v>
      </c>
      <c r="J2" s="4">
        <v>9.15</v>
      </c>
      <c r="K2" s="4">
        <f>L2*100</f>
        <v>3.2528928266766206</v>
      </c>
      <c r="L2" s="5">
        <v>3.2528928266766205E-2</v>
      </c>
      <c r="M2" s="19">
        <f>N2*100</f>
        <v>5.0464307361874887</v>
      </c>
      <c r="N2" s="5">
        <v>5.0464307361874884E-2</v>
      </c>
      <c r="O2" s="19">
        <f>P2*100</f>
        <v>9.32</v>
      </c>
      <c r="P2" s="5">
        <v>9.3200000000000005E-2</v>
      </c>
      <c r="Q2" s="19">
        <f>R2/1000</f>
        <v>23.787319166666702</v>
      </c>
      <c r="R2" s="4">
        <v>23787.319166666701</v>
      </c>
      <c r="S2" s="4">
        <f>LN(B2-T2+1)</f>
        <v>3.8066624897703196</v>
      </c>
      <c r="T2" s="6">
        <v>1979</v>
      </c>
      <c r="U2" s="7">
        <v>139.74</v>
      </c>
      <c r="V2" s="7">
        <v>183.07</v>
      </c>
      <c r="W2" s="4">
        <f>R2*U2/(V2*1000)</f>
        <v>18.15720751816248</v>
      </c>
      <c r="X2" s="18">
        <f>C2/I2*100</f>
        <v>0.34692749560788799</v>
      </c>
      <c r="Y2" s="18">
        <f>C2/G2*100</f>
        <v>0.33026867803266979</v>
      </c>
      <c r="Z2" s="18">
        <f>H2/I2</f>
        <v>5.044513314514696E-2</v>
      </c>
      <c r="AA2" s="12">
        <f>D2/J2</f>
        <v>18.98896174863388</v>
      </c>
      <c r="AB2">
        <f>LN(100*G2/V2)</f>
        <v>4.7559221713681952</v>
      </c>
      <c r="AC2" s="18">
        <f t="shared" ref="AC2:AC65" si="0">F2/G2</f>
        <v>0.11108396717044776</v>
      </c>
      <c r="AD2" s="18">
        <f>((100+O2)/(100+K2)-1)*100</f>
        <v>5.875968224452377</v>
      </c>
      <c r="AE2" s="12">
        <v>139.25899999999999</v>
      </c>
      <c r="AF2" s="12">
        <v>212.00800000000001</v>
      </c>
      <c r="AG2" s="8">
        <f>(AE2-AF2)/AF2</f>
        <v>-0.34314271159578891</v>
      </c>
      <c r="AH2">
        <f>C64*100/G64</f>
        <v>7.7317229389697122</v>
      </c>
      <c r="AI2">
        <f>C64*100/I64</f>
        <v>8.0654398289554052</v>
      </c>
    </row>
    <row r="3" spans="1:38" x14ac:dyDescent="0.3">
      <c r="A3" t="s">
        <v>28</v>
      </c>
      <c r="B3" s="11">
        <v>2023</v>
      </c>
      <c r="C3" s="12">
        <v>11.714</v>
      </c>
      <c r="D3" s="12">
        <v>468.81</v>
      </c>
      <c r="E3" s="12">
        <v>584.346</v>
      </c>
      <c r="F3" s="12">
        <v>171.61500000000001</v>
      </c>
      <c r="G3" s="12">
        <v>1053.1559999999999</v>
      </c>
      <c r="H3" s="12">
        <v>304.536</v>
      </c>
      <c r="I3" s="12">
        <v>748.62</v>
      </c>
      <c r="J3" s="12">
        <v>227.95</v>
      </c>
      <c r="K3" s="4">
        <f t="shared" ref="K3:K66" si="1">L3*100</f>
        <v>3.2528928266766206</v>
      </c>
      <c r="L3" s="5">
        <v>3.2528928266766205E-2</v>
      </c>
      <c r="M3" s="19">
        <f t="shared" ref="M3:M66" si="2">N3*100</f>
        <v>5.0464307361874887</v>
      </c>
      <c r="N3" s="5">
        <v>5.0464307361874884E-2</v>
      </c>
      <c r="O3" s="19">
        <f t="shared" ref="O3:O66" si="3">P3*100</f>
        <v>9.32</v>
      </c>
      <c r="P3" s="8">
        <v>9.3200000000000005E-2</v>
      </c>
      <c r="Q3" s="19">
        <f t="shared" ref="Q3:Q66" si="4">R3/1000</f>
        <v>23.787319166666702</v>
      </c>
      <c r="R3" s="12">
        <v>23787.319166666701</v>
      </c>
      <c r="S3" s="4">
        <f t="shared" ref="S3:S66" si="5">LN(B3-T3+1)</f>
        <v>3.3672958299864741</v>
      </c>
      <c r="T3" s="13">
        <v>1995</v>
      </c>
      <c r="U3" s="14">
        <v>139.74</v>
      </c>
      <c r="V3" s="14">
        <v>183.07</v>
      </c>
      <c r="W3" s="4">
        <f>R3*U3/(1000*V3)</f>
        <v>18.15720751816248</v>
      </c>
      <c r="X3" s="18">
        <f t="shared" ref="X3:X66" si="6">C3/I3*100</f>
        <v>1.5647457989367102</v>
      </c>
      <c r="Y3" s="18">
        <f t="shared" ref="Y3:Y66" si="7">C3/G3*100</f>
        <v>1.1122758641644734</v>
      </c>
      <c r="Z3" s="18">
        <f t="shared" ref="Z3:Z66" si="8">H3/I3</f>
        <v>0.40679650557024927</v>
      </c>
      <c r="AA3" s="12">
        <f t="shared" ref="AA3:AA66" si="9">D3/J3</f>
        <v>2.0566352270234702</v>
      </c>
      <c r="AB3">
        <f t="shared" ref="AB3:AB66" si="10">LN(100*G3/V3)</f>
        <v>6.3548482419344383</v>
      </c>
      <c r="AC3" s="18">
        <f t="shared" si="0"/>
        <v>0.16295306678212915</v>
      </c>
      <c r="AD3" s="18">
        <f t="shared" ref="AD3:AD66" si="11">((100+O3)/(100+K3)-1)*100</f>
        <v>5.875968224452377</v>
      </c>
      <c r="AE3" s="12">
        <v>599.59699999999998</v>
      </c>
      <c r="AF3" s="12">
        <v>961.62599999999998</v>
      </c>
      <c r="AG3" s="8">
        <f t="shared" ref="AG3:AG66" si="12">(AE3-AF3)/AF3</f>
        <v>-0.37647588563537177</v>
      </c>
      <c r="AH3">
        <f t="shared" ref="AH3:AH66" si="13">C65*100/G65</f>
        <v>8.4511213673980468</v>
      </c>
      <c r="AI3">
        <f t="shared" ref="AI3:AI66" si="14">C65*100/I65</f>
        <v>12.170907828217238</v>
      </c>
    </row>
    <row r="4" spans="1:38" x14ac:dyDescent="0.3">
      <c r="A4" t="s">
        <v>29</v>
      </c>
      <c r="B4" s="11">
        <v>2023</v>
      </c>
      <c r="C4" s="12">
        <v>8.2870000000000008</v>
      </c>
      <c r="D4" s="12">
        <v>1121.6569999999999</v>
      </c>
      <c r="E4" s="12">
        <v>457.548</v>
      </c>
      <c r="F4" s="12">
        <v>13.837</v>
      </c>
      <c r="G4" s="12">
        <v>1579.2049999999999</v>
      </c>
      <c r="H4" s="12">
        <v>665.24199999999996</v>
      </c>
      <c r="I4" s="12">
        <v>913.96299999999997</v>
      </c>
      <c r="J4" s="12">
        <v>664.3</v>
      </c>
      <c r="K4" s="4">
        <f t="shared" si="1"/>
        <v>3.2528928266766206</v>
      </c>
      <c r="L4" s="5">
        <v>3.2528928266766205E-2</v>
      </c>
      <c r="M4" s="19">
        <f t="shared" si="2"/>
        <v>5.0464307361874887</v>
      </c>
      <c r="N4" s="5">
        <v>5.0464307361874884E-2</v>
      </c>
      <c r="O4" s="19">
        <f t="shared" si="3"/>
        <v>9.32</v>
      </c>
      <c r="P4" s="8">
        <v>9.3200000000000005E-2</v>
      </c>
      <c r="Q4" s="19">
        <f t="shared" si="4"/>
        <v>23.787319166666702</v>
      </c>
      <c r="R4" s="12">
        <v>23787.319166666701</v>
      </c>
      <c r="S4" s="4">
        <f t="shared" si="5"/>
        <v>3.8918202981106265</v>
      </c>
      <c r="T4" s="13">
        <v>1975</v>
      </c>
      <c r="U4" s="14">
        <v>139.74</v>
      </c>
      <c r="V4" s="14">
        <v>183.07</v>
      </c>
      <c r="W4" s="4">
        <f t="shared" ref="W4:W66" si="15">R4*U4/(1000*V4)</f>
        <v>18.15720751816248</v>
      </c>
      <c r="X4" s="18">
        <f t="shared" si="6"/>
        <v>0.90671066553022395</v>
      </c>
      <c r="Y4" s="18">
        <f t="shared" si="7"/>
        <v>0.5247577103669252</v>
      </c>
      <c r="Z4" s="18">
        <f t="shared" si="8"/>
        <v>0.72786535122318952</v>
      </c>
      <c r="AA4" s="12">
        <f t="shared" si="9"/>
        <v>1.6884796025891917</v>
      </c>
      <c r="AB4">
        <f t="shared" si="10"/>
        <v>6.7599784274594539</v>
      </c>
      <c r="AC4" s="18">
        <f t="shared" si="0"/>
        <v>8.7620036664017662E-3</v>
      </c>
      <c r="AD4" s="18">
        <f t="shared" si="11"/>
        <v>5.875968224452377</v>
      </c>
      <c r="AE4" s="12">
        <v>1025.223</v>
      </c>
      <c r="AF4" s="12">
        <v>1605.396</v>
      </c>
      <c r="AG4" s="8">
        <f t="shared" si="12"/>
        <v>-0.3613893394526958</v>
      </c>
      <c r="AH4">
        <f t="shared" si="13"/>
        <v>1.3502900367885142</v>
      </c>
      <c r="AI4">
        <f t="shared" si="14"/>
        <v>2.488748735750975</v>
      </c>
    </row>
    <row r="5" spans="1:38" x14ac:dyDescent="0.3">
      <c r="A5" t="s">
        <v>30</v>
      </c>
      <c r="B5" s="11">
        <v>2023</v>
      </c>
      <c r="C5" s="12">
        <v>63.872</v>
      </c>
      <c r="D5" s="12">
        <v>337.58800000000002</v>
      </c>
      <c r="E5" s="12">
        <v>313.79700000000003</v>
      </c>
      <c r="F5" s="12">
        <v>90.275999999999996</v>
      </c>
      <c r="G5" s="12">
        <v>651.38400000000001</v>
      </c>
      <c r="H5" s="12">
        <v>160.565</v>
      </c>
      <c r="I5" s="12">
        <v>490.81900000000002</v>
      </c>
      <c r="J5" s="12">
        <v>157.46</v>
      </c>
      <c r="K5" s="4">
        <f t="shared" si="1"/>
        <v>3.2528928266766206</v>
      </c>
      <c r="L5" s="5">
        <v>3.2528928266766205E-2</v>
      </c>
      <c r="M5" s="19">
        <f t="shared" si="2"/>
        <v>5.0464307361874887</v>
      </c>
      <c r="N5" s="5">
        <v>5.0464307361874884E-2</v>
      </c>
      <c r="O5" s="19">
        <f t="shared" si="3"/>
        <v>9.32</v>
      </c>
      <c r="P5" s="8">
        <v>9.3200000000000005E-2</v>
      </c>
      <c r="Q5" s="19">
        <f t="shared" si="4"/>
        <v>23.787319166666702</v>
      </c>
      <c r="R5" s="12">
        <v>23787.319166666701</v>
      </c>
      <c r="S5" s="4">
        <f t="shared" si="5"/>
        <v>3.8501476017100584</v>
      </c>
      <c r="T5" s="13">
        <v>1977</v>
      </c>
      <c r="U5" s="14">
        <v>139.74</v>
      </c>
      <c r="V5" s="14">
        <v>183.07</v>
      </c>
      <c r="W5" s="4">
        <f t="shared" si="15"/>
        <v>18.15720751816248</v>
      </c>
      <c r="X5" s="18">
        <f t="shared" si="6"/>
        <v>13.013351153887683</v>
      </c>
      <c r="Y5" s="18">
        <f t="shared" si="7"/>
        <v>9.8055831890252136</v>
      </c>
      <c r="Z5" s="18">
        <f t="shared" si="8"/>
        <v>0.32713688752880388</v>
      </c>
      <c r="AA5" s="12">
        <f t="shared" si="9"/>
        <v>2.1439603708878447</v>
      </c>
      <c r="AB5">
        <f t="shared" si="10"/>
        <v>5.8744009226848277</v>
      </c>
      <c r="AC5" s="18">
        <f t="shared" si="0"/>
        <v>0.13859106149368114</v>
      </c>
      <c r="AD5" s="18">
        <f t="shared" si="11"/>
        <v>5.875968224452377</v>
      </c>
      <c r="AE5" s="12">
        <v>532.79300000000001</v>
      </c>
      <c r="AF5" s="12">
        <v>617.43200000000002</v>
      </c>
      <c r="AG5" s="8">
        <f t="shared" si="12"/>
        <v>-0.13708230218064502</v>
      </c>
      <c r="AH5">
        <f t="shared" si="13"/>
        <v>10.32688662575899</v>
      </c>
      <c r="AI5">
        <f t="shared" si="14"/>
        <v>13.652628739984413</v>
      </c>
    </row>
    <row r="6" spans="1:38" x14ac:dyDescent="0.3">
      <c r="A6" t="s">
        <v>31</v>
      </c>
      <c r="B6" s="11">
        <v>2023</v>
      </c>
      <c r="C6" s="12">
        <v>9.8529999999999998</v>
      </c>
      <c r="D6" s="12">
        <v>1482.105</v>
      </c>
      <c r="E6" s="12">
        <v>267.07499999999999</v>
      </c>
      <c r="F6" s="12">
        <v>250.49600000000001</v>
      </c>
      <c r="G6" s="12">
        <v>1749.18</v>
      </c>
      <c r="H6" s="12">
        <v>950.03800000000001</v>
      </c>
      <c r="I6" s="12">
        <v>799.14200000000005</v>
      </c>
      <c r="J6" s="12">
        <v>950.04</v>
      </c>
      <c r="K6" s="4">
        <f t="shared" si="1"/>
        <v>3.2528928266766206</v>
      </c>
      <c r="L6" s="5">
        <v>3.2528928266766205E-2</v>
      </c>
      <c r="M6" s="19">
        <f t="shared" si="2"/>
        <v>5.0464307361874887</v>
      </c>
      <c r="N6" s="5">
        <v>5.0464307361874884E-2</v>
      </c>
      <c r="O6" s="19">
        <f t="shared" si="3"/>
        <v>9.32</v>
      </c>
      <c r="P6" s="8">
        <v>9.3200000000000005E-2</v>
      </c>
      <c r="Q6" s="19">
        <f t="shared" si="4"/>
        <v>23.787319166666702</v>
      </c>
      <c r="R6" s="12">
        <v>23787.319166666701</v>
      </c>
      <c r="S6" s="4">
        <f t="shared" si="5"/>
        <v>3.044522437723423</v>
      </c>
      <c r="T6" s="13">
        <v>2003</v>
      </c>
      <c r="U6" s="14">
        <v>139.74</v>
      </c>
      <c r="V6" s="14">
        <v>183.07</v>
      </c>
      <c r="W6" s="4">
        <f t="shared" si="15"/>
        <v>18.15720751816248</v>
      </c>
      <c r="X6" s="18">
        <f t="shared" si="6"/>
        <v>1.2329473360178791</v>
      </c>
      <c r="Y6" s="18">
        <f t="shared" si="7"/>
        <v>0.56329251420665682</v>
      </c>
      <c r="Z6" s="18">
        <f t="shared" si="8"/>
        <v>1.1888225121442746</v>
      </c>
      <c r="AA6" s="12">
        <f t="shared" si="9"/>
        <v>1.560044840217254</v>
      </c>
      <c r="AB6">
        <f t="shared" si="10"/>
        <v>6.8622039783002595</v>
      </c>
      <c r="AC6" s="18">
        <f t="shared" si="0"/>
        <v>0.14320767445317234</v>
      </c>
      <c r="AD6" s="18">
        <f t="shared" si="11"/>
        <v>5.875968224452377</v>
      </c>
      <c r="AE6" s="12">
        <v>1117.7739999999999</v>
      </c>
      <c r="AF6" s="12">
        <v>1174.0219999999999</v>
      </c>
      <c r="AG6" s="8">
        <f t="shared" si="12"/>
        <v>-4.7910516157278184E-2</v>
      </c>
      <c r="AH6">
        <f t="shared" si="13"/>
        <v>7.9620891472083279</v>
      </c>
      <c r="AI6">
        <f t="shared" si="14"/>
        <v>14.307132459970887</v>
      </c>
    </row>
    <row r="7" spans="1:38" x14ac:dyDescent="0.3">
      <c r="A7" t="s">
        <v>32</v>
      </c>
      <c r="B7" s="11">
        <v>2023</v>
      </c>
      <c r="C7" s="12">
        <v>74.989999999999995</v>
      </c>
      <c r="D7" s="12">
        <v>1945.3869999999999</v>
      </c>
      <c r="E7" s="12">
        <v>558.40499999999997</v>
      </c>
      <c r="F7" s="12">
        <v>156.62299999999999</v>
      </c>
      <c r="G7" s="12">
        <v>2503.7919999999999</v>
      </c>
      <c r="H7" s="12">
        <v>1585.5409999999999</v>
      </c>
      <c r="I7" s="12">
        <v>918.25099999999998</v>
      </c>
      <c r="J7" s="12">
        <v>1472.93</v>
      </c>
      <c r="K7" s="4">
        <f t="shared" si="1"/>
        <v>3.2528928266766206</v>
      </c>
      <c r="L7" s="5">
        <v>3.2528928266766205E-2</v>
      </c>
      <c r="M7" s="19">
        <f t="shared" si="2"/>
        <v>5.0464307361874887</v>
      </c>
      <c r="N7" s="5">
        <v>5.0464307361874884E-2</v>
      </c>
      <c r="O7" s="19">
        <f t="shared" si="3"/>
        <v>9.32</v>
      </c>
      <c r="P7" s="8">
        <v>9.3200000000000005E-2</v>
      </c>
      <c r="Q7" s="19">
        <f t="shared" si="4"/>
        <v>23.787319166666702</v>
      </c>
      <c r="R7" s="12">
        <v>23787.319166666701</v>
      </c>
      <c r="S7" s="4">
        <f t="shared" si="5"/>
        <v>2.8903717578961645</v>
      </c>
      <c r="T7" s="13">
        <v>2006</v>
      </c>
      <c r="U7" s="14">
        <v>139.74</v>
      </c>
      <c r="V7" s="14">
        <v>183.07</v>
      </c>
      <c r="W7" s="4">
        <f t="shared" si="15"/>
        <v>18.15720751816248</v>
      </c>
      <c r="X7" s="18">
        <f t="shared" si="6"/>
        <v>8.1666123968283184</v>
      </c>
      <c r="Y7" s="18">
        <f t="shared" si="7"/>
        <v>2.995057097394672</v>
      </c>
      <c r="Z7" s="18">
        <f t="shared" si="8"/>
        <v>1.7266967310680847</v>
      </c>
      <c r="AA7" s="12">
        <f t="shared" si="9"/>
        <v>1.3207599818049736</v>
      </c>
      <c r="AB7">
        <f t="shared" si="10"/>
        <v>7.2208632543022437</v>
      </c>
      <c r="AC7" s="18">
        <f t="shared" si="0"/>
        <v>6.2554317611047558E-2</v>
      </c>
      <c r="AD7" s="18">
        <f t="shared" si="11"/>
        <v>5.875968224452377</v>
      </c>
      <c r="AE7" s="12">
        <v>1641.8489999999999</v>
      </c>
      <c r="AF7" s="12">
        <v>1692.604</v>
      </c>
      <c r="AG7" s="8">
        <f t="shared" si="12"/>
        <v>-2.9986340573459655E-2</v>
      </c>
      <c r="AH7">
        <f t="shared" si="13"/>
        <v>3.4351272748940618</v>
      </c>
      <c r="AI7">
        <f t="shared" si="14"/>
        <v>11.405352346312178</v>
      </c>
    </row>
    <row r="8" spans="1:38" s="2" customFormat="1" x14ac:dyDescent="0.3">
      <c r="A8" s="2" t="s">
        <v>33</v>
      </c>
      <c r="B8" s="3">
        <v>2023</v>
      </c>
      <c r="C8" s="4">
        <v>-220.86600000000001</v>
      </c>
      <c r="D8" s="4">
        <v>344.928</v>
      </c>
      <c r="E8" s="4">
        <v>892.15099999999995</v>
      </c>
      <c r="F8" s="4">
        <v>445.98200000000003</v>
      </c>
      <c r="G8" s="4">
        <v>1237.08</v>
      </c>
      <c r="H8" s="4">
        <v>1215.2529999999999</v>
      </c>
      <c r="I8" s="4">
        <v>21.827000000000002</v>
      </c>
      <c r="J8" s="4">
        <v>1182.33</v>
      </c>
      <c r="K8" s="4">
        <f t="shared" si="1"/>
        <v>3.2528928266766206</v>
      </c>
      <c r="L8" s="5">
        <v>3.2528928266766205E-2</v>
      </c>
      <c r="M8" s="19">
        <f t="shared" si="2"/>
        <v>5.0464307361874887</v>
      </c>
      <c r="N8" s="5">
        <v>5.0464307361874884E-2</v>
      </c>
      <c r="O8" s="19">
        <f t="shared" si="3"/>
        <v>9.32</v>
      </c>
      <c r="P8" s="5">
        <v>9.3200000000000005E-2</v>
      </c>
      <c r="Q8" s="19">
        <f t="shared" si="4"/>
        <v>23.787319166666702</v>
      </c>
      <c r="R8" s="4">
        <v>23787.319166666701</v>
      </c>
      <c r="S8" s="4">
        <f t="shared" si="5"/>
        <v>3.8712010109078911</v>
      </c>
      <c r="T8" s="6">
        <v>1976</v>
      </c>
      <c r="U8" s="7">
        <v>139.74</v>
      </c>
      <c r="V8" s="7">
        <v>183.07</v>
      </c>
      <c r="W8" s="4">
        <f t="shared" si="15"/>
        <v>18.15720751816248</v>
      </c>
      <c r="X8" s="19">
        <f t="shared" si="6"/>
        <v>-1011.893526366427</v>
      </c>
      <c r="Y8" s="19">
        <f t="shared" si="7"/>
        <v>-17.853817053060432</v>
      </c>
      <c r="Z8" s="19">
        <f t="shared" si="8"/>
        <v>55.676593210244185</v>
      </c>
      <c r="AA8" s="4">
        <f t="shared" si="9"/>
        <v>0.29173580979929464</v>
      </c>
      <c r="AB8" s="2">
        <f t="shared" si="10"/>
        <v>6.5158106355214613</v>
      </c>
      <c r="AC8" s="18">
        <f t="shared" si="0"/>
        <v>0.36051185048662987</v>
      </c>
      <c r="AD8" s="18">
        <f t="shared" si="11"/>
        <v>5.875968224452377</v>
      </c>
      <c r="AE8" s="4">
        <v>788.77200000000005</v>
      </c>
      <c r="AF8" s="4">
        <v>3432.5770000000002</v>
      </c>
      <c r="AG8" s="5">
        <f t="shared" si="12"/>
        <v>-0.77020996178672763</v>
      </c>
      <c r="AH8">
        <f t="shared" si="13"/>
        <v>-14.738306388098676</v>
      </c>
      <c r="AI8">
        <f t="shared" si="14"/>
        <v>-79.785146551694623</v>
      </c>
    </row>
    <row r="9" spans="1:38" x14ac:dyDescent="0.3">
      <c r="A9" t="s">
        <v>34</v>
      </c>
      <c r="B9" s="11">
        <v>2023</v>
      </c>
      <c r="C9" s="12">
        <v>39.192</v>
      </c>
      <c r="D9" s="12">
        <v>2950.6039999999998</v>
      </c>
      <c r="E9" s="12">
        <v>2162.0659999999998</v>
      </c>
      <c r="F9" s="12">
        <v>1031.788</v>
      </c>
      <c r="G9" s="12">
        <v>5112.67</v>
      </c>
      <c r="H9" s="12">
        <v>2264.8029999999999</v>
      </c>
      <c r="I9" s="12">
        <v>2847.8670000000002</v>
      </c>
      <c r="J9" s="12">
        <v>2103.11</v>
      </c>
      <c r="K9" s="4">
        <f t="shared" si="1"/>
        <v>3.2528928266766206</v>
      </c>
      <c r="L9" s="5">
        <v>3.2528928266766205E-2</v>
      </c>
      <c r="M9" s="19">
        <f t="shared" si="2"/>
        <v>5.0464307361874887</v>
      </c>
      <c r="N9" s="5">
        <v>5.0464307361874884E-2</v>
      </c>
      <c r="O9" s="19">
        <f t="shared" si="3"/>
        <v>9.32</v>
      </c>
      <c r="P9" s="8">
        <v>9.3200000000000005E-2</v>
      </c>
      <c r="Q9" s="19">
        <f t="shared" si="4"/>
        <v>23.787319166666702</v>
      </c>
      <c r="R9" s="12">
        <v>23787.319166666701</v>
      </c>
      <c r="S9" s="4">
        <f t="shared" si="5"/>
        <v>3.4339872044851463</v>
      </c>
      <c r="T9" s="13">
        <v>1993</v>
      </c>
      <c r="U9" s="14">
        <v>139.74</v>
      </c>
      <c r="V9" s="14">
        <v>183.07</v>
      </c>
      <c r="W9" s="4">
        <f t="shared" si="15"/>
        <v>18.15720751816248</v>
      </c>
      <c r="X9" s="18">
        <f t="shared" si="6"/>
        <v>1.376187862705667</v>
      </c>
      <c r="Y9" s="18">
        <f t="shared" si="7"/>
        <v>0.76656619730982056</v>
      </c>
      <c r="Z9" s="18">
        <f t="shared" si="8"/>
        <v>0.79526291080306766</v>
      </c>
      <c r="AA9" s="12">
        <f t="shared" si="9"/>
        <v>1.4029717893976061</v>
      </c>
      <c r="AB9">
        <f t="shared" si="10"/>
        <v>7.9347786442571362</v>
      </c>
      <c r="AC9" s="18">
        <f t="shared" si="0"/>
        <v>0.20181001316337646</v>
      </c>
      <c r="AD9" s="18">
        <f t="shared" si="11"/>
        <v>5.875968224452377</v>
      </c>
      <c r="AE9" s="12">
        <v>4461.7870000000003</v>
      </c>
      <c r="AF9" s="12">
        <v>4934.5060000000003</v>
      </c>
      <c r="AG9" s="8">
        <f t="shared" si="12"/>
        <v>-9.5798647321535327E-2</v>
      </c>
      <c r="AH9">
        <f t="shared" si="13"/>
        <v>12.322380370517294</v>
      </c>
      <c r="AI9">
        <f t="shared" si="14"/>
        <v>23.376042561887555</v>
      </c>
    </row>
    <row r="10" spans="1:38" x14ac:dyDescent="0.3">
      <c r="A10" t="s">
        <v>35</v>
      </c>
      <c r="B10" s="11">
        <v>2023</v>
      </c>
      <c r="C10" s="12">
        <v>251.69900000000001</v>
      </c>
      <c r="D10" s="12">
        <v>11090.13</v>
      </c>
      <c r="E10" s="12">
        <v>9217.3230000000003</v>
      </c>
      <c r="F10" s="12">
        <v>6560.6469999999999</v>
      </c>
      <c r="G10" s="12">
        <v>20307.453000000001</v>
      </c>
      <c r="H10" s="12">
        <v>12481.171</v>
      </c>
      <c r="I10" s="12">
        <v>7826.2820000000002</v>
      </c>
      <c r="J10" s="12">
        <v>8203.9699999999993</v>
      </c>
      <c r="K10" s="4">
        <f t="shared" si="1"/>
        <v>3.2528928266766206</v>
      </c>
      <c r="L10" s="5">
        <v>3.2528928266766205E-2</v>
      </c>
      <c r="M10" s="19">
        <f t="shared" si="2"/>
        <v>5.0464307361874887</v>
      </c>
      <c r="N10" s="5">
        <v>5.0464307361874884E-2</v>
      </c>
      <c r="O10" s="19">
        <f t="shared" si="3"/>
        <v>9.32</v>
      </c>
      <c r="P10" s="8">
        <v>9.3200000000000005E-2</v>
      </c>
      <c r="Q10" s="19">
        <f t="shared" si="4"/>
        <v>23.787319166666702</v>
      </c>
      <c r="R10" s="12">
        <v>23787.319166666701</v>
      </c>
      <c r="S10" s="4">
        <f t="shared" si="5"/>
        <v>3.2958368660043291</v>
      </c>
      <c r="T10" s="13">
        <v>1997</v>
      </c>
      <c r="U10" s="14">
        <v>139.74</v>
      </c>
      <c r="V10" s="14">
        <v>183.07</v>
      </c>
      <c r="W10" s="4">
        <f t="shared" si="15"/>
        <v>18.15720751816248</v>
      </c>
      <c r="X10" s="18">
        <f t="shared" si="6"/>
        <v>3.2160737371845278</v>
      </c>
      <c r="Y10" s="18">
        <f t="shared" si="7"/>
        <v>1.2394414996307022</v>
      </c>
      <c r="Z10" s="18">
        <f t="shared" si="8"/>
        <v>1.5947765490688937</v>
      </c>
      <c r="AA10" s="12">
        <f t="shared" si="9"/>
        <v>1.3518004088264584</v>
      </c>
      <c r="AB10">
        <f t="shared" si="10"/>
        <v>9.3140448331317423</v>
      </c>
      <c r="AC10" s="18">
        <f t="shared" si="0"/>
        <v>0.32306596991754699</v>
      </c>
      <c r="AD10" s="18">
        <f t="shared" si="11"/>
        <v>5.875968224452377</v>
      </c>
      <c r="AE10" s="12">
        <v>11991.539000000001</v>
      </c>
      <c r="AF10" s="12">
        <v>13807.691000000001</v>
      </c>
      <c r="AG10" s="8">
        <f t="shared" si="12"/>
        <v>-0.13153191217850979</v>
      </c>
      <c r="AH10">
        <f t="shared" si="13"/>
        <v>5.0433176179095573</v>
      </c>
      <c r="AI10">
        <f t="shared" si="14"/>
        <v>12.278154926555693</v>
      </c>
    </row>
    <row r="11" spans="1:38" x14ac:dyDescent="0.3">
      <c r="A11" t="s">
        <v>36</v>
      </c>
      <c r="B11" s="11">
        <v>2023</v>
      </c>
      <c r="C11" s="12">
        <v>30.324999999999999</v>
      </c>
      <c r="D11" s="12">
        <v>3148.0120000000002</v>
      </c>
      <c r="E11" s="12">
        <v>3385.6489999999999</v>
      </c>
      <c r="F11" s="12">
        <v>1617.376</v>
      </c>
      <c r="G11" s="12">
        <v>6533.6610000000001</v>
      </c>
      <c r="H11" s="12">
        <v>4625.3389999999999</v>
      </c>
      <c r="I11" s="12">
        <v>1908.3219999999999</v>
      </c>
      <c r="J11" s="12">
        <v>3011.07</v>
      </c>
      <c r="K11" s="4">
        <f t="shared" si="1"/>
        <v>3.2528928266766206</v>
      </c>
      <c r="L11" s="5">
        <v>3.2528928266766205E-2</v>
      </c>
      <c r="M11" s="19">
        <f t="shared" si="2"/>
        <v>5.0464307361874887</v>
      </c>
      <c r="N11" s="5">
        <v>5.0464307361874884E-2</v>
      </c>
      <c r="O11" s="19">
        <f t="shared" si="3"/>
        <v>9.32</v>
      </c>
      <c r="P11" s="8">
        <v>9.3200000000000005E-2</v>
      </c>
      <c r="Q11" s="19">
        <f t="shared" si="4"/>
        <v>23.787319166666702</v>
      </c>
      <c r="R11" s="12">
        <v>23787.319166666701</v>
      </c>
      <c r="S11" s="4">
        <f t="shared" si="5"/>
        <v>1.9459101490553132</v>
      </c>
      <c r="T11" s="13">
        <v>2017</v>
      </c>
      <c r="U11" s="14">
        <v>139.74</v>
      </c>
      <c r="V11" s="14">
        <v>183.07</v>
      </c>
      <c r="W11" s="4">
        <f t="shared" si="15"/>
        <v>18.15720751816248</v>
      </c>
      <c r="X11" s="18">
        <f t="shared" si="6"/>
        <v>1.5890924068370016</v>
      </c>
      <c r="Y11" s="18">
        <f t="shared" si="7"/>
        <v>0.46413488547997822</v>
      </c>
      <c r="Z11" s="18">
        <f t="shared" si="8"/>
        <v>2.4237728224062818</v>
      </c>
      <c r="AA11" s="12">
        <f t="shared" si="9"/>
        <v>1.0454795139269428</v>
      </c>
      <c r="AB11">
        <f t="shared" si="10"/>
        <v>8.1800243009792695</v>
      </c>
      <c r="AC11" s="18">
        <f t="shared" si="0"/>
        <v>0.24754513587405283</v>
      </c>
      <c r="AD11" s="18">
        <f t="shared" si="11"/>
        <v>5.875968224452377</v>
      </c>
      <c r="AE11" s="12">
        <v>5204.2309999999998</v>
      </c>
      <c r="AF11" s="12">
        <v>7085.3680000000004</v>
      </c>
      <c r="AG11" s="8">
        <f t="shared" si="12"/>
        <v>-0.2654960194022386</v>
      </c>
      <c r="AH11">
        <f t="shared" si="13"/>
        <v>6.0852856444445207</v>
      </c>
      <c r="AI11">
        <f t="shared" si="14"/>
        <v>16.513701978804914</v>
      </c>
    </row>
    <row r="12" spans="1:38" x14ac:dyDescent="0.3">
      <c r="A12" t="s">
        <v>37</v>
      </c>
      <c r="B12" s="11">
        <v>2023</v>
      </c>
      <c r="C12" s="12">
        <v>96.162000000000006</v>
      </c>
      <c r="D12" s="12">
        <v>1242.22</v>
      </c>
      <c r="E12" s="12">
        <v>1085.57</v>
      </c>
      <c r="F12" s="12">
        <v>596.68299999999999</v>
      </c>
      <c r="G12" s="12">
        <v>2327.7910000000002</v>
      </c>
      <c r="H12" s="12">
        <v>915.45799999999997</v>
      </c>
      <c r="I12" s="12">
        <v>1412.3320000000001</v>
      </c>
      <c r="J12" s="12">
        <v>900.37</v>
      </c>
      <c r="K12" s="4">
        <f t="shared" si="1"/>
        <v>3.2528928266766206</v>
      </c>
      <c r="L12" s="5">
        <v>3.2528928266766205E-2</v>
      </c>
      <c r="M12" s="19">
        <f t="shared" si="2"/>
        <v>5.0464307361874887</v>
      </c>
      <c r="N12" s="5">
        <v>5.0464307361874884E-2</v>
      </c>
      <c r="O12" s="19">
        <f t="shared" si="3"/>
        <v>9.32</v>
      </c>
      <c r="P12" s="8">
        <v>9.3200000000000005E-2</v>
      </c>
      <c r="Q12" s="19">
        <f t="shared" si="4"/>
        <v>23.787319166666702</v>
      </c>
      <c r="R12" s="12">
        <v>23787.319166666701</v>
      </c>
      <c r="S12" s="4">
        <f t="shared" si="5"/>
        <v>3.2188758248682006</v>
      </c>
      <c r="T12" s="13">
        <v>1999</v>
      </c>
      <c r="U12" s="14">
        <v>139.74</v>
      </c>
      <c r="V12" s="14">
        <v>183.07</v>
      </c>
      <c r="W12" s="4">
        <f t="shared" si="15"/>
        <v>18.15720751816248</v>
      </c>
      <c r="X12" s="18">
        <f t="shared" si="6"/>
        <v>6.8087390217031123</v>
      </c>
      <c r="Y12" s="18">
        <f t="shared" si="7"/>
        <v>4.1310409740393359</v>
      </c>
      <c r="Z12" s="18">
        <f t="shared" si="8"/>
        <v>0.64818895273915755</v>
      </c>
      <c r="AA12" s="12">
        <f t="shared" si="9"/>
        <v>1.3796772437997713</v>
      </c>
      <c r="AB12">
        <f t="shared" si="10"/>
        <v>7.1479766208140312</v>
      </c>
      <c r="AC12" s="18">
        <f t="shared" si="0"/>
        <v>0.25633014304119223</v>
      </c>
      <c r="AD12" s="18">
        <f t="shared" si="11"/>
        <v>5.875968224452377</v>
      </c>
      <c r="AE12" s="12">
        <v>1510.7149999999999</v>
      </c>
      <c r="AF12" s="12">
        <v>1618.7760000000001</v>
      </c>
      <c r="AG12" s="8">
        <f t="shared" si="12"/>
        <v>-6.6754757915857499E-2</v>
      </c>
      <c r="AH12">
        <f t="shared" si="13"/>
        <v>10.425815698197882</v>
      </c>
      <c r="AI12">
        <f t="shared" si="14"/>
        <v>14.150519210075984</v>
      </c>
    </row>
    <row r="13" spans="1:38" x14ac:dyDescent="0.3">
      <c r="A13" t="s">
        <v>38</v>
      </c>
      <c r="B13" s="11">
        <v>2023</v>
      </c>
      <c r="C13" s="12">
        <v>354.685</v>
      </c>
      <c r="D13" s="12">
        <v>5135.8710000000001</v>
      </c>
      <c r="E13" s="12">
        <v>2014.11</v>
      </c>
      <c r="F13" s="12">
        <v>1527.171</v>
      </c>
      <c r="G13" s="12">
        <v>7149.9809999999998</v>
      </c>
      <c r="H13" s="12">
        <v>1842.472</v>
      </c>
      <c r="I13" s="12">
        <v>5307.509</v>
      </c>
      <c r="J13" s="12">
        <v>1726.34</v>
      </c>
      <c r="K13" s="4">
        <f t="shared" si="1"/>
        <v>3.2528928266766206</v>
      </c>
      <c r="L13" s="5">
        <v>3.2528928266766205E-2</v>
      </c>
      <c r="M13" s="19">
        <f t="shared" si="2"/>
        <v>5.0464307361874887</v>
      </c>
      <c r="N13" s="5">
        <v>5.0464307361874884E-2</v>
      </c>
      <c r="O13" s="19">
        <f t="shared" si="3"/>
        <v>9.32</v>
      </c>
      <c r="P13" s="8">
        <v>9.3200000000000005E-2</v>
      </c>
      <c r="Q13" s="19">
        <f t="shared" si="4"/>
        <v>23.787319166666702</v>
      </c>
      <c r="R13" s="12">
        <v>23787.319166666701</v>
      </c>
      <c r="S13" s="4">
        <f t="shared" si="5"/>
        <v>4.8978397999509111</v>
      </c>
      <c r="T13" s="13">
        <v>1890</v>
      </c>
      <c r="U13" s="14">
        <v>139.74</v>
      </c>
      <c r="V13" s="14">
        <v>183.07</v>
      </c>
      <c r="W13" s="4">
        <f t="shared" si="15"/>
        <v>18.15720751816248</v>
      </c>
      <c r="X13" s="18">
        <f t="shared" si="6"/>
        <v>6.6827018098320696</v>
      </c>
      <c r="Y13" s="18">
        <f t="shared" si="7"/>
        <v>4.9606425527564344</v>
      </c>
      <c r="Z13" s="18">
        <f t="shared" si="8"/>
        <v>0.34714439485641946</v>
      </c>
      <c r="AA13" s="12">
        <f t="shared" si="9"/>
        <v>2.9750055029716047</v>
      </c>
      <c r="AB13">
        <f t="shared" si="10"/>
        <v>8.2701665709670333</v>
      </c>
      <c r="AC13" s="18">
        <f t="shared" si="0"/>
        <v>0.21359091723460524</v>
      </c>
      <c r="AD13" s="18">
        <f t="shared" si="11"/>
        <v>5.875968224452377</v>
      </c>
      <c r="AE13" s="12">
        <v>7900.9639999999999</v>
      </c>
      <c r="AF13" s="12">
        <v>8525.4359999999997</v>
      </c>
      <c r="AG13" s="8">
        <f t="shared" si="12"/>
        <v>-7.3248101328776585E-2</v>
      </c>
      <c r="AH13">
        <f t="shared" si="13"/>
        <v>6.9508727698945059</v>
      </c>
      <c r="AI13">
        <f t="shared" si="14"/>
        <v>9.4775293490696164</v>
      </c>
    </row>
    <row r="14" spans="1:38" x14ac:dyDescent="0.3">
      <c r="A14" t="s">
        <v>39</v>
      </c>
      <c r="B14" s="11">
        <v>2023</v>
      </c>
      <c r="C14" s="12">
        <v>10.77</v>
      </c>
      <c r="D14" s="12">
        <v>667.91499999999996</v>
      </c>
      <c r="E14" s="12">
        <v>247.50299999999999</v>
      </c>
      <c r="F14" s="12">
        <v>56.49</v>
      </c>
      <c r="G14" s="12">
        <v>915.41800000000001</v>
      </c>
      <c r="H14" s="12">
        <v>33.536999999999999</v>
      </c>
      <c r="I14" s="12">
        <v>881.88099999999997</v>
      </c>
      <c r="J14" s="12">
        <v>31.85</v>
      </c>
      <c r="K14" s="4">
        <f t="shared" si="1"/>
        <v>3.2528928266766206</v>
      </c>
      <c r="L14" s="5">
        <v>3.2528928266766205E-2</v>
      </c>
      <c r="M14" s="19">
        <f t="shared" si="2"/>
        <v>5.0464307361874887</v>
      </c>
      <c r="N14" s="5">
        <v>5.0464307361874884E-2</v>
      </c>
      <c r="O14" s="19">
        <f t="shared" si="3"/>
        <v>9.32</v>
      </c>
      <c r="P14" s="8">
        <v>9.3200000000000005E-2</v>
      </c>
      <c r="Q14" s="19">
        <f t="shared" si="4"/>
        <v>23.787319166666702</v>
      </c>
      <c r="R14" s="12">
        <v>23787.319166666701</v>
      </c>
      <c r="S14" s="4">
        <f t="shared" si="5"/>
        <v>2.1972245773362196</v>
      </c>
      <c r="T14" s="13">
        <v>2015</v>
      </c>
      <c r="U14" s="14">
        <v>139.74</v>
      </c>
      <c r="V14" s="14">
        <v>183.07</v>
      </c>
      <c r="W14" s="4">
        <f t="shared" si="15"/>
        <v>18.15720751816248</v>
      </c>
      <c r="X14" s="18">
        <f t="shared" si="6"/>
        <v>1.2212532076323221</v>
      </c>
      <c r="Y14" s="18">
        <f t="shared" si="7"/>
        <v>1.1765117137744725</v>
      </c>
      <c r="Z14" s="18">
        <f t="shared" si="8"/>
        <v>3.8028940412595351E-2</v>
      </c>
      <c r="AA14" s="12">
        <f t="shared" si="9"/>
        <v>20.970643642072211</v>
      </c>
      <c r="AB14">
        <f t="shared" si="10"/>
        <v>6.2146823841864514</v>
      </c>
      <c r="AC14" s="18">
        <f t="shared" si="0"/>
        <v>6.1709514123602552E-2</v>
      </c>
      <c r="AD14" s="18">
        <f t="shared" si="11"/>
        <v>5.875968224452377</v>
      </c>
      <c r="AE14" s="12">
        <v>186.17400000000001</v>
      </c>
      <c r="AF14" s="12">
        <v>386.24400000000003</v>
      </c>
      <c r="AG14" s="8">
        <f t="shared" si="12"/>
        <v>-0.51798862894957598</v>
      </c>
      <c r="AH14">
        <f t="shared" si="13"/>
        <v>2.8496747865448611</v>
      </c>
      <c r="AI14">
        <f t="shared" si="14"/>
        <v>3.0226388072855466</v>
      </c>
    </row>
    <row r="15" spans="1:38" x14ac:dyDescent="0.3">
      <c r="A15" t="s">
        <v>40</v>
      </c>
      <c r="B15" s="11">
        <v>2023</v>
      </c>
      <c r="C15" s="12">
        <v>140.36500000000001</v>
      </c>
      <c r="D15" s="12">
        <v>1452.789</v>
      </c>
      <c r="E15" s="12">
        <v>114.004</v>
      </c>
      <c r="F15" s="12">
        <v>24.861999999999998</v>
      </c>
      <c r="G15" s="12">
        <v>1566.7929999999999</v>
      </c>
      <c r="H15" s="12">
        <v>691.19600000000003</v>
      </c>
      <c r="I15" s="12">
        <v>875.59699999999998</v>
      </c>
      <c r="J15" s="12">
        <v>690.69</v>
      </c>
      <c r="K15" s="4">
        <f t="shared" si="1"/>
        <v>3.2528928266766206</v>
      </c>
      <c r="L15" s="5">
        <v>3.2528928266766205E-2</v>
      </c>
      <c r="M15" s="19">
        <f t="shared" si="2"/>
        <v>5.0464307361874887</v>
      </c>
      <c r="N15" s="5">
        <v>5.0464307361874884E-2</v>
      </c>
      <c r="O15" s="19">
        <f t="shared" si="3"/>
        <v>9.32</v>
      </c>
      <c r="P15" s="8">
        <v>9.3200000000000005E-2</v>
      </c>
      <c r="Q15" s="19">
        <f t="shared" si="4"/>
        <v>23.787319166666702</v>
      </c>
      <c r="R15" s="12">
        <v>23787.319166666701</v>
      </c>
      <c r="S15" s="4">
        <f t="shared" si="5"/>
        <v>3.4657359027997265</v>
      </c>
      <c r="T15" s="13">
        <v>1992</v>
      </c>
      <c r="U15" s="14">
        <v>139.74</v>
      </c>
      <c r="V15" s="14">
        <v>183.07</v>
      </c>
      <c r="W15" s="4">
        <f t="shared" si="15"/>
        <v>18.15720751816248</v>
      </c>
      <c r="X15" s="18">
        <f t="shared" si="6"/>
        <v>16.030776715772209</v>
      </c>
      <c r="Y15" s="18">
        <f t="shared" si="7"/>
        <v>8.9587456671047168</v>
      </c>
      <c r="Z15" s="18">
        <f t="shared" si="8"/>
        <v>0.7893996895832216</v>
      </c>
      <c r="AA15" s="12">
        <f t="shared" si="9"/>
        <v>2.1033879164313944</v>
      </c>
      <c r="AB15">
        <f t="shared" si="10"/>
        <v>6.7520877267019879</v>
      </c>
      <c r="AC15" s="18">
        <f t="shared" si="0"/>
        <v>1.5868082126994441E-2</v>
      </c>
      <c r="AD15" s="18">
        <f t="shared" si="11"/>
        <v>5.875968224452377</v>
      </c>
      <c r="AE15" s="12">
        <v>2970.9119999999998</v>
      </c>
      <c r="AF15" s="12">
        <v>2304.8690000000001</v>
      </c>
      <c r="AG15" s="8">
        <f t="shared" si="12"/>
        <v>0.28897217152037691</v>
      </c>
      <c r="AH15">
        <f t="shared" si="13"/>
        <v>10.139966919666481</v>
      </c>
      <c r="AI15">
        <f t="shared" si="14"/>
        <v>16.687637603206117</v>
      </c>
    </row>
    <row r="16" spans="1:38" x14ac:dyDescent="0.3">
      <c r="A16" t="s">
        <v>41</v>
      </c>
      <c r="B16" s="11">
        <v>2023</v>
      </c>
      <c r="C16" s="12">
        <v>66.951999999999998</v>
      </c>
      <c r="D16" s="12">
        <v>2104.402</v>
      </c>
      <c r="E16" s="12">
        <v>1321.36</v>
      </c>
      <c r="F16" s="12">
        <v>485.94499999999999</v>
      </c>
      <c r="G16" s="12">
        <v>3425.7620000000002</v>
      </c>
      <c r="H16" s="12">
        <v>1931.5889999999999</v>
      </c>
      <c r="I16" s="12">
        <v>1494.173</v>
      </c>
      <c r="J16" s="12">
        <v>1575.22</v>
      </c>
      <c r="K16" s="4">
        <f t="shared" si="1"/>
        <v>3.2528928266766206</v>
      </c>
      <c r="L16" s="5">
        <v>3.2528928266766205E-2</v>
      </c>
      <c r="M16" s="19">
        <f t="shared" si="2"/>
        <v>5.0464307361874887</v>
      </c>
      <c r="N16" s="5">
        <v>5.0464307361874884E-2</v>
      </c>
      <c r="O16" s="19">
        <f t="shared" si="3"/>
        <v>9.32</v>
      </c>
      <c r="P16" s="8">
        <v>9.3200000000000005E-2</v>
      </c>
      <c r="Q16" s="19">
        <f t="shared" si="4"/>
        <v>23.787319166666702</v>
      </c>
      <c r="R16" s="12">
        <v>23787.319166666701</v>
      </c>
      <c r="S16" s="4">
        <f t="shared" si="5"/>
        <v>3.8501476017100584</v>
      </c>
      <c r="T16" s="13">
        <v>1977</v>
      </c>
      <c r="U16" s="14">
        <v>139.74</v>
      </c>
      <c r="V16" s="14">
        <v>183.07</v>
      </c>
      <c r="W16" s="4">
        <f t="shared" si="15"/>
        <v>18.15720751816248</v>
      </c>
      <c r="X16" s="18">
        <f t="shared" si="6"/>
        <v>4.4808733660693907</v>
      </c>
      <c r="Y16" s="18">
        <f t="shared" si="7"/>
        <v>1.9543681084675464</v>
      </c>
      <c r="Z16" s="18">
        <f t="shared" si="8"/>
        <v>1.2927478946547688</v>
      </c>
      <c r="AA16" s="12">
        <f t="shared" si="9"/>
        <v>1.3359416462462386</v>
      </c>
      <c r="AB16">
        <f t="shared" si="10"/>
        <v>7.5343808003279236</v>
      </c>
      <c r="AC16" s="18">
        <f t="shared" si="0"/>
        <v>0.14185019274543881</v>
      </c>
      <c r="AD16" s="18">
        <f t="shared" si="11"/>
        <v>5.875968224452377</v>
      </c>
      <c r="AE16" s="12">
        <v>2047.752</v>
      </c>
      <c r="AF16" s="12">
        <v>2923.6410000000001</v>
      </c>
      <c r="AG16" s="8">
        <f t="shared" si="12"/>
        <v>-0.2995884241601483</v>
      </c>
      <c r="AH16">
        <f t="shared" si="13"/>
        <v>3.1186685664399016</v>
      </c>
      <c r="AI16">
        <f t="shared" si="14"/>
        <v>6.5143901652270531</v>
      </c>
    </row>
    <row r="17" spans="1:35" x14ac:dyDescent="0.3">
      <c r="A17" t="s">
        <v>42</v>
      </c>
      <c r="B17" s="11">
        <v>2023</v>
      </c>
      <c r="C17" s="12">
        <v>60.375</v>
      </c>
      <c r="D17" s="12">
        <v>2862.5540000000001</v>
      </c>
      <c r="E17" s="12">
        <v>1021.747</v>
      </c>
      <c r="F17" s="12">
        <v>946.697</v>
      </c>
      <c r="G17" s="12">
        <v>3884.3009999999999</v>
      </c>
      <c r="H17" s="12">
        <v>2560.1</v>
      </c>
      <c r="I17" s="12">
        <v>1324.2</v>
      </c>
      <c r="J17" s="12">
        <v>2458.35</v>
      </c>
      <c r="K17" s="4">
        <f t="shared" si="1"/>
        <v>3.2528928266766206</v>
      </c>
      <c r="L17" s="5">
        <v>3.2528928266766205E-2</v>
      </c>
      <c r="M17" s="19">
        <f t="shared" si="2"/>
        <v>5.0464307361874887</v>
      </c>
      <c r="N17" s="5">
        <v>5.0464307361874884E-2</v>
      </c>
      <c r="O17" s="19">
        <f t="shared" si="3"/>
        <v>9.32</v>
      </c>
      <c r="P17" s="8">
        <v>9.3200000000000005E-2</v>
      </c>
      <c r="Q17" s="19">
        <f t="shared" si="4"/>
        <v>23.787319166666702</v>
      </c>
      <c r="R17" s="12">
        <v>23787.319166666701</v>
      </c>
      <c r="S17" s="4">
        <f t="shared" si="5"/>
        <v>3.8712010109078911</v>
      </c>
      <c r="T17" s="13">
        <v>1976</v>
      </c>
      <c r="U17" s="14">
        <v>139.74</v>
      </c>
      <c r="V17" s="14">
        <v>183.07</v>
      </c>
      <c r="W17" s="4">
        <f t="shared" si="15"/>
        <v>18.15720751816248</v>
      </c>
      <c r="X17" s="18">
        <f t="shared" si="6"/>
        <v>4.5593565926597188</v>
      </c>
      <c r="Y17" s="18">
        <f t="shared" si="7"/>
        <v>1.5543337140968221</v>
      </c>
      <c r="Z17" s="18">
        <f t="shared" si="8"/>
        <v>1.9333182298746412</v>
      </c>
      <c r="AA17" s="12">
        <f t="shared" si="9"/>
        <v>1.1644208513840586</v>
      </c>
      <c r="AB17">
        <f t="shared" si="10"/>
        <v>7.6599999164589478</v>
      </c>
      <c r="AC17" s="18">
        <f t="shared" si="0"/>
        <v>0.24372390296220608</v>
      </c>
      <c r="AD17" s="18">
        <f t="shared" si="11"/>
        <v>5.875968224452377</v>
      </c>
      <c r="AE17" s="12">
        <v>5497.5609999999997</v>
      </c>
      <c r="AF17" s="12">
        <v>5559.7820000000002</v>
      </c>
      <c r="AG17" s="8">
        <f t="shared" si="12"/>
        <v>-1.1191266132377215E-2</v>
      </c>
      <c r="AH17">
        <f t="shared" si="13"/>
        <v>1.8834570934036305</v>
      </c>
      <c r="AI17">
        <f t="shared" si="14"/>
        <v>6.0844422383309489</v>
      </c>
    </row>
    <row r="18" spans="1:35" x14ac:dyDescent="0.3">
      <c r="A18" t="s">
        <v>43</v>
      </c>
      <c r="B18" s="11">
        <v>2023</v>
      </c>
      <c r="C18" s="12">
        <v>44.046999999999997</v>
      </c>
      <c r="D18" s="12">
        <v>2591.9929999999999</v>
      </c>
      <c r="E18" s="12">
        <v>1065.463</v>
      </c>
      <c r="F18" s="12">
        <v>189.833</v>
      </c>
      <c r="G18" s="12">
        <v>3657.4569999999999</v>
      </c>
      <c r="H18" s="12">
        <v>2582.799</v>
      </c>
      <c r="I18" s="12">
        <v>1074.6579999999999</v>
      </c>
      <c r="J18" s="12">
        <v>2220.3000000000002</v>
      </c>
      <c r="K18" s="4">
        <f t="shared" si="1"/>
        <v>3.2528928266766206</v>
      </c>
      <c r="L18" s="5">
        <v>3.2528928266766205E-2</v>
      </c>
      <c r="M18" s="19">
        <f t="shared" si="2"/>
        <v>5.0464307361874887</v>
      </c>
      <c r="N18" s="5">
        <v>5.0464307361874884E-2</v>
      </c>
      <c r="O18" s="19">
        <f t="shared" si="3"/>
        <v>9.32</v>
      </c>
      <c r="P18" s="8">
        <v>9.3200000000000005E-2</v>
      </c>
      <c r="Q18" s="19">
        <f t="shared" si="4"/>
        <v>23.787319166666702</v>
      </c>
      <c r="R18" s="12">
        <v>23787.319166666701</v>
      </c>
      <c r="S18" s="4">
        <f t="shared" si="5"/>
        <v>2.7080502011022101</v>
      </c>
      <c r="T18" s="13">
        <v>2009</v>
      </c>
      <c r="U18" s="14">
        <v>139.74</v>
      </c>
      <c r="V18" s="14">
        <v>183.07</v>
      </c>
      <c r="W18" s="4">
        <f t="shared" si="15"/>
        <v>18.15720751816248</v>
      </c>
      <c r="X18" s="18">
        <f t="shared" si="6"/>
        <v>4.0986993071284079</v>
      </c>
      <c r="Y18" s="18">
        <f t="shared" si="7"/>
        <v>1.2043067081854961</v>
      </c>
      <c r="Z18" s="18">
        <f t="shared" si="8"/>
        <v>2.4033683274120698</v>
      </c>
      <c r="AA18" s="12">
        <f t="shared" si="9"/>
        <v>1.1674066567580956</v>
      </c>
      <c r="AB18">
        <f t="shared" si="10"/>
        <v>7.5998249687859492</v>
      </c>
      <c r="AC18" s="18">
        <f t="shared" si="0"/>
        <v>5.1903002550679339E-2</v>
      </c>
      <c r="AD18" s="18">
        <f t="shared" si="11"/>
        <v>5.875968224452377</v>
      </c>
      <c r="AE18" s="12">
        <v>7385.8779999999997</v>
      </c>
      <c r="AF18" s="12">
        <v>6367.5839999999998</v>
      </c>
      <c r="AG18" s="8">
        <f t="shared" si="12"/>
        <v>0.15991842431917661</v>
      </c>
      <c r="AH18">
        <f t="shared" si="13"/>
        <v>4.651529111535381</v>
      </c>
      <c r="AI18">
        <f t="shared" si="14"/>
        <v>12.71082415413483</v>
      </c>
    </row>
    <row r="19" spans="1:35" x14ac:dyDescent="0.3">
      <c r="A19" t="s">
        <v>44</v>
      </c>
      <c r="B19" s="11">
        <v>2023</v>
      </c>
      <c r="C19" s="12">
        <v>75.313999999999993</v>
      </c>
      <c r="D19" s="12">
        <v>1131.857</v>
      </c>
      <c r="E19" s="12">
        <v>530.74300000000005</v>
      </c>
      <c r="F19" s="12">
        <v>238.102</v>
      </c>
      <c r="G19" s="12">
        <v>1662.6</v>
      </c>
      <c r="H19" s="12">
        <v>820.86199999999997</v>
      </c>
      <c r="I19" s="12">
        <v>841.73800000000006</v>
      </c>
      <c r="J19" s="12">
        <v>795.84</v>
      </c>
      <c r="K19" s="4">
        <f t="shared" si="1"/>
        <v>3.2528928266766206</v>
      </c>
      <c r="L19" s="5">
        <v>3.2528928266766205E-2</v>
      </c>
      <c r="M19" s="19">
        <f t="shared" si="2"/>
        <v>5.0464307361874887</v>
      </c>
      <c r="N19" s="5">
        <v>5.0464307361874884E-2</v>
      </c>
      <c r="O19" s="19">
        <f t="shared" si="3"/>
        <v>9.32</v>
      </c>
      <c r="P19" s="8">
        <v>9.3200000000000005E-2</v>
      </c>
      <c r="Q19" s="19">
        <f t="shared" si="4"/>
        <v>23.787319166666702</v>
      </c>
      <c r="R19" s="12">
        <v>23787.319166666701</v>
      </c>
      <c r="S19" s="4">
        <f t="shared" si="5"/>
        <v>2.7725887222397811</v>
      </c>
      <c r="T19" s="13">
        <v>2008</v>
      </c>
      <c r="U19" s="14">
        <v>139.74</v>
      </c>
      <c r="V19" s="14">
        <v>183.07</v>
      </c>
      <c r="W19" s="4">
        <f t="shared" si="15"/>
        <v>18.15720751816248</v>
      </c>
      <c r="X19" s="18">
        <f t="shared" si="6"/>
        <v>8.9474397021400947</v>
      </c>
      <c r="Y19" s="18">
        <f t="shared" si="7"/>
        <v>4.5298929387706002</v>
      </c>
      <c r="Z19" s="18">
        <f t="shared" si="8"/>
        <v>0.97519893363493138</v>
      </c>
      <c r="AA19" s="12">
        <f t="shared" si="9"/>
        <v>1.4222167772416565</v>
      </c>
      <c r="AB19">
        <f t="shared" si="10"/>
        <v>6.8114395137221555</v>
      </c>
      <c r="AC19" s="18">
        <f t="shared" si="0"/>
        <v>0.14321063394683028</v>
      </c>
      <c r="AD19" s="18">
        <f t="shared" si="11"/>
        <v>5.875968224452377</v>
      </c>
      <c r="AE19" s="12">
        <v>2939.7359999999999</v>
      </c>
      <c r="AF19" s="12">
        <v>2999.7350000000001</v>
      </c>
      <c r="AG19" s="8">
        <f t="shared" si="12"/>
        <v>-2.0001433459955711E-2</v>
      </c>
      <c r="AH19">
        <f t="shared" si="13"/>
        <v>4.5701286726948238</v>
      </c>
      <c r="AI19">
        <f t="shared" si="14"/>
        <v>10.452803891988955</v>
      </c>
    </row>
    <row r="20" spans="1:35" x14ac:dyDescent="0.3">
      <c r="A20" t="s">
        <v>45</v>
      </c>
      <c r="B20" s="11">
        <v>2023</v>
      </c>
      <c r="C20" s="12">
        <v>25.007000000000001</v>
      </c>
      <c r="D20" s="12">
        <v>7101.241</v>
      </c>
      <c r="E20" s="12">
        <v>5910.4639999999999</v>
      </c>
      <c r="F20" s="12">
        <v>5148.4290000000001</v>
      </c>
      <c r="G20" s="12">
        <v>13011.704</v>
      </c>
      <c r="H20" s="12">
        <v>8345.4689999999991</v>
      </c>
      <c r="I20" s="12">
        <v>4666.2349999999997</v>
      </c>
      <c r="J20" s="12">
        <v>7141.61</v>
      </c>
      <c r="K20" s="4">
        <f t="shared" si="1"/>
        <v>3.2528928266766206</v>
      </c>
      <c r="L20" s="5">
        <v>3.2528928266766205E-2</v>
      </c>
      <c r="M20" s="19">
        <f t="shared" si="2"/>
        <v>5.0464307361874887</v>
      </c>
      <c r="N20" s="5">
        <v>5.0464307361874884E-2</v>
      </c>
      <c r="O20" s="19">
        <f t="shared" si="3"/>
        <v>9.32</v>
      </c>
      <c r="P20" s="8">
        <v>9.3200000000000005E-2</v>
      </c>
      <c r="Q20" s="19">
        <f t="shared" si="4"/>
        <v>23.787319166666702</v>
      </c>
      <c r="R20" s="12">
        <v>23787.319166666701</v>
      </c>
      <c r="S20" s="4">
        <f t="shared" si="5"/>
        <v>3.3322045101752038</v>
      </c>
      <c r="T20" s="13">
        <v>1996</v>
      </c>
      <c r="U20" s="14">
        <v>139.74</v>
      </c>
      <c r="V20" s="14">
        <v>183.07</v>
      </c>
      <c r="W20" s="4">
        <f t="shared" si="15"/>
        <v>18.15720751816248</v>
      </c>
      <c r="X20" s="18">
        <f t="shared" si="6"/>
        <v>0.53591385774612732</v>
      </c>
      <c r="Y20" s="18">
        <f t="shared" si="7"/>
        <v>0.19218850966791129</v>
      </c>
      <c r="Z20" s="18">
        <f t="shared" si="8"/>
        <v>1.7884802201346481</v>
      </c>
      <c r="AA20" s="12">
        <f t="shared" si="9"/>
        <v>0.99434735304784216</v>
      </c>
      <c r="AB20">
        <f t="shared" si="10"/>
        <v>8.8689061317272646</v>
      </c>
      <c r="AC20" s="18">
        <f t="shared" si="0"/>
        <v>0.39567676916105687</v>
      </c>
      <c r="AD20" s="18">
        <f t="shared" si="11"/>
        <v>5.875968224452377</v>
      </c>
      <c r="AE20" s="12">
        <v>11241.164000000001</v>
      </c>
      <c r="AF20" s="12">
        <v>11687.826999999999</v>
      </c>
      <c r="AG20" s="8">
        <f t="shared" si="12"/>
        <v>-3.8216085847266448E-2</v>
      </c>
      <c r="AH20">
        <f t="shared" si="13"/>
        <v>4.0041300732597797E-2</v>
      </c>
      <c r="AI20">
        <f t="shared" si="14"/>
        <v>0.11193158362398917</v>
      </c>
    </row>
    <row r="21" spans="1:35" x14ac:dyDescent="0.3">
      <c r="A21" t="s">
        <v>46</v>
      </c>
      <c r="B21" s="11">
        <v>2023</v>
      </c>
      <c r="C21" s="12">
        <v>-33.414000000000001</v>
      </c>
      <c r="D21" s="12">
        <v>998.36400000000003</v>
      </c>
      <c r="E21" s="12">
        <v>445.69600000000003</v>
      </c>
      <c r="F21" s="12">
        <v>331.75599999999997</v>
      </c>
      <c r="G21" s="12">
        <v>1444.059</v>
      </c>
      <c r="H21" s="12">
        <v>543.51599999999996</v>
      </c>
      <c r="I21" s="12">
        <v>900.54399999999998</v>
      </c>
      <c r="J21" s="12">
        <v>533.80999999999995</v>
      </c>
      <c r="K21" s="4">
        <f t="shared" si="1"/>
        <v>3.2528928266766206</v>
      </c>
      <c r="L21" s="5">
        <v>3.2528928266766205E-2</v>
      </c>
      <c r="M21" s="19">
        <f t="shared" si="2"/>
        <v>5.0464307361874887</v>
      </c>
      <c r="N21" s="5">
        <v>5.0464307361874884E-2</v>
      </c>
      <c r="O21" s="19">
        <f t="shared" si="3"/>
        <v>9.32</v>
      </c>
      <c r="P21" s="8">
        <v>9.3200000000000005E-2</v>
      </c>
      <c r="Q21" s="19">
        <f t="shared" si="4"/>
        <v>23.787319166666702</v>
      </c>
      <c r="R21" s="12">
        <v>23787.319166666701</v>
      </c>
      <c r="S21" s="4">
        <f t="shared" si="5"/>
        <v>3.9318256327243257</v>
      </c>
      <c r="T21" s="13">
        <v>1973</v>
      </c>
      <c r="U21" s="14">
        <v>139.74</v>
      </c>
      <c r="V21" s="14">
        <v>183.07</v>
      </c>
      <c r="W21" s="4">
        <f t="shared" si="15"/>
        <v>18.15720751816248</v>
      </c>
      <c r="X21" s="18">
        <f t="shared" si="6"/>
        <v>-3.710423921540758</v>
      </c>
      <c r="Y21" s="18">
        <f t="shared" si="7"/>
        <v>-2.313894376891803</v>
      </c>
      <c r="Z21" s="18">
        <f t="shared" si="8"/>
        <v>0.60354185914291802</v>
      </c>
      <c r="AA21" s="12">
        <f t="shared" si="9"/>
        <v>1.8702609542721196</v>
      </c>
      <c r="AB21">
        <f t="shared" si="10"/>
        <v>6.6705147699690066</v>
      </c>
      <c r="AC21" s="18">
        <f t="shared" si="0"/>
        <v>0.22973853561384955</v>
      </c>
      <c r="AD21" s="18">
        <f t="shared" si="11"/>
        <v>5.875968224452377</v>
      </c>
      <c r="AE21" s="12">
        <v>871.69100000000003</v>
      </c>
      <c r="AF21" s="12">
        <v>1001.213</v>
      </c>
      <c r="AG21" s="8">
        <f t="shared" si="12"/>
        <v>-0.12936508015776857</v>
      </c>
      <c r="AH21">
        <f t="shared" si="13"/>
        <v>1.0002774246374626</v>
      </c>
      <c r="AI21">
        <f t="shared" si="14"/>
        <v>1.5905426154066886</v>
      </c>
    </row>
    <row r="22" spans="1:35" x14ac:dyDescent="0.3">
      <c r="A22" t="s">
        <v>47</v>
      </c>
      <c r="B22" s="11">
        <v>2023</v>
      </c>
      <c r="C22" s="12">
        <v>246.334</v>
      </c>
      <c r="D22" s="12">
        <v>2291.8829999999998</v>
      </c>
      <c r="E22" s="12">
        <v>1092.454</v>
      </c>
      <c r="F22" s="12">
        <v>938.83900000000006</v>
      </c>
      <c r="G22" s="12">
        <v>3384.337</v>
      </c>
      <c r="H22" s="12">
        <v>1532.9590000000001</v>
      </c>
      <c r="I22" s="12">
        <v>1851.3779999999999</v>
      </c>
      <c r="J22" s="12">
        <v>1508.14</v>
      </c>
      <c r="K22" s="4">
        <f t="shared" si="1"/>
        <v>3.2528928266766206</v>
      </c>
      <c r="L22" s="5">
        <v>3.2528928266766205E-2</v>
      </c>
      <c r="M22" s="19">
        <f t="shared" si="2"/>
        <v>5.0464307361874887</v>
      </c>
      <c r="N22" s="5">
        <v>5.0464307361874884E-2</v>
      </c>
      <c r="O22" s="19">
        <f t="shared" si="3"/>
        <v>9.32</v>
      </c>
      <c r="P22" s="8">
        <v>9.3200000000000005E-2</v>
      </c>
      <c r="Q22" s="19">
        <f t="shared" si="4"/>
        <v>23.787319166666702</v>
      </c>
      <c r="R22" s="12">
        <v>23787.319166666701</v>
      </c>
      <c r="S22" s="4">
        <f t="shared" si="5"/>
        <v>3.8918202981106265</v>
      </c>
      <c r="T22" s="13">
        <v>1975</v>
      </c>
      <c r="U22" s="14">
        <v>139.74</v>
      </c>
      <c r="V22" s="14">
        <v>183.07</v>
      </c>
      <c r="W22" s="4">
        <f t="shared" si="15"/>
        <v>18.15720751816248</v>
      </c>
      <c r="X22" s="18">
        <f t="shared" si="6"/>
        <v>13.305440596139743</v>
      </c>
      <c r="Y22" s="18">
        <f t="shared" si="7"/>
        <v>7.2786486688530134</v>
      </c>
      <c r="Z22" s="18">
        <f t="shared" si="8"/>
        <v>0.82800973113000165</v>
      </c>
      <c r="AA22" s="12">
        <f t="shared" si="9"/>
        <v>1.5196752290901372</v>
      </c>
      <c r="AB22">
        <f t="shared" si="10"/>
        <v>7.522214894681313</v>
      </c>
      <c r="AC22" s="18">
        <f t="shared" si="0"/>
        <v>0.27740706673123866</v>
      </c>
      <c r="AD22" s="18">
        <f t="shared" si="11"/>
        <v>5.875968224452377</v>
      </c>
      <c r="AE22" s="12">
        <v>4657.643</v>
      </c>
      <c r="AF22" s="12">
        <v>5139.1670000000004</v>
      </c>
      <c r="AG22" s="8">
        <f t="shared" si="12"/>
        <v>-9.3696896792807141E-2</v>
      </c>
      <c r="AH22">
        <f t="shared" si="13"/>
        <v>8.9878017987599623</v>
      </c>
      <c r="AI22">
        <f t="shared" si="14"/>
        <v>16.084980178168706</v>
      </c>
    </row>
    <row r="23" spans="1:35" x14ac:dyDescent="0.3">
      <c r="A23" t="s">
        <v>48</v>
      </c>
      <c r="B23" s="11">
        <v>2023</v>
      </c>
      <c r="C23" s="12">
        <v>18.641999999999999</v>
      </c>
      <c r="D23" s="12">
        <v>770.38499999999999</v>
      </c>
      <c r="E23" s="12">
        <v>585.48599999999999</v>
      </c>
      <c r="F23" s="12">
        <v>352.16500000000002</v>
      </c>
      <c r="G23" s="12">
        <v>1355.8710000000001</v>
      </c>
      <c r="H23" s="12">
        <v>355.9</v>
      </c>
      <c r="I23" s="12">
        <v>999.971</v>
      </c>
      <c r="J23" s="12">
        <v>233.68</v>
      </c>
      <c r="K23" s="4">
        <f t="shared" si="1"/>
        <v>3.2528928266766206</v>
      </c>
      <c r="L23" s="5">
        <v>3.2528928266766205E-2</v>
      </c>
      <c r="M23" s="19">
        <f t="shared" si="2"/>
        <v>5.0464307361874887</v>
      </c>
      <c r="N23" s="5">
        <v>5.0464307361874884E-2</v>
      </c>
      <c r="O23" s="19">
        <f t="shared" si="3"/>
        <v>9.32</v>
      </c>
      <c r="P23" s="8">
        <v>9.3200000000000005E-2</v>
      </c>
      <c r="Q23" s="19">
        <f t="shared" si="4"/>
        <v>23.787319166666702</v>
      </c>
      <c r="R23" s="12">
        <v>23787.319166666701</v>
      </c>
      <c r="S23" s="4">
        <f t="shared" si="5"/>
        <v>3.4339872044851463</v>
      </c>
      <c r="T23" s="13">
        <v>1993</v>
      </c>
      <c r="U23" s="14">
        <v>139.74</v>
      </c>
      <c r="V23" s="14">
        <v>183.07</v>
      </c>
      <c r="W23" s="4">
        <f t="shared" si="15"/>
        <v>18.15720751816248</v>
      </c>
      <c r="X23" s="18">
        <f t="shared" si="6"/>
        <v>1.8642540633678377</v>
      </c>
      <c r="Y23" s="18">
        <f t="shared" si="7"/>
        <v>1.3749095599802634</v>
      </c>
      <c r="Z23" s="18">
        <f t="shared" si="8"/>
        <v>0.35591032139932055</v>
      </c>
      <c r="AA23" s="12">
        <f t="shared" si="9"/>
        <v>3.296751968503937</v>
      </c>
      <c r="AB23">
        <f t="shared" si="10"/>
        <v>6.6075009238567395</v>
      </c>
      <c r="AC23" s="18">
        <f t="shared" si="0"/>
        <v>0.25973341121684879</v>
      </c>
      <c r="AD23" s="18">
        <f t="shared" si="11"/>
        <v>5.875968224452377</v>
      </c>
      <c r="AE23" s="12">
        <v>787.68399999999997</v>
      </c>
      <c r="AF23" s="12">
        <v>1021.675</v>
      </c>
      <c r="AG23" s="8">
        <f t="shared" si="12"/>
        <v>-0.22902684317419922</v>
      </c>
      <c r="AH23">
        <f t="shared" si="13"/>
        <v>6.3039277268062293</v>
      </c>
      <c r="AI23">
        <f t="shared" si="14"/>
        <v>8.9341639416991541</v>
      </c>
    </row>
    <row r="24" spans="1:35" x14ac:dyDescent="0.3">
      <c r="A24" t="s">
        <v>49</v>
      </c>
      <c r="B24" s="11">
        <v>2023</v>
      </c>
      <c r="C24" s="12">
        <v>302.33600000000001</v>
      </c>
      <c r="D24" s="12">
        <v>2127.0509999999999</v>
      </c>
      <c r="E24" s="12">
        <v>1229.133</v>
      </c>
      <c r="F24" s="12">
        <v>848.375</v>
      </c>
      <c r="G24" s="12">
        <v>3356.1840000000002</v>
      </c>
      <c r="H24" s="12">
        <v>1122.0440000000001</v>
      </c>
      <c r="I24" s="12">
        <v>2234.1410000000001</v>
      </c>
      <c r="J24" s="12">
        <v>1111.72</v>
      </c>
      <c r="K24" s="4">
        <f t="shared" si="1"/>
        <v>3.2528928266766206</v>
      </c>
      <c r="L24" s="5">
        <v>3.2528928266766205E-2</v>
      </c>
      <c r="M24" s="19">
        <f t="shared" si="2"/>
        <v>5.0464307361874887</v>
      </c>
      <c r="N24" s="5">
        <v>5.0464307361874884E-2</v>
      </c>
      <c r="O24" s="19">
        <f t="shared" si="3"/>
        <v>9.32</v>
      </c>
      <c r="P24" s="8">
        <v>9.3200000000000005E-2</v>
      </c>
      <c r="Q24" s="19">
        <f t="shared" si="4"/>
        <v>23.787319166666702</v>
      </c>
      <c r="R24" s="12">
        <v>23787.319166666701</v>
      </c>
      <c r="S24" s="4">
        <f t="shared" si="5"/>
        <v>3.3322045101752038</v>
      </c>
      <c r="T24" s="13">
        <v>1996</v>
      </c>
      <c r="U24" s="14">
        <v>139.74</v>
      </c>
      <c r="V24" s="14">
        <v>183.07</v>
      </c>
      <c r="W24" s="4">
        <f t="shared" si="15"/>
        <v>18.15720751816248</v>
      </c>
      <c r="X24" s="18">
        <f t="shared" si="6"/>
        <v>13.532538904214192</v>
      </c>
      <c r="Y24" s="18">
        <f t="shared" si="7"/>
        <v>9.0083261227632327</v>
      </c>
      <c r="Z24" s="18">
        <f t="shared" si="8"/>
        <v>0.50222613523497406</v>
      </c>
      <c r="AA24" s="12">
        <f t="shared" si="9"/>
        <v>1.9132974130176663</v>
      </c>
      <c r="AB24">
        <f t="shared" si="10"/>
        <v>7.5138614858845187</v>
      </c>
      <c r="AC24" s="18">
        <f t="shared" si="0"/>
        <v>0.25277964497774852</v>
      </c>
      <c r="AD24" s="18">
        <f t="shared" si="11"/>
        <v>5.875968224452377</v>
      </c>
      <c r="AE24" s="12">
        <v>5089.0810000000001</v>
      </c>
      <c r="AF24" s="12">
        <v>5707.2030000000004</v>
      </c>
      <c r="AG24" s="8">
        <f t="shared" si="12"/>
        <v>-0.10830559207373563</v>
      </c>
      <c r="AH24">
        <f t="shared" si="13"/>
        <v>10.740673452651844</v>
      </c>
      <c r="AI24">
        <f t="shared" si="14"/>
        <v>15.17053848138665</v>
      </c>
    </row>
    <row r="25" spans="1:35" x14ac:dyDescent="0.3">
      <c r="A25" t="s">
        <v>50</v>
      </c>
      <c r="B25" s="11">
        <v>2023</v>
      </c>
      <c r="C25" s="12">
        <v>36.692</v>
      </c>
      <c r="D25" s="12">
        <v>271.94400000000002</v>
      </c>
      <c r="E25" s="12">
        <v>136.964</v>
      </c>
      <c r="F25" s="12">
        <v>128.70599999999999</v>
      </c>
      <c r="G25" s="12">
        <v>408.90699999999998</v>
      </c>
      <c r="H25" s="12">
        <v>117.251</v>
      </c>
      <c r="I25" s="12">
        <v>291.65600000000001</v>
      </c>
      <c r="J25" s="12">
        <v>114.61</v>
      </c>
      <c r="K25" s="4">
        <f t="shared" si="1"/>
        <v>3.2528928266766206</v>
      </c>
      <c r="L25" s="5">
        <v>3.2528928266766205E-2</v>
      </c>
      <c r="M25" s="19">
        <f t="shared" si="2"/>
        <v>5.0464307361874887</v>
      </c>
      <c r="N25" s="5">
        <v>5.0464307361874884E-2</v>
      </c>
      <c r="O25" s="19">
        <f t="shared" si="3"/>
        <v>9.32</v>
      </c>
      <c r="P25" s="8">
        <v>9.3200000000000005E-2</v>
      </c>
      <c r="Q25" s="19">
        <f t="shared" si="4"/>
        <v>23.787319166666702</v>
      </c>
      <c r="R25" s="12">
        <v>23787.319166666701</v>
      </c>
      <c r="S25" s="4">
        <f t="shared" si="5"/>
        <v>3.4965075614664802</v>
      </c>
      <c r="T25" s="13">
        <v>1991</v>
      </c>
      <c r="U25" s="14">
        <v>139.74</v>
      </c>
      <c r="V25" s="14">
        <v>183.07</v>
      </c>
      <c r="W25" s="4">
        <f t="shared" si="15"/>
        <v>18.15720751816248</v>
      </c>
      <c r="X25" s="18">
        <f t="shared" si="6"/>
        <v>12.580574375291439</v>
      </c>
      <c r="Y25" s="18">
        <f t="shared" si="7"/>
        <v>8.9731895027475694</v>
      </c>
      <c r="Z25" s="18">
        <f t="shared" si="8"/>
        <v>0.40201813094878897</v>
      </c>
      <c r="AA25" s="12">
        <f t="shared" si="9"/>
        <v>2.3727772445685371</v>
      </c>
      <c r="AB25">
        <f t="shared" si="10"/>
        <v>5.4087893389492594</v>
      </c>
      <c r="AC25" s="18">
        <f t="shared" si="0"/>
        <v>0.31475616705020942</v>
      </c>
      <c r="AD25" s="18">
        <f t="shared" si="11"/>
        <v>5.875968224452377</v>
      </c>
      <c r="AE25" s="12">
        <v>313.86799999999999</v>
      </c>
      <c r="AF25" s="12">
        <v>401.58300000000003</v>
      </c>
      <c r="AG25" s="8">
        <f t="shared" si="12"/>
        <v>-0.21842309061887585</v>
      </c>
      <c r="AH25">
        <f t="shared" si="13"/>
        <v>17.061324216883495</v>
      </c>
      <c r="AI25">
        <f t="shared" si="14"/>
        <v>23.533128815597706</v>
      </c>
    </row>
    <row r="26" spans="1:35" x14ac:dyDescent="0.3">
      <c r="A26" t="s">
        <v>51</v>
      </c>
      <c r="B26" s="11">
        <v>2023</v>
      </c>
      <c r="C26" s="12">
        <v>28.881</v>
      </c>
      <c r="D26" s="12">
        <v>2873.1819999999998</v>
      </c>
      <c r="E26" s="12">
        <v>483.97699999999998</v>
      </c>
      <c r="F26" s="12">
        <v>249.25299999999999</v>
      </c>
      <c r="G26" s="12">
        <v>3357.1590000000001</v>
      </c>
      <c r="H26" s="12">
        <v>813.58699999999999</v>
      </c>
      <c r="I26" s="12">
        <v>2543.5720000000001</v>
      </c>
      <c r="J26" s="12">
        <v>641.5</v>
      </c>
      <c r="K26" s="4">
        <f t="shared" si="1"/>
        <v>3.2528928266766206</v>
      </c>
      <c r="L26" s="5">
        <v>3.2528928266766205E-2</v>
      </c>
      <c r="M26" s="19">
        <f t="shared" si="2"/>
        <v>5.0464307361874887</v>
      </c>
      <c r="N26" s="5">
        <v>5.0464307361874884E-2</v>
      </c>
      <c r="O26" s="19">
        <f t="shared" si="3"/>
        <v>9.32</v>
      </c>
      <c r="P26" s="8">
        <v>9.3200000000000005E-2</v>
      </c>
      <c r="Q26" s="19">
        <f t="shared" si="4"/>
        <v>23.787319166666702</v>
      </c>
      <c r="R26" s="12">
        <v>23787.319166666701</v>
      </c>
      <c r="S26" s="4">
        <f t="shared" si="5"/>
        <v>3.7376696182833684</v>
      </c>
      <c r="T26" s="13">
        <v>1982</v>
      </c>
      <c r="U26" s="14">
        <v>139.74</v>
      </c>
      <c r="V26" s="14">
        <v>183.07</v>
      </c>
      <c r="W26" s="4">
        <f t="shared" si="15"/>
        <v>18.15720751816248</v>
      </c>
      <c r="X26" s="18">
        <f t="shared" si="6"/>
        <v>1.1354504610052318</v>
      </c>
      <c r="Y26" s="18">
        <f t="shared" si="7"/>
        <v>0.86028096971278389</v>
      </c>
      <c r="Z26" s="18">
        <f t="shared" si="8"/>
        <v>0.31986002362032606</v>
      </c>
      <c r="AA26" s="12">
        <f t="shared" si="9"/>
        <v>4.4788495713172249</v>
      </c>
      <c r="AB26">
        <f t="shared" si="10"/>
        <v>7.5141519522011828</v>
      </c>
      <c r="AC26" s="18">
        <f t="shared" si="0"/>
        <v>7.4245217459167109E-2</v>
      </c>
      <c r="AD26" s="18">
        <f t="shared" si="11"/>
        <v>5.875968224452377</v>
      </c>
      <c r="AE26" s="12">
        <v>936.39599999999996</v>
      </c>
      <c r="AF26" s="12">
        <v>3166.7089999999998</v>
      </c>
      <c r="AG26" s="8">
        <f t="shared" si="12"/>
        <v>-0.70429995304273307</v>
      </c>
      <c r="AH26">
        <f t="shared" si="13"/>
        <v>9.0612453260594563</v>
      </c>
      <c r="AI26">
        <f t="shared" si="14"/>
        <v>14.388617244617997</v>
      </c>
    </row>
    <row r="27" spans="1:35" x14ac:dyDescent="0.3">
      <c r="A27" t="s">
        <v>52</v>
      </c>
      <c r="B27" s="11">
        <v>2023</v>
      </c>
      <c r="C27" s="12">
        <v>-51.945</v>
      </c>
      <c r="D27" s="12">
        <v>204.68799999999999</v>
      </c>
      <c r="E27" s="12">
        <v>214.39</v>
      </c>
      <c r="F27" s="12">
        <v>152.857</v>
      </c>
      <c r="G27" s="12">
        <v>419.07799999999997</v>
      </c>
      <c r="H27" s="12">
        <v>26.7</v>
      </c>
      <c r="I27" s="12">
        <v>392.37799999999999</v>
      </c>
      <c r="J27" s="12">
        <v>10.61</v>
      </c>
      <c r="K27" s="4">
        <f t="shared" si="1"/>
        <v>3.2528928266766206</v>
      </c>
      <c r="L27" s="5">
        <v>3.2528928266766205E-2</v>
      </c>
      <c r="M27" s="19">
        <f t="shared" si="2"/>
        <v>5.0464307361874887</v>
      </c>
      <c r="N27" s="5">
        <v>5.0464307361874884E-2</v>
      </c>
      <c r="O27" s="19">
        <f t="shared" si="3"/>
        <v>9.32</v>
      </c>
      <c r="P27" s="8">
        <v>9.3200000000000005E-2</v>
      </c>
      <c r="Q27" s="19">
        <f t="shared" si="4"/>
        <v>23.787319166666702</v>
      </c>
      <c r="R27" s="12">
        <v>23787.319166666701</v>
      </c>
      <c r="S27" s="4">
        <f t="shared" si="5"/>
        <v>3.8712010109078911</v>
      </c>
      <c r="T27" s="13">
        <v>1976</v>
      </c>
      <c r="U27" s="14">
        <v>139.74</v>
      </c>
      <c r="V27" s="14">
        <v>183.07</v>
      </c>
      <c r="W27" s="4">
        <f t="shared" si="15"/>
        <v>18.15720751816248</v>
      </c>
      <c r="X27" s="18">
        <f t="shared" si="6"/>
        <v>-13.238509804321344</v>
      </c>
      <c r="Y27" s="18">
        <f t="shared" si="7"/>
        <v>-12.395067266714072</v>
      </c>
      <c r="Z27" s="18">
        <f t="shared" si="8"/>
        <v>6.8046628506185369E-2</v>
      </c>
      <c r="AA27" s="12">
        <f t="shared" si="9"/>
        <v>19.291988689915176</v>
      </c>
      <c r="AB27">
        <f t="shared" si="10"/>
        <v>5.4333586527400453</v>
      </c>
      <c r="AC27" s="18">
        <f t="shared" si="0"/>
        <v>0.36474594228282087</v>
      </c>
      <c r="AD27" s="18">
        <f t="shared" si="11"/>
        <v>5.875968224452377</v>
      </c>
      <c r="AE27" s="12">
        <v>8.2970000000000006</v>
      </c>
      <c r="AF27" s="12">
        <v>292.17599999999999</v>
      </c>
      <c r="AG27" s="8">
        <f t="shared" si="12"/>
        <v>-0.97160273259952901</v>
      </c>
      <c r="AH27">
        <f t="shared" si="13"/>
        <v>-15.820557647480724</v>
      </c>
      <c r="AI27">
        <f t="shared" si="14"/>
        <v>-18.904755315302449</v>
      </c>
    </row>
    <row r="28" spans="1:35" x14ac:dyDescent="0.3">
      <c r="A28" t="s">
        <v>53</v>
      </c>
      <c r="B28" s="11">
        <v>2023</v>
      </c>
      <c r="C28" s="12">
        <v>1781.6859999999999</v>
      </c>
      <c r="D28" s="12">
        <v>8768.5259999999998</v>
      </c>
      <c r="E28" s="12">
        <v>12134.73</v>
      </c>
      <c r="F28" s="12">
        <v>5997.88</v>
      </c>
      <c r="G28" s="12">
        <v>20903.255000000001</v>
      </c>
      <c r="H28" s="12">
        <v>14225.785</v>
      </c>
      <c r="I28" s="12">
        <v>6677.47</v>
      </c>
      <c r="J28" s="12">
        <v>9710.4</v>
      </c>
      <c r="K28" s="4">
        <f t="shared" si="1"/>
        <v>3.2528928266766206</v>
      </c>
      <c r="L28" s="5">
        <v>3.2528928266766205E-2</v>
      </c>
      <c r="M28" s="19">
        <f t="shared" si="2"/>
        <v>5.0464307361874887</v>
      </c>
      <c r="N28" s="5">
        <v>5.0464307361874884E-2</v>
      </c>
      <c r="O28" s="19">
        <f t="shared" si="3"/>
        <v>9.32</v>
      </c>
      <c r="P28" s="8">
        <v>9.3200000000000005E-2</v>
      </c>
      <c r="Q28" s="19">
        <f t="shared" si="4"/>
        <v>23.787319166666702</v>
      </c>
      <c r="R28" s="12">
        <v>23787.319166666701</v>
      </c>
      <c r="S28" s="4">
        <f t="shared" si="5"/>
        <v>3.4339872044851463</v>
      </c>
      <c r="T28" s="13">
        <v>1993</v>
      </c>
      <c r="U28" s="14">
        <v>139.74</v>
      </c>
      <c r="V28" s="14">
        <v>183.07</v>
      </c>
      <c r="W28" s="4">
        <f t="shared" si="15"/>
        <v>18.15720751816248</v>
      </c>
      <c r="X28" s="18">
        <f t="shared" si="6"/>
        <v>26.682051735163164</v>
      </c>
      <c r="Y28" s="18">
        <f t="shared" si="7"/>
        <v>8.5234859355636221</v>
      </c>
      <c r="Z28" s="18">
        <f t="shared" si="8"/>
        <v>2.1304154118251373</v>
      </c>
      <c r="AA28" s="12">
        <f t="shared" si="9"/>
        <v>0.90300358378645573</v>
      </c>
      <c r="AB28">
        <f t="shared" si="10"/>
        <v>9.3429617600783974</v>
      </c>
      <c r="AC28" s="18">
        <f t="shared" si="0"/>
        <v>0.28693521654881021</v>
      </c>
      <c r="AD28" s="18">
        <f t="shared" si="11"/>
        <v>5.875968224452377</v>
      </c>
      <c r="AE28" s="12">
        <v>6492.57</v>
      </c>
      <c r="AF28" s="12">
        <v>5197.9830000000002</v>
      </c>
      <c r="AG28" s="8">
        <f t="shared" si="12"/>
        <v>0.24905564331395458</v>
      </c>
      <c r="AH28">
        <f t="shared" si="13"/>
        <v>5.6806392520441564</v>
      </c>
      <c r="AI28">
        <f t="shared" si="14"/>
        <v>21.650252957653535</v>
      </c>
    </row>
    <row r="29" spans="1:35" x14ac:dyDescent="0.3">
      <c r="A29" t="s">
        <v>54</v>
      </c>
      <c r="B29" s="11">
        <v>2023</v>
      </c>
      <c r="C29" s="12">
        <v>37.055999999999997</v>
      </c>
      <c r="D29" s="12">
        <v>1071.7650000000001</v>
      </c>
      <c r="E29" s="12">
        <v>934.52300000000002</v>
      </c>
      <c r="F29" s="12">
        <v>381.31</v>
      </c>
      <c r="G29" s="12">
        <v>2006.288</v>
      </c>
      <c r="H29" s="12">
        <v>842.28399999999999</v>
      </c>
      <c r="I29" s="12">
        <v>1164.0039999999999</v>
      </c>
      <c r="J29" s="12">
        <v>839.43</v>
      </c>
      <c r="K29" s="4">
        <f t="shared" si="1"/>
        <v>3.2528928266766206</v>
      </c>
      <c r="L29" s="5">
        <v>3.2528928266766205E-2</v>
      </c>
      <c r="M29" s="19">
        <f t="shared" si="2"/>
        <v>5.0464307361874887</v>
      </c>
      <c r="N29" s="5">
        <v>5.0464307361874884E-2</v>
      </c>
      <c r="O29" s="19">
        <f t="shared" si="3"/>
        <v>9.32</v>
      </c>
      <c r="P29" s="8">
        <v>9.3200000000000005E-2</v>
      </c>
      <c r="Q29" s="19">
        <f t="shared" si="4"/>
        <v>23.787319166666702</v>
      </c>
      <c r="R29" s="12">
        <v>23787.319166666701</v>
      </c>
      <c r="S29" s="4">
        <f t="shared" si="5"/>
        <v>3.4657359027997265</v>
      </c>
      <c r="T29" s="13">
        <v>1992</v>
      </c>
      <c r="U29" s="14">
        <v>139.74</v>
      </c>
      <c r="V29" s="14">
        <v>183.07</v>
      </c>
      <c r="W29" s="4">
        <f t="shared" si="15"/>
        <v>18.15720751816248</v>
      </c>
      <c r="X29" s="18">
        <f t="shared" si="6"/>
        <v>3.1834942147965126</v>
      </c>
      <c r="Y29" s="18">
        <f t="shared" si="7"/>
        <v>1.8469930538387309</v>
      </c>
      <c r="Z29" s="18">
        <f t="shared" si="8"/>
        <v>0.72360919721925354</v>
      </c>
      <c r="AA29" s="12">
        <f t="shared" si="9"/>
        <v>1.2767770987455775</v>
      </c>
      <c r="AB29">
        <f t="shared" si="10"/>
        <v>6.9993431201340881</v>
      </c>
      <c r="AC29" s="18">
        <f t="shared" si="0"/>
        <v>0.19005745934781049</v>
      </c>
      <c r="AD29" s="18">
        <f t="shared" si="11"/>
        <v>5.875968224452377</v>
      </c>
      <c r="AE29" s="12">
        <v>3981.922</v>
      </c>
      <c r="AF29" s="12">
        <v>6775.2</v>
      </c>
      <c r="AG29" s="8">
        <f t="shared" si="12"/>
        <v>-0.41227978509859486</v>
      </c>
      <c r="AH29">
        <f t="shared" si="13"/>
        <v>9.2968413704845556</v>
      </c>
      <c r="AI29">
        <f t="shared" si="14"/>
        <v>24.74231592114511</v>
      </c>
    </row>
    <row r="30" spans="1:35" x14ac:dyDescent="0.3">
      <c r="A30" t="s">
        <v>55</v>
      </c>
      <c r="B30" s="11">
        <v>2023</v>
      </c>
      <c r="C30" s="12">
        <v>351.851</v>
      </c>
      <c r="D30" s="12">
        <v>1036.383</v>
      </c>
      <c r="E30" s="12">
        <v>3637.2080000000001</v>
      </c>
      <c r="F30" s="12">
        <v>7.1130000000000004</v>
      </c>
      <c r="G30" s="12">
        <v>4673.5910000000003</v>
      </c>
      <c r="H30" s="12">
        <v>172.31</v>
      </c>
      <c r="I30" s="12">
        <v>4501.2809999999999</v>
      </c>
      <c r="J30" s="12">
        <v>171.64</v>
      </c>
      <c r="K30" s="4">
        <f t="shared" si="1"/>
        <v>3.2528928266766206</v>
      </c>
      <c r="L30" s="5">
        <v>3.2528928266766205E-2</v>
      </c>
      <c r="M30" s="19">
        <f t="shared" si="2"/>
        <v>5.0464307361874887</v>
      </c>
      <c r="N30" s="5">
        <v>5.0464307361874884E-2</v>
      </c>
      <c r="O30" s="19">
        <f t="shared" si="3"/>
        <v>9.32</v>
      </c>
      <c r="P30" s="8">
        <v>9.3200000000000005E-2</v>
      </c>
      <c r="Q30" s="19">
        <f t="shared" si="4"/>
        <v>23.787319166666702</v>
      </c>
      <c r="R30" s="12">
        <v>23787.319166666701</v>
      </c>
      <c r="S30" s="4">
        <f t="shared" si="5"/>
        <v>2.7725887222397811</v>
      </c>
      <c r="T30" s="13">
        <v>2008</v>
      </c>
      <c r="U30" s="14">
        <v>139.74</v>
      </c>
      <c r="V30" s="14">
        <v>183.07</v>
      </c>
      <c r="W30" s="4">
        <f t="shared" si="15"/>
        <v>18.15720751816248</v>
      </c>
      <c r="X30" s="18">
        <f t="shared" si="6"/>
        <v>7.8166859611741639</v>
      </c>
      <c r="Y30" s="18">
        <f t="shared" si="7"/>
        <v>7.5284936144390899</v>
      </c>
      <c r="Z30" s="18">
        <f t="shared" si="8"/>
        <v>3.8280214010189544E-2</v>
      </c>
      <c r="AA30" s="12">
        <f t="shared" si="9"/>
        <v>6.0381204847354937</v>
      </c>
      <c r="AB30">
        <f t="shared" si="10"/>
        <v>7.8449845985464171</v>
      </c>
      <c r="AC30" s="18">
        <f t="shared" si="0"/>
        <v>1.5219560291005352E-3</v>
      </c>
      <c r="AD30" s="18">
        <f t="shared" si="11"/>
        <v>5.875968224452377</v>
      </c>
      <c r="AE30" s="12">
        <v>366.58499999999998</v>
      </c>
      <c r="AF30" s="12">
        <v>385.32299999999998</v>
      </c>
      <c r="AG30" s="8">
        <f t="shared" si="12"/>
        <v>-4.862933175543635E-2</v>
      </c>
      <c r="AH30">
        <f t="shared" si="13"/>
        <v>4.9996316156979344</v>
      </c>
      <c r="AI30">
        <f t="shared" si="14"/>
        <v>5.391397354431696</v>
      </c>
    </row>
    <row r="31" spans="1:35" x14ac:dyDescent="0.3">
      <c r="A31" t="s">
        <v>56</v>
      </c>
      <c r="B31" s="11">
        <v>2023</v>
      </c>
      <c r="C31" s="12">
        <v>-1098.461</v>
      </c>
      <c r="D31" s="12">
        <v>2658.7829999999999</v>
      </c>
      <c r="E31" s="12">
        <v>11436.995999999999</v>
      </c>
      <c r="F31" s="12">
        <v>5585.165</v>
      </c>
      <c r="G31" s="12">
        <v>14095.779</v>
      </c>
      <c r="H31" s="12">
        <v>11840.072</v>
      </c>
      <c r="I31" s="12">
        <v>2255.7069999999999</v>
      </c>
      <c r="J31" s="12">
        <v>9609.41</v>
      </c>
      <c r="K31" s="4">
        <f t="shared" si="1"/>
        <v>3.2528928266766206</v>
      </c>
      <c r="L31" s="5">
        <v>3.2528928266766205E-2</v>
      </c>
      <c r="M31" s="19">
        <f t="shared" si="2"/>
        <v>5.0464307361874887</v>
      </c>
      <c r="N31" s="5">
        <v>5.0464307361874884E-2</v>
      </c>
      <c r="O31" s="19">
        <f t="shared" si="3"/>
        <v>9.32</v>
      </c>
      <c r="P31" s="8">
        <v>9.3200000000000005E-2</v>
      </c>
      <c r="Q31" s="19">
        <f t="shared" si="4"/>
        <v>23.787319166666702</v>
      </c>
      <c r="R31" s="12">
        <v>23787.319166666701</v>
      </c>
      <c r="S31" s="4">
        <f t="shared" si="5"/>
        <v>2.6390573296152584</v>
      </c>
      <c r="T31" s="13">
        <v>2010</v>
      </c>
      <c r="U31" s="14">
        <v>139.74</v>
      </c>
      <c r="V31" s="14">
        <v>183.07</v>
      </c>
      <c r="W31" s="4">
        <f t="shared" si="15"/>
        <v>18.15720751816248</v>
      </c>
      <c r="X31" s="18">
        <f t="shared" si="6"/>
        <v>-48.696971725494492</v>
      </c>
      <c r="Y31" s="18">
        <f t="shared" si="7"/>
        <v>-7.7928364228752445</v>
      </c>
      <c r="Z31" s="18">
        <f t="shared" si="8"/>
        <v>5.2489405760588594</v>
      </c>
      <c r="AA31" s="12">
        <f t="shared" si="9"/>
        <v>0.27668535321107124</v>
      </c>
      <c r="AB31">
        <f t="shared" si="10"/>
        <v>8.9489322624716419</v>
      </c>
      <c r="AC31" s="18">
        <f t="shared" si="0"/>
        <v>0.3962296088779485</v>
      </c>
      <c r="AD31" s="18">
        <f t="shared" si="11"/>
        <v>5.875968224452377</v>
      </c>
      <c r="AE31" s="12">
        <v>605.57100000000003</v>
      </c>
      <c r="AF31" s="12">
        <v>741.79600000000005</v>
      </c>
      <c r="AG31" s="8">
        <f t="shared" si="12"/>
        <v>-0.18364213341673455</v>
      </c>
      <c r="AH31">
        <f t="shared" si="13"/>
        <v>-28.228046339316201</v>
      </c>
      <c r="AI31">
        <f t="shared" si="14"/>
        <v>-117.86066312008708</v>
      </c>
    </row>
    <row r="32" spans="1:35" x14ac:dyDescent="0.3">
      <c r="A32" t="s">
        <v>57</v>
      </c>
      <c r="B32" s="11">
        <v>2023</v>
      </c>
      <c r="C32" s="12">
        <v>12.061999999999999</v>
      </c>
      <c r="D32" s="12">
        <v>266.16300000000001</v>
      </c>
      <c r="E32" s="12">
        <v>213.952</v>
      </c>
      <c r="F32" s="12">
        <v>46.207000000000001</v>
      </c>
      <c r="G32" s="12">
        <v>480.11500000000001</v>
      </c>
      <c r="H32" s="12">
        <v>40.009</v>
      </c>
      <c r="I32" s="12">
        <v>440.10599999999999</v>
      </c>
      <c r="J32" s="12">
        <v>31.77</v>
      </c>
      <c r="K32" s="4">
        <f t="shared" si="1"/>
        <v>3.2528928266766206</v>
      </c>
      <c r="L32" s="5">
        <v>3.2528928266766205E-2</v>
      </c>
      <c r="M32" s="19">
        <f t="shared" si="2"/>
        <v>5.0464307361874887</v>
      </c>
      <c r="N32" s="5">
        <v>5.0464307361874884E-2</v>
      </c>
      <c r="O32" s="19">
        <f t="shared" si="3"/>
        <v>9.32</v>
      </c>
      <c r="P32" s="8">
        <v>9.3200000000000005E-2</v>
      </c>
      <c r="Q32" s="19">
        <f t="shared" si="4"/>
        <v>23.787319166666702</v>
      </c>
      <c r="R32" s="12">
        <v>23787.319166666701</v>
      </c>
      <c r="S32" s="4">
        <f t="shared" si="5"/>
        <v>2.1972245773362196</v>
      </c>
      <c r="T32" s="13">
        <v>2015</v>
      </c>
      <c r="U32" s="14">
        <v>139.74</v>
      </c>
      <c r="V32" s="14">
        <v>183.07</v>
      </c>
      <c r="W32" s="4">
        <f t="shared" si="15"/>
        <v>18.15720751816248</v>
      </c>
      <c r="X32" s="18">
        <f t="shared" si="6"/>
        <v>2.7407033760048716</v>
      </c>
      <c r="Y32" s="18">
        <f t="shared" si="7"/>
        <v>2.5123147579225806</v>
      </c>
      <c r="Z32" s="18">
        <f t="shared" si="8"/>
        <v>9.0907644976437496E-2</v>
      </c>
      <c r="AA32" s="12">
        <f t="shared" si="9"/>
        <v>8.3778092540132203</v>
      </c>
      <c r="AB32">
        <f t="shared" si="10"/>
        <v>5.5693272511649345</v>
      </c>
      <c r="AC32" s="18">
        <f t="shared" si="0"/>
        <v>9.6241525467856665E-2</v>
      </c>
      <c r="AD32" s="18">
        <f t="shared" si="11"/>
        <v>5.875968224452377</v>
      </c>
      <c r="AE32" s="12">
        <v>389.73399999999998</v>
      </c>
      <c r="AF32" s="12">
        <v>466.13499999999999</v>
      </c>
      <c r="AG32" s="8">
        <f t="shared" si="12"/>
        <v>-0.16390316110139769</v>
      </c>
      <c r="AH32">
        <f t="shared" si="13"/>
        <v>3.2187558837253087</v>
      </c>
      <c r="AI32">
        <f t="shared" si="14"/>
        <v>3.6652862805780373</v>
      </c>
    </row>
    <row r="33" spans="1:35" x14ac:dyDescent="0.3">
      <c r="A33" t="s">
        <v>58</v>
      </c>
      <c r="B33" s="11">
        <v>2023</v>
      </c>
      <c r="C33" s="12">
        <v>169.87299999999999</v>
      </c>
      <c r="D33" s="12">
        <v>1761.376</v>
      </c>
      <c r="E33" s="12">
        <v>746.34500000000003</v>
      </c>
      <c r="F33" s="12">
        <v>665.74400000000003</v>
      </c>
      <c r="G33" s="12">
        <v>2507.721</v>
      </c>
      <c r="H33" s="12">
        <v>1670.915</v>
      </c>
      <c r="I33" s="12">
        <v>836.80600000000004</v>
      </c>
      <c r="J33" s="12">
        <v>1441.46</v>
      </c>
      <c r="K33" s="4">
        <f t="shared" si="1"/>
        <v>3.2528928266766206</v>
      </c>
      <c r="L33" s="5">
        <v>3.2528928266766205E-2</v>
      </c>
      <c r="M33" s="19">
        <f t="shared" si="2"/>
        <v>5.0464307361874887</v>
      </c>
      <c r="N33" s="5">
        <v>5.0464307361874884E-2</v>
      </c>
      <c r="O33" s="19">
        <f t="shared" si="3"/>
        <v>9.32</v>
      </c>
      <c r="P33" s="8">
        <v>9.3200000000000005E-2</v>
      </c>
      <c r="Q33" s="19">
        <f t="shared" si="4"/>
        <v>23.787319166666702</v>
      </c>
      <c r="R33" s="12">
        <v>23787.319166666701</v>
      </c>
      <c r="S33" s="4">
        <f t="shared" si="5"/>
        <v>4.1271343850450917</v>
      </c>
      <c r="T33" s="13">
        <v>1962</v>
      </c>
      <c r="U33" s="14">
        <v>139.74</v>
      </c>
      <c r="V33" s="14">
        <v>183.07</v>
      </c>
      <c r="W33" s="4">
        <f t="shared" si="15"/>
        <v>18.15720751816248</v>
      </c>
      <c r="X33" s="18">
        <f t="shared" si="6"/>
        <v>20.300165151779503</v>
      </c>
      <c r="Y33" s="18">
        <f t="shared" si="7"/>
        <v>6.7739991809296169</v>
      </c>
      <c r="Z33" s="18">
        <f t="shared" si="8"/>
        <v>1.9967770307574275</v>
      </c>
      <c r="AA33" s="12">
        <f t="shared" si="9"/>
        <v>1.2219388675370804</v>
      </c>
      <c r="AB33">
        <f t="shared" si="10"/>
        <v>7.2224312441707657</v>
      </c>
      <c r="AC33" s="18">
        <f t="shared" si="0"/>
        <v>0.26547769867541088</v>
      </c>
      <c r="AD33" s="18">
        <f t="shared" si="11"/>
        <v>5.875968224452377</v>
      </c>
      <c r="AE33" s="12">
        <v>4703.9669999999996</v>
      </c>
      <c r="AF33" s="12">
        <v>5144.9859999999999</v>
      </c>
      <c r="AG33" s="8">
        <f t="shared" si="12"/>
        <v>-8.5718211866854493E-2</v>
      </c>
      <c r="AH33">
        <f t="shared" si="13"/>
        <v>11.194477051677</v>
      </c>
      <c r="AI33">
        <f t="shared" si="14"/>
        <v>30.306764557580252</v>
      </c>
    </row>
    <row r="34" spans="1:35" x14ac:dyDescent="0.3">
      <c r="A34" t="s">
        <v>59</v>
      </c>
      <c r="B34" s="11">
        <v>2023</v>
      </c>
      <c r="C34" s="12">
        <v>38.323</v>
      </c>
      <c r="D34" s="12">
        <v>387.89100000000002</v>
      </c>
      <c r="E34" s="12">
        <v>60.304000000000002</v>
      </c>
      <c r="F34" s="12">
        <v>30.574000000000002</v>
      </c>
      <c r="G34" s="12">
        <v>448.19499999999999</v>
      </c>
      <c r="H34" s="12">
        <v>189.44399999999999</v>
      </c>
      <c r="I34" s="12">
        <v>258.75099999999998</v>
      </c>
      <c r="J34" s="12">
        <v>188</v>
      </c>
      <c r="K34" s="4">
        <f t="shared" si="1"/>
        <v>3.2528928266766206</v>
      </c>
      <c r="L34" s="5">
        <v>3.2528928266766205E-2</v>
      </c>
      <c r="M34" s="19">
        <f t="shared" si="2"/>
        <v>5.0464307361874887</v>
      </c>
      <c r="N34" s="5">
        <v>5.0464307361874884E-2</v>
      </c>
      <c r="O34" s="19">
        <f t="shared" si="3"/>
        <v>9.32</v>
      </c>
      <c r="P34" s="8">
        <v>9.3200000000000005E-2</v>
      </c>
      <c r="Q34" s="19">
        <f t="shared" si="4"/>
        <v>23.787319166666702</v>
      </c>
      <c r="R34" s="12">
        <v>23787.319166666701</v>
      </c>
      <c r="S34" s="4">
        <f t="shared" si="5"/>
        <v>3.2580965380214821</v>
      </c>
      <c r="T34" s="13">
        <v>1998</v>
      </c>
      <c r="U34" s="14">
        <v>139.74</v>
      </c>
      <c r="V34" s="14">
        <v>183.07</v>
      </c>
      <c r="W34" s="4">
        <f t="shared" si="15"/>
        <v>18.15720751816248</v>
      </c>
      <c r="X34" s="18">
        <f t="shared" si="6"/>
        <v>14.810764016370953</v>
      </c>
      <c r="Y34" s="18">
        <f t="shared" si="7"/>
        <v>8.5505193052131325</v>
      </c>
      <c r="Z34" s="18">
        <f t="shared" si="8"/>
        <v>0.73214789508059874</v>
      </c>
      <c r="AA34" s="12">
        <f t="shared" si="9"/>
        <v>2.06325</v>
      </c>
      <c r="AB34">
        <f t="shared" si="10"/>
        <v>5.5005299981957219</v>
      </c>
      <c r="AC34" s="18">
        <f t="shared" si="0"/>
        <v>6.8215843550240407E-2</v>
      </c>
      <c r="AD34" s="18">
        <f t="shared" si="11"/>
        <v>5.875968224452377</v>
      </c>
      <c r="AE34" s="12">
        <v>657.52499999999998</v>
      </c>
      <c r="AF34" s="12">
        <v>1047.201</v>
      </c>
      <c r="AG34" s="8">
        <f t="shared" si="12"/>
        <v>-0.37211194412533988</v>
      </c>
      <c r="AH34">
        <f t="shared" si="13"/>
        <v>10.350441408479071</v>
      </c>
      <c r="AI34">
        <f t="shared" si="14"/>
        <v>15.924975898636552</v>
      </c>
    </row>
    <row r="35" spans="1:35" x14ac:dyDescent="0.3">
      <c r="A35" t="s">
        <v>60</v>
      </c>
      <c r="B35" s="11">
        <v>2023</v>
      </c>
      <c r="C35" s="12">
        <v>73.353999999999999</v>
      </c>
      <c r="D35" s="12">
        <v>5537.2860000000001</v>
      </c>
      <c r="E35" s="12">
        <v>2740.1619999999998</v>
      </c>
      <c r="F35" s="12">
        <v>909.00300000000004</v>
      </c>
      <c r="G35" s="12">
        <v>8277.4480000000003</v>
      </c>
      <c r="H35" s="12">
        <v>4855.8919999999998</v>
      </c>
      <c r="I35" s="12">
        <v>3421.5569999999998</v>
      </c>
      <c r="J35" s="12">
        <v>4530.16</v>
      </c>
      <c r="K35" s="4">
        <f t="shared" si="1"/>
        <v>3.2528928266766206</v>
      </c>
      <c r="L35" s="5">
        <v>3.2528928266766205E-2</v>
      </c>
      <c r="M35" s="19">
        <f t="shared" si="2"/>
        <v>5.0464307361874887</v>
      </c>
      <c r="N35" s="5">
        <v>5.0464307361874884E-2</v>
      </c>
      <c r="O35" s="19">
        <f t="shared" si="3"/>
        <v>9.32</v>
      </c>
      <c r="P35" s="8">
        <v>9.3200000000000005E-2</v>
      </c>
      <c r="Q35" s="19">
        <f t="shared" si="4"/>
        <v>23.787319166666702</v>
      </c>
      <c r="R35" s="12">
        <v>23787.319166666701</v>
      </c>
      <c r="S35" s="4">
        <f t="shared" si="5"/>
        <v>3.044522437723423</v>
      </c>
      <c r="T35" s="13">
        <v>2003</v>
      </c>
      <c r="U35" s="14">
        <v>139.74</v>
      </c>
      <c r="V35" s="14">
        <v>183.07</v>
      </c>
      <c r="W35" s="4">
        <f t="shared" si="15"/>
        <v>18.15720751816248</v>
      </c>
      <c r="X35" s="18">
        <f t="shared" si="6"/>
        <v>2.1438777726046943</v>
      </c>
      <c r="Y35" s="18">
        <f t="shared" si="7"/>
        <v>0.88619100959619435</v>
      </c>
      <c r="Z35" s="18">
        <f t="shared" si="8"/>
        <v>1.4192053500789261</v>
      </c>
      <c r="AA35" s="12">
        <f t="shared" si="9"/>
        <v>1.2223157680964911</v>
      </c>
      <c r="AB35">
        <f t="shared" si="10"/>
        <v>8.4165915799368332</v>
      </c>
      <c r="AC35" s="18">
        <f t="shared" si="0"/>
        <v>0.10981681793712265</v>
      </c>
      <c r="AD35" s="18">
        <f t="shared" si="11"/>
        <v>5.875968224452377</v>
      </c>
      <c r="AE35" s="12">
        <v>7224.1450000000004</v>
      </c>
      <c r="AF35" s="12">
        <v>7936.9290000000001</v>
      </c>
      <c r="AG35" s="8">
        <f t="shared" si="12"/>
        <v>-8.9806019431445033E-2</v>
      </c>
      <c r="AH35">
        <f t="shared" si="13"/>
        <v>6.9660870438643316</v>
      </c>
      <c r="AI35">
        <f t="shared" si="14"/>
        <v>16.728334551244348</v>
      </c>
    </row>
    <row r="36" spans="1:35" x14ac:dyDescent="0.3">
      <c r="A36" t="s">
        <v>61</v>
      </c>
      <c r="B36" s="11">
        <v>2023</v>
      </c>
      <c r="C36" s="12">
        <v>135.184</v>
      </c>
      <c r="D36" s="12">
        <v>6964.1360000000004</v>
      </c>
      <c r="E36" s="12">
        <v>5426.8779999999997</v>
      </c>
      <c r="F36" s="12">
        <v>2582.1799999999998</v>
      </c>
      <c r="G36" s="12">
        <v>12391.013999999999</v>
      </c>
      <c r="H36" s="12">
        <v>5277.0950000000003</v>
      </c>
      <c r="I36" s="12">
        <v>7113.92</v>
      </c>
      <c r="J36" s="12">
        <v>4214.0600000000004</v>
      </c>
      <c r="K36" s="4">
        <f t="shared" si="1"/>
        <v>3.2528928266766206</v>
      </c>
      <c r="L36" s="5">
        <v>3.2528928266766205E-2</v>
      </c>
      <c r="M36" s="19">
        <f t="shared" si="2"/>
        <v>5.0464307361874887</v>
      </c>
      <c r="N36" s="5">
        <v>5.0464307361874884E-2</v>
      </c>
      <c r="O36" s="19">
        <f t="shared" si="3"/>
        <v>9.32</v>
      </c>
      <c r="P36" s="8">
        <v>9.3200000000000005E-2</v>
      </c>
      <c r="Q36" s="19">
        <f t="shared" si="4"/>
        <v>23.787319166666702</v>
      </c>
      <c r="R36" s="12">
        <v>23787.319166666701</v>
      </c>
      <c r="S36" s="4">
        <f t="shared" si="5"/>
        <v>3.4339872044851463</v>
      </c>
      <c r="T36" s="13">
        <v>1993</v>
      </c>
      <c r="U36" s="14">
        <v>139.74</v>
      </c>
      <c r="V36" s="14">
        <v>183.07</v>
      </c>
      <c r="W36" s="4">
        <f t="shared" si="15"/>
        <v>18.15720751816248</v>
      </c>
      <c r="X36" s="18">
        <f t="shared" si="6"/>
        <v>1.9002743916153118</v>
      </c>
      <c r="Y36" s="18">
        <f t="shared" si="7"/>
        <v>1.0909841599727028</v>
      </c>
      <c r="Z36" s="18">
        <f t="shared" si="8"/>
        <v>0.74179847397777876</v>
      </c>
      <c r="AA36" s="12">
        <f t="shared" si="9"/>
        <v>1.6525953593446698</v>
      </c>
      <c r="AB36">
        <f t="shared" si="10"/>
        <v>8.8200284040933354</v>
      </c>
      <c r="AC36" s="18">
        <f t="shared" si="0"/>
        <v>0.20839133907846444</v>
      </c>
      <c r="AD36" s="18">
        <f t="shared" si="11"/>
        <v>5.875968224452377</v>
      </c>
      <c r="AE36" s="12">
        <v>8905.5349999999999</v>
      </c>
      <c r="AF36" s="12">
        <v>12787.155000000001</v>
      </c>
      <c r="AG36" s="8">
        <f t="shared" si="12"/>
        <v>-0.30355618587559163</v>
      </c>
      <c r="AH36">
        <f t="shared" si="13"/>
        <v>2.6751984124292303</v>
      </c>
      <c r="AI36">
        <f t="shared" si="14"/>
        <v>5.3122139404780668</v>
      </c>
    </row>
    <row r="37" spans="1:35" x14ac:dyDescent="0.3">
      <c r="A37" t="s">
        <v>62</v>
      </c>
      <c r="B37" s="11">
        <v>2023</v>
      </c>
      <c r="C37" s="12">
        <v>9.8149999999999995</v>
      </c>
      <c r="D37" s="12">
        <v>663.04700000000003</v>
      </c>
      <c r="E37" s="12">
        <v>216.358</v>
      </c>
      <c r="F37" s="12">
        <v>196.601</v>
      </c>
      <c r="G37" s="12">
        <v>879.404</v>
      </c>
      <c r="H37" s="12">
        <v>238.36199999999999</v>
      </c>
      <c r="I37" s="12">
        <v>641.04300000000001</v>
      </c>
      <c r="J37" s="12">
        <v>234.28</v>
      </c>
      <c r="K37" s="4">
        <f t="shared" si="1"/>
        <v>3.2528928266766206</v>
      </c>
      <c r="L37" s="5">
        <v>3.2528928266766205E-2</v>
      </c>
      <c r="M37" s="19">
        <f t="shared" si="2"/>
        <v>5.0464307361874887</v>
      </c>
      <c r="N37" s="5">
        <v>5.0464307361874884E-2</v>
      </c>
      <c r="O37" s="19">
        <f t="shared" si="3"/>
        <v>9.32</v>
      </c>
      <c r="P37" s="8">
        <v>9.3200000000000005E-2</v>
      </c>
      <c r="Q37" s="19">
        <f t="shared" si="4"/>
        <v>23.787319166666702</v>
      </c>
      <c r="R37" s="12">
        <v>23787.319166666701</v>
      </c>
      <c r="S37" s="4">
        <f t="shared" si="5"/>
        <v>3.1354942159291497</v>
      </c>
      <c r="T37" s="13">
        <v>2001</v>
      </c>
      <c r="U37" s="14">
        <v>139.74</v>
      </c>
      <c r="V37" s="14">
        <v>183.07</v>
      </c>
      <c r="W37" s="4">
        <f t="shared" si="15"/>
        <v>18.15720751816248</v>
      </c>
      <c r="X37" s="18">
        <f t="shared" si="6"/>
        <v>1.5310985378515949</v>
      </c>
      <c r="Y37" s="18">
        <f t="shared" si="7"/>
        <v>1.1160968110220102</v>
      </c>
      <c r="Z37" s="18">
        <f t="shared" si="8"/>
        <v>0.37183465071765853</v>
      </c>
      <c r="AA37" s="12">
        <f t="shared" si="9"/>
        <v>2.8301476865289397</v>
      </c>
      <c r="AB37">
        <f t="shared" si="10"/>
        <v>6.1745459979173667</v>
      </c>
      <c r="AC37" s="18">
        <f t="shared" si="0"/>
        <v>0.2235616394740074</v>
      </c>
      <c r="AD37" s="18">
        <f t="shared" si="11"/>
        <v>5.875968224452377</v>
      </c>
      <c r="AE37" s="12">
        <v>493.67899999999997</v>
      </c>
      <c r="AF37" s="12">
        <v>598.97500000000002</v>
      </c>
      <c r="AG37" s="8">
        <f t="shared" si="12"/>
        <v>-0.17579364748111365</v>
      </c>
      <c r="AH37">
        <f t="shared" si="13"/>
        <v>1.8178541832119057</v>
      </c>
      <c r="AI37">
        <f t="shared" si="14"/>
        <v>2.6616678436967276</v>
      </c>
    </row>
    <row r="38" spans="1:35" x14ac:dyDescent="0.3">
      <c r="A38" t="s">
        <v>63</v>
      </c>
      <c r="B38" s="11">
        <v>2023</v>
      </c>
      <c r="C38" s="12">
        <v>28.617999999999999</v>
      </c>
      <c r="D38" s="12">
        <v>230.00299999999999</v>
      </c>
      <c r="E38" s="12">
        <v>102.133</v>
      </c>
      <c r="F38" s="12">
        <v>75.078000000000003</v>
      </c>
      <c r="G38" s="12">
        <v>332.13600000000002</v>
      </c>
      <c r="H38" s="12">
        <v>110.38800000000001</v>
      </c>
      <c r="I38" s="12">
        <v>221.749</v>
      </c>
      <c r="J38" s="12">
        <v>107.75</v>
      </c>
      <c r="K38" s="4">
        <f t="shared" si="1"/>
        <v>3.2528928266766206</v>
      </c>
      <c r="L38" s="5">
        <v>3.2528928266766205E-2</v>
      </c>
      <c r="M38" s="19">
        <f t="shared" si="2"/>
        <v>5.0464307361874887</v>
      </c>
      <c r="N38" s="5">
        <v>5.0464307361874884E-2</v>
      </c>
      <c r="O38" s="19">
        <f t="shared" si="3"/>
        <v>9.32</v>
      </c>
      <c r="P38" s="8">
        <v>9.3200000000000005E-2</v>
      </c>
      <c r="Q38" s="19">
        <f t="shared" si="4"/>
        <v>23.787319166666702</v>
      </c>
      <c r="R38" s="12">
        <v>23787.319166666701</v>
      </c>
      <c r="S38" s="4">
        <f t="shared" si="5"/>
        <v>3.6635616461296463</v>
      </c>
      <c r="T38" s="13">
        <v>1985</v>
      </c>
      <c r="U38" s="14">
        <v>139.74</v>
      </c>
      <c r="V38" s="14">
        <v>183.07</v>
      </c>
      <c r="W38" s="4">
        <f t="shared" si="15"/>
        <v>18.15720751816248</v>
      </c>
      <c r="X38" s="18">
        <f t="shared" si="6"/>
        <v>12.905582437801296</v>
      </c>
      <c r="Y38" s="18">
        <f t="shared" si="7"/>
        <v>8.6163499289447678</v>
      </c>
      <c r="Z38" s="18">
        <f t="shared" si="8"/>
        <v>0.49780607804319299</v>
      </c>
      <c r="AA38" s="12">
        <f t="shared" si="9"/>
        <v>2.134598607888631</v>
      </c>
      <c r="AB38">
        <f t="shared" si="10"/>
        <v>5.2008461162169066</v>
      </c>
      <c r="AC38" s="18">
        <f t="shared" si="0"/>
        <v>0.22604595707782354</v>
      </c>
      <c r="AD38" s="18">
        <f t="shared" si="11"/>
        <v>5.875968224452377</v>
      </c>
      <c r="AE38" s="12">
        <v>431.52</v>
      </c>
      <c r="AF38" s="12">
        <v>509.84800000000001</v>
      </c>
      <c r="AG38" s="8">
        <f t="shared" si="12"/>
        <v>-0.1536301015204532</v>
      </c>
      <c r="AH38">
        <f t="shared" si="13"/>
        <v>6.3773702699890507</v>
      </c>
      <c r="AI38">
        <f t="shared" si="14"/>
        <v>13.76180140494189</v>
      </c>
    </row>
    <row r="39" spans="1:35" x14ac:dyDescent="0.3">
      <c r="A39" t="s">
        <v>64</v>
      </c>
      <c r="B39" s="11">
        <v>2023</v>
      </c>
      <c r="C39" s="12">
        <v>190.041</v>
      </c>
      <c r="D39" s="12">
        <v>824.47799999999995</v>
      </c>
      <c r="E39" s="12">
        <v>481.55799999999999</v>
      </c>
      <c r="F39" s="12">
        <v>418.69</v>
      </c>
      <c r="G39" s="12">
        <v>1306.037</v>
      </c>
      <c r="H39" s="12">
        <v>423.70100000000002</v>
      </c>
      <c r="I39" s="12">
        <v>882.33500000000004</v>
      </c>
      <c r="J39" s="12">
        <v>415.66</v>
      </c>
      <c r="K39" s="4">
        <f t="shared" si="1"/>
        <v>3.2528928266766206</v>
      </c>
      <c r="L39" s="5">
        <v>3.2528928266766205E-2</v>
      </c>
      <c r="M39" s="19">
        <f t="shared" si="2"/>
        <v>5.0464307361874887</v>
      </c>
      <c r="N39" s="5">
        <v>5.0464307361874884E-2</v>
      </c>
      <c r="O39" s="19">
        <f t="shared" si="3"/>
        <v>9.32</v>
      </c>
      <c r="P39" s="8">
        <v>9.3200000000000005E-2</v>
      </c>
      <c r="Q39" s="19">
        <f t="shared" si="4"/>
        <v>23.787319166666702</v>
      </c>
      <c r="R39" s="12">
        <v>23787.319166666701</v>
      </c>
      <c r="S39" s="4">
        <f t="shared" si="5"/>
        <v>3.9512437185814275</v>
      </c>
      <c r="T39" s="13">
        <v>1972</v>
      </c>
      <c r="U39" s="14">
        <v>139.74</v>
      </c>
      <c r="V39" s="14">
        <v>183.07</v>
      </c>
      <c r="W39" s="4">
        <f t="shared" si="15"/>
        <v>18.15720751816248</v>
      </c>
      <c r="X39" s="18">
        <f t="shared" si="6"/>
        <v>21.538417947831604</v>
      </c>
      <c r="Y39" s="18">
        <f t="shared" si="7"/>
        <v>14.550966013979696</v>
      </c>
      <c r="Z39" s="18">
        <f t="shared" si="8"/>
        <v>0.48020423081935998</v>
      </c>
      <c r="AA39" s="12">
        <f t="shared" si="9"/>
        <v>1.9835394312659382</v>
      </c>
      <c r="AB39">
        <f t="shared" si="10"/>
        <v>6.5700542328412457</v>
      </c>
      <c r="AC39" s="18">
        <f t="shared" si="0"/>
        <v>0.32058050422767503</v>
      </c>
      <c r="AD39" s="18">
        <f t="shared" si="11"/>
        <v>5.875968224452377</v>
      </c>
      <c r="AE39" s="12">
        <v>2891.076</v>
      </c>
      <c r="AF39" s="12">
        <v>2858.2190000000001</v>
      </c>
      <c r="AG39" s="8">
        <f t="shared" si="12"/>
        <v>1.1495620174661204E-2</v>
      </c>
      <c r="AH39">
        <f t="shared" si="13"/>
        <v>17.302273642112368</v>
      </c>
      <c r="AI39">
        <f t="shared" si="14"/>
        <v>25.137329760028109</v>
      </c>
    </row>
    <row r="40" spans="1:35" x14ac:dyDescent="0.3">
      <c r="A40" t="s">
        <v>65</v>
      </c>
      <c r="B40" s="11">
        <v>2023</v>
      </c>
      <c r="C40" s="12">
        <v>79.736000000000004</v>
      </c>
      <c r="D40" s="12">
        <v>1293.6210000000001</v>
      </c>
      <c r="E40" s="12">
        <v>1421.3430000000001</v>
      </c>
      <c r="F40" s="12">
        <v>914.35799999999995</v>
      </c>
      <c r="G40" s="12">
        <v>2714.9639999999999</v>
      </c>
      <c r="H40" s="12">
        <v>1009.319</v>
      </c>
      <c r="I40" s="12">
        <v>1705.646</v>
      </c>
      <c r="J40" s="12">
        <v>949.3</v>
      </c>
      <c r="K40" s="4">
        <f t="shared" si="1"/>
        <v>3.2528928266766206</v>
      </c>
      <c r="L40" s="5">
        <v>3.2528928266766205E-2</v>
      </c>
      <c r="M40" s="19">
        <f t="shared" si="2"/>
        <v>5.0464307361874887</v>
      </c>
      <c r="N40" s="5">
        <v>5.0464307361874884E-2</v>
      </c>
      <c r="O40" s="19">
        <f t="shared" si="3"/>
        <v>9.32</v>
      </c>
      <c r="P40" s="8">
        <v>9.3200000000000005E-2</v>
      </c>
      <c r="Q40" s="19">
        <f t="shared" si="4"/>
        <v>23.787319166666702</v>
      </c>
      <c r="R40" s="12">
        <v>23787.319166666701</v>
      </c>
      <c r="S40" s="4">
        <f t="shared" si="5"/>
        <v>3.784189633918261</v>
      </c>
      <c r="T40" s="13">
        <v>1980</v>
      </c>
      <c r="U40" s="14">
        <v>139.74</v>
      </c>
      <c r="V40" s="14">
        <v>183.07</v>
      </c>
      <c r="W40" s="4">
        <f t="shared" si="15"/>
        <v>18.15720751816248</v>
      </c>
      <c r="X40" s="18">
        <f t="shared" si="6"/>
        <v>4.6748270156878986</v>
      </c>
      <c r="Y40" s="18">
        <f t="shared" si="7"/>
        <v>2.9369081873645473</v>
      </c>
      <c r="Z40" s="18">
        <f t="shared" si="8"/>
        <v>0.59175174684547671</v>
      </c>
      <c r="AA40" s="12">
        <f t="shared" si="9"/>
        <v>1.3627104182028864</v>
      </c>
      <c r="AB40">
        <f t="shared" si="10"/>
        <v>7.3018355652367859</v>
      </c>
      <c r="AC40" s="18">
        <f t="shared" si="0"/>
        <v>0.33678457614907598</v>
      </c>
      <c r="AD40" s="18">
        <f t="shared" si="11"/>
        <v>5.875968224452377</v>
      </c>
      <c r="AE40" s="12">
        <v>2207.317</v>
      </c>
      <c r="AF40" s="12">
        <v>1918.5150000000001</v>
      </c>
      <c r="AG40" s="8">
        <f t="shared" si="12"/>
        <v>0.15053413707998106</v>
      </c>
      <c r="AH40">
        <f t="shared" si="13"/>
        <v>1.550573294411508</v>
      </c>
      <c r="AI40">
        <f t="shared" si="14"/>
        <v>2.3654625209808318</v>
      </c>
    </row>
    <row r="41" spans="1:35" x14ac:dyDescent="0.3">
      <c r="A41" t="s">
        <v>66</v>
      </c>
      <c r="B41" s="11">
        <v>2023</v>
      </c>
      <c r="C41" s="12">
        <v>374.41699999999997</v>
      </c>
      <c r="D41" s="12">
        <v>2077.665</v>
      </c>
      <c r="E41" s="12">
        <v>528.39800000000002</v>
      </c>
      <c r="F41" s="12">
        <v>392.57799999999997</v>
      </c>
      <c r="G41" s="12">
        <v>2606.0630000000001</v>
      </c>
      <c r="H41" s="12">
        <v>278.80799999999999</v>
      </c>
      <c r="I41" s="12">
        <v>2327.2550000000001</v>
      </c>
      <c r="J41" s="12">
        <v>274.45999999999998</v>
      </c>
      <c r="K41" s="4">
        <f t="shared" si="1"/>
        <v>3.2528928266766206</v>
      </c>
      <c r="L41" s="5">
        <v>3.2528928266766205E-2</v>
      </c>
      <c r="M41" s="19">
        <f t="shared" si="2"/>
        <v>5.0464307361874887</v>
      </c>
      <c r="N41" s="5">
        <v>5.0464307361874884E-2</v>
      </c>
      <c r="O41" s="19">
        <f t="shared" si="3"/>
        <v>9.32</v>
      </c>
      <c r="P41" s="8">
        <v>9.3200000000000005E-2</v>
      </c>
      <c r="Q41" s="19">
        <f t="shared" si="4"/>
        <v>23.787319166666702</v>
      </c>
      <c r="R41" s="12">
        <v>23787.319166666701</v>
      </c>
      <c r="S41" s="4">
        <f t="shared" si="5"/>
        <v>4.1896547420264252</v>
      </c>
      <c r="T41" s="13">
        <v>1958</v>
      </c>
      <c r="U41" s="14">
        <v>139.74</v>
      </c>
      <c r="V41" s="14">
        <v>183.07</v>
      </c>
      <c r="W41" s="4">
        <f t="shared" si="15"/>
        <v>18.15720751816248</v>
      </c>
      <c r="X41" s="18">
        <f t="shared" si="6"/>
        <v>16.088353016751491</v>
      </c>
      <c r="Y41" s="18">
        <f t="shared" si="7"/>
        <v>14.367150755756864</v>
      </c>
      <c r="Z41" s="18">
        <f t="shared" si="8"/>
        <v>0.11980122504839391</v>
      </c>
      <c r="AA41" s="12">
        <f t="shared" si="9"/>
        <v>7.5700102018509074</v>
      </c>
      <c r="AB41">
        <f t="shared" si="10"/>
        <v>7.2608975249985619</v>
      </c>
      <c r="AC41" s="18">
        <f t="shared" si="0"/>
        <v>0.1506402569699965</v>
      </c>
      <c r="AD41" s="18">
        <f t="shared" si="11"/>
        <v>5.875968224452377</v>
      </c>
      <c r="AE41" s="12">
        <v>3137.4679999999998</v>
      </c>
      <c r="AF41" s="12">
        <v>3134.4789999999998</v>
      </c>
      <c r="AG41" s="8">
        <f t="shared" si="12"/>
        <v>9.5358750210163565E-4</v>
      </c>
      <c r="AH41">
        <f t="shared" si="13"/>
        <v>14.114634541711908</v>
      </c>
      <c r="AI41">
        <f t="shared" si="14"/>
        <v>15.67897084485714</v>
      </c>
    </row>
    <row r="42" spans="1:35" x14ac:dyDescent="0.3">
      <c r="A42" t="s">
        <v>67</v>
      </c>
      <c r="B42" s="11">
        <v>2023</v>
      </c>
      <c r="C42" s="12">
        <v>245.245</v>
      </c>
      <c r="D42" s="12">
        <v>2552.5940000000001</v>
      </c>
      <c r="E42" s="12">
        <v>900.495</v>
      </c>
      <c r="F42" s="12">
        <v>773.81899999999996</v>
      </c>
      <c r="G42" s="12">
        <v>3453.0889999999999</v>
      </c>
      <c r="H42" s="12">
        <v>1643.3340000000001</v>
      </c>
      <c r="I42" s="12">
        <v>1809.7550000000001</v>
      </c>
      <c r="J42" s="12">
        <v>1335.42</v>
      </c>
      <c r="K42" s="4">
        <f t="shared" si="1"/>
        <v>3.2528928266766206</v>
      </c>
      <c r="L42" s="5">
        <v>3.2528928266766205E-2</v>
      </c>
      <c r="M42" s="19">
        <f t="shared" si="2"/>
        <v>5.0464307361874887</v>
      </c>
      <c r="N42" s="5">
        <v>5.0464307361874884E-2</v>
      </c>
      <c r="O42" s="19">
        <f t="shared" si="3"/>
        <v>9.32</v>
      </c>
      <c r="P42" s="8">
        <v>9.3200000000000005E-2</v>
      </c>
      <c r="Q42" s="19">
        <f t="shared" si="4"/>
        <v>23.787319166666702</v>
      </c>
      <c r="R42" s="12">
        <v>23787.319166666701</v>
      </c>
      <c r="S42" s="4">
        <f t="shared" si="5"/>
        <v>3.5835189384561099</v>
      </c>
      <c r="T42" s="13">
        <v>1988</v>
      </c>
      <c r="U42" s="14">
        <v>139.74</v>
      </c>
      <c r="V42" s="14">
        <v>183.07</v>
      </c>
      <c r="W42" s="4">
        <f t="shared" si="15"/>
        <v>18.15720751816248</v>
      </c>
      <c r="X42" s="18">
        <f t="shared" si="6"/>
        <v>13.55128180333802</v>
      </c>
      <c r="Y42" s="18">
        <f t="shared" si="7"/>
        <v>7.1021916898174355</v>
      </c>
      <c r="Z42" s="18">
        <f t="shared" si="8"/>
        <v>0.90804224881268458</v>
      </c>
      <c r="AA42" s="12">
        <f t="shared" si="9"/>
        <v>1.9114540743736053</v>
      </c>
      <c r="AB42">
        <f t="shared" si="10"/>
        <v>7.5423260643716752</v>
      </c>
      <c r="AC42" s="18">
        <f t="shared" si="0"/>
        <v>0.22409471635396597</v>
      </c>
      <c r="AD42" s="18">
        <f t="shared" si="11"/>
        <v>5.875968224452377</v>
      </c>
      <c r="AE42" s="12">
        <v>4541.9170000000004</v>
      </c>
      <c r="AF42" s="12">
        <v>5522.915</v>
      </c>
      <c r="AG42" s="8">
        <f t="shared" si="12"/>
        <v>-0.17762322976181955</v>
      </c>
      <c r="AH42">
        <f t="shared" si="13"/>
        <v>10.250907960546368</v>
      </c>
      <c r="AI42">
        <f t="shared" si="14"/>
        <v>19.643687127374349</v>
      </c>
    </row>
    <row r="43" spans="1:35" x14ac:dyDescent="0.3">
      <c r="A43" t="s">
        <v>68</v>
      </c>
      <c r="B43" s="11">
        <v>2023</v>
      </c>
      <c r="C43" s="12">
        <v>1869.9269999999999</v>
      </c>
      <c r="D43" s="12">
        <v>43763.476999999999</v>
      </c>
      <c r="E43" s="12">
        <v>103619.995</v>
      </c>
      <c r="F43" s="12">
        <v>42885.822999999997</v>
      </c>
      <c r="G43" s="12">
        <v>147383.47200000001</v>
      </c>
      <c r="H43" s="12">
        <v>109146.231</v>
      </c>
      <c r="I43" s="12">
        <v>38237.241000000002</v>
      </c>
      <c r="J43" s="12">
        <v>50422.5</v>
      </c>
      <c r="K43" s="4">
        <f t="shared" si="1"/>
        <v>3.2528928266766206</v>
      </c>
      <c r="L43" s="5">
        <v>3.2528928266766205E-2</v>
      </c>
      <c r="M43" s="19">
        <f t="shared" si="2"/>
        <v>5.0464307361874887</v>
      </c>
      <c r="N43" s="5">
        <v>5.0464307361874884E-2</v>
      </c>
      <c r="O43" s="19">
        <f t="shared" si="3"/>
        <v>9.32</v>
      </c>
      <c r="P43" s="8">
        <v>9.3200000000000005E-2</v>
      </c>
      <c r="Q43" s="19">
        <f t="shared" si="4"/>
        <v>23.787319166666702</v>
      </c>
      <c r="R43" s="12">
        <v>23787.319166666701</v>
      </c>
      <c r="S43" s="4">
        <f t="shared" si="5"/>
        <v>2.9957322735539909</v>
      </c>
      <c r="T43" s="13">
        <v>2004</v>
      </c>
      <c r="U43" s="14">
        <v>139.74</v>
      </c>
      <c r="V43" s="14">
        <v>183.07</v>
      </c>
      <c r="W43" s="4">
        <f t="shared" si="15"/>
        <v>18.15720751816248</v>
      </c>
      <c r="X43" s="18">
        <f t="shared" si="6"/>
        <v>4.8903292996479522</v>
      </c>
      <c r="Y43" s="18">
        <f t="shared" si="7"/>
        <v>1.2687494565197921</v>
      </c>
      <c r="Z43" s="18">
        <f t="shared" si="8"/>
        <v>2.8544483897256079</v>
      </c>
      <c r="AA43" s="12">
        <f t="shared" si="9"/>
        <v>0.86793548515047847</v>
      </c>
      <c r="AB43">
        <f t="shared" si="10"/>
        <v>11.296094714817672</v>
      </c>
      <c r="AC43" s="18">
        <f t="shared" si="0"/>
        <v>0.29098122345767508</v>
      </c>
      <c r="AD43" s="18">
        <f t="shared" si="11"/>
        <v>5.875968224452377</v>
      </c>
      <c r="AE43" s="12">
        <v>78516.998999999996</v>
      </c>
      <c r="AF43" s="12">
        <v>76380.75</v>
      </c>
      <c r="AG43" s="8">
        <f t="shared" si="12"/>
        <v>2.7968421362712412E-2</v>
      </c>
      <c r="AH43">
        <f t="shared" si="13"/>
        <v>3.3637252802698177</v>
      </c>
      <c r="AI43">
        <f t="shared" si="14"/>
        <v>12.977093840147727</v>
      </c>
    </row>
    <row r="44" spans="1:35" x14ac:dyDescent="0.3">
      <c r="A44" t="s">
        <v>69</v>
      </c>
      <c r="B44" s="11">
        <v>2023</v>
      </c>
      <c r="C44" s="12">
        <v>109.929</v>
      </c>
      <c r="D44" s="12">
        <v>1016.6420000000001</v>
      </c>
      <c r="E44" s="12">
        <v>1026.5940000000001</v>
      </c>
      <c r="F44" s="12">
        <v>664.05</v>
      </c>
      <c r="G44" s="12">
        <v>2043.2349999999999</v>
      </c>
      <c r="H44" s="12">
        <v>1055.2729999999999</v>
      </c>
      <c r="I44" s="12">
        <v>987.96199999999999</v>
      </c>
      <c r="J44" s="12">
        <v>964.51</v>
      </c>
      <c r="K44" s="4">
        <f t="shared" si="1"/>
        <v>3.2528928266766206</v>
      </c>
      <c r="L44" s="5">
        <v>3.2528928266766205E-2</v>
      </c>
      <c r="M44" s="19">
        <f t="shared" si="2"/>
        <v>5.0464307361874887</v>
      </c>
      <c r="N44" s="5">
        <v>5.0464307361874884E-2</v>
      </c>
      <c r="O44" s="19">
        <f t="shared" si="3"/>
        <v>9.32</v>
      </c>
      <c r="P44" s="8">
        <v>9.3200000000000005E-2</v>
      </c>
      <c r="Q44" s="19">
        <f t="shared" si="4"/>
        <v>23.787319166666702</v>
      </c>
      <c r="R44" s="12">
        <v>23787.319166666701</v>
      </c>
      <c r="S44" s="4">
        <f t="shared" si="5"/>
        <v>3.3672958299864741</v>
      </c>
      <c r="T44" s="13">
        <v>1995</v>
      </c>
      <c r="U44" s="14">
        <v>139.74</v>
      </c>
      <c r="V44" s="14">
        <v>183.07</v>
      </c>
      <c r="W44" s="4">
        <f t="shared" si="15"/>
        <v>18.15720751816248</v>
      </c>
      <c r="X44" s="18">
        <f t="shared" si="6"/>
        <v>11.126844959623954</v>
      </c>
      <c r="Y44" s="18">
        <f t="shared" si="7"/>
        <v>5.380144721483334</v>
      </c>
      <c r="Z44" s="18">
        <f t="shared" si="8"/>
        <v>1.0681311629394652</v>
      </c>
      <c r="AA44" s="12">
        <f t="shared" si="9"/>
        <v>1.0540502431286354</v>
      </c>
      <c r="AB44">
        <f t="shared" si="10"/>
        <v>7.0175912077488958</v>
      </c>
      <c r="AC44" s="18">
        <f t="shared" si="0"/>
        <v>0.32499932704754958</v>
      </c>
      <c r="AD44" s="18">
        <f t="shared" si="11"/>
        <v>5.875968224452377</v>
      </c>
      <c r="AE44" s="12">
        <v>1754.5540000000001</v>
      </c>
      <c r="AF44" s="12">
        <v>1817.8109999999999</v>
      </c>
      <c r="AG44" s="8">
        <f t="shared" si="12"/>
        <v>-3.4798447143294782E-2</v>
      </c>
      <c r="AH44">
        <f t="shared" si="13"/>
        <v>4.5787579397940528</v>
      </c>
      <c r="AI44">
        <f t="shared" si="14"/>
        <v>8.9490107466139417</v>
      </c>
    </row>
    <row r="45" spans="1:35" x14ac:dyDescent="0.3">
      <c r="A45" t="s">
        <v>70</v>
      </c>
      <c r="B45" s="11">
        <v>2023</v>
      </c>
      <c r="C45" s="12">
        <v>-20.399999999999999</v>
      </c>
      <c r="D45" s="12">
        <v>174.23699999999999</v>
      </c>
      <c r="E45" s="12">
        <v>424.97699999999998</v>
      </c>
      <c r="F45" s="12">
        <v>228.20099999999999</v>
      </c>
      <c r="G45" s="12">
        <v>599.21400000000006</v>
      </c>
      <c r="H45" s="12">
        <v>219.61</v>
      </c>
      <c r="I45" s="12">
        <v>379.60300000000001</v>
      </c>
      <c r="J45" s="12">
        <v>172.22</v>
      </c>
      <c r="K45" s="4">
        <f t="shared" si="1"/>
        <v>3.2528928266766206</v>
      </c>
      <c r="L45" s="5">
        <v>3.2528928266766205E-2</v>
      </c>
      <c r="M45" s="19">
        <f t="shared" si="2"/>
        <v>5.0464307361874887</v>
      </c>
      <c r="N45" s="5">
        <v>5.0464307361874884E-2</v>
      </c>
      <c r="O45" s="19">
        <f t="shared" si="3"/>
        <v>9.32</v>
      </c>
      <c r="P45" s="8">
        <v>9.3200000000000005E-2</v>
      </c>
      <c r="Q45" s="19">
        <f t="shared" si="4"/>
        <v>23.787319166666702</v>
      </c>
      <c r="R45" s="12">
        <v>23787.319166666701</v>
      </c>
      <c r="S45" s="4">
        <f t="shared" si="5"/>
        <v>3.4339872044851463</v>
      </c>
      <c r="T45" s="13">
        <v>1993</v>
      </c>
      <c r="U45" s="14">
        <v>139.74</v>
      </c>
      <c r="V45" s="14">
        <v>183.07</v>
      </c>
      <c r="W45" s="4">
        <f t="shared" si="15"/>
        <v>18.15720751816248</v>
      </c>
      <c r="X45" s="18">
        <f t="shared" si="6"/>
        <v>-5.3740355055149713</v>
      </c>
      <c r="Y45" s="18">
        <f t="shared" si="7"/>
        <v>-3.4044598423935346</v>
      </c>
      <c r="Z45" s="18">
        <f t="shared" si="8"/>
        <v>0.57852545949320744</v>
      </c>
      <c r="AA45" s="12">
        <f t="shared" si="9"/>
        <v>1.0117117640227615</v>
      </c>
      <c r="AB45">
        <f t="shared" si="10"/>
        <v>5.7909203890412142</v>
      </c>
      <c r="AC45" s="18">
        <f t="shared" si="0"/>
        <v>0.38083389239904269</v>
      </c>
      <c r="AD45" s="18">
        <f t="shared" si="11"/>
        <v>5.875968224452377</v>
      </c>
      <c r="AE45" s="12">
        <v>313.28100000000001</v>
      </c>
      <c r="AF45" s="12">
        <v>884.08299999999997</v>
      </c>
      <c r="AG45" s="8">
        <f t="shared" si="12"/>
        <v>-0.64564299958261828</v>
      </c>
      <c r="AH45">
        <f t="shared" si="13"/>
        <v>8.4374301735420243</v>
      </c>
      <c r="AI45">
        <f t="shared" si="14"/>
        <v>14.549699662162936</v>
      </c>
    </row>
    <row r="46" spans="1:35" x14ac:dyDescent="0.3">
      <c r="A46" t="s">
        <v>71</v>
      </c>
      <c r="B46" s="11">
        <v>2023</v>
      </c>
      <c r="C46" s="12">
        <v>230.12899999999999</v>
      </c>
      <c r="D46" s="12">
        <v>1366.0160000000001</v>
      </c>
      <c r="E46" s="12">
        <v>855.149</v>
      </c>
      <c r="F46" s="12">
        <v>742.94299999999998</v>
      </c>
      <c r="G46" s="12">
        <v>2221.165</v>
      </c>
      <c r="H46" s="12">
        <v>775.03</v>
      </c>
      <c r="I46" s="12">
        <v>1446.135</v>
      </c>
      <c r="J46" s="12">
        <v>742.91</v>
      </c>
      <c r="K46" s="4">
        <f t="shared" si="1"/>
        <v>3.2528928266766206</v>
      </c>
      <c r="L46" s="5">
        <v>3.2528928266766205E-2</v>
      </c>
      <c r="M46" s="19">
        <f t="shared" si="2"/>
        <v>5.0464307361874887</v>
      </c>
      <c r="N46" s="5">
        <v>5.0464307361874884E-2</v>
      </c>
      <c r="O46" s="19">
        <f t="shared" si="3"/>
        <v>9.32</v>
      </c>
      <c r="P46" s="8">
        <v>9.3200000000000005E-2</v>
      </c>
      <c r="Q46" s="19">
        <f t="shared" si="4"/>
        <v>23.787319166666702</v>
      </c>
      <c r="R46" s="12">
        <v>23787.319166666701</v>
      </c>
      <c r="S46" s="4">
        <f t="shared" si="5"/>
        <v>4.0253516907351496</v>
      </c>
      <c r="T46" s="13">
        <v>1968</v>
      </c>
      <c r="U46" s="14">
        <v>139.74</v>
      </c>
      <c r="V46" s="14">
        <v>183.07</v>
      </c>
      <c r="W46" s="4">
        <f t="shared" si="15"/>
        <v>18.15720751816248</v>
      </c>
      <c r="X46" s="18">
        <f t="shared" si="6"/>
        <v>15.913382913766693</v>
      </c>
      <c r="Y46" s="18">
        <f t="shared" si="7"/>
        <v>10.360734119257236</v>
      </c>
      <c r="Z46" s="18">
        <f t="shared" si="8"/>
        <v>0.5359319842200071</v>
      </c>
      <c r="AA46" s="12">
        <f t="shared" si="9"/>
        <v>1.8387368591081021</v>
      </c>
      <c r="AB46">
        <f t="shared" si="10"/>
        <v>7.101088704620139</v>
      </c>
      <c r="AC46" s="18">
        <f t="shared" si="0"/>
        <v>0.33448348051585541</v>
      </c>
      <c r="AD46" s="18">
        <f t="shared" si="11"/>
        <v>5.875968224452377</v>
      </c>
      <c r="AE46" s="12">
        <v>2206.4769999999999</v>
      </c>
      <c r="AF46" s="12">
        <v>2030.6679999999999</v>
      </c>
      <c r="AG46" s="8">
        <f t="shared" si="12"/>
        <v>8.657692936511531E-2</v>
      </c>
      <c r="AH46">
        <f t="shared" si="13"/>
        <v>11.2002148362392</v>
      </c>
      <c r="AI46">
        <f t="shared" si="14"/>
        <v>16.790723903207233</v>
      </c>
    </row>
    <row r="47" spans="1:35" x14ac:dyDescent="0.3">
      <c r="A47" t="s">
        <v>72</v>
      </c>
      <c r="B47" s="11">
        <v>2023</v>
      </c>
      <c r="C47" s="12">
        <v>817.11699999999996</v>
      </c>
      <c r="D47" s="12">
        <v>14280.779</v>
      </c>
      <c r="E47" s="12">
        <v>5907.3620000000001</v>
      </c>
      <c r="F47" s="12">
        <v>4122.1350000000002</v>
      </c>
      <c r="G47" s="12">
        <v>20188.141</v>
      </c>
      <c r="H47" s="12">
        <v>11844.691999999999</v>
      </c>
      <c r="I47" s="12">
        <v>8343.4480000000003</v>
      </c>
      <c r="J47" s="12">
        <v>10865.68</v>
      </c>
      <c r="K47" s="4">
        <f t="shared" si="1"/>
        <v>3.2528928266766206</v>
      </c>
      <c r="L47" s="5">
        <v>3.2528928266766205E-2</v>
      </c>
      <c r="M47" s="19">
        <f t="shared" si="2"/>
        <v>5.0464307361874887</v>
      </c>
      <c r="N47" s="5">
        <v>5.0464307361874884E-2</v>
      </c>
      <c r="O47" s="19">
        <f t="shared" si="3"/>
        <v>9.32</v>
      </c>
      <c r="P47" s="8">
        <v>9.3200000000000005E-2</v>
      </c>
      <c r="Q47" s="19">
        <f t="shared" si="4"/>
        <v>23.787319166666702</v>
      </c>
      <c r="R47" s="12">
        <v>23787.319166666701</v>
      </c>
      <c r="S47" s="4">
        <f t="shared" si="5"/>
        <v>3.2580965380214821</v>
      </c>
      <c r="T47" s="13">
        <v>1998</v>
      </c>
      <c r="U47" s="14">
        <v>139.74</v>
      </c>
      <c r="V47" s="14">
        <v>183.07</v>
      </c>
      <c r="W47" s="4">
        <f t="shared" si="15"/>
        <v>18.15720751816248</v>
      </c>
      <c r="X47" s="18">
        <f t="shared" si="6"/>
        <v>9.7935170207808557</v>
      </c>
      <c r="Y47" s="18">
        <f t="shared" si="7"/>
        <v>4.0475098722561924</v>
      </c>
      <c r="Z47" s="18">
        <f t="shared" si="8"/>
        <v>1.4196399378290605</v>
      </c>
      <c r="AA47" s="12">
        <f t="shared" si="9"/>
        <v>1.314301451910971</v>
      </c>
      <c r="AB47">
        <f t="shared" si="10"/>
        <v>9.308152224408067</v>
      </c>
      <c r="AC47" s="18">
        <f t="shared" si="0"/>
        <v>0.2041859624420099</v>
      </c>
      <c r="AD47" s="18">
        <f t="shared" si="11"/>
        <v>5.875968224452377</v>
      </c>
      <c r="AE47" s="12">
        <v>13716.602000000001</v>
      </c>
      <c r="AF47" s="12">
        <v>14094.611000000001</v>
      </c>
      <c r="AG47" s="8">
        <f t="shared" si="12"/>
        <v>-2.6819399272530471E-2</v>
      </c>
      <c r="AH47">
        <f t="shared" si="13"/>
        <v>4.9391982065463891</v>
      </c>
      <c r="AI47">
        <f t="shared" si="14"/>
        <v>10.082042205609678</v>
      </c>
    </row>
    <row r="48" spans="1:35" x14ac:dyDescent="0.3">
      <c r="A48" t="s">
        <v>73</v>
      </c>
      <c r="B48" s="11">
        <v>2023</v>
      </c>
      <c r="C48" s="12">
        <v>1971.0989999999999</v>
      </c>
      <c r="D48" s="12">
        <v>12958.118</v>
      </c>
      <c r="E48" s="12">
        <v>1469.44</v>
      </c>
      <c r="F48" s="12">
        <v>882.71500000000003</v>
      </c>
      <c r="G48" s="12">
        <v>14427.558000000001</v>
      </c>
      <c r="H48" s="12">
        <v>4621.3770000000004</v>
      </c>
      <c r="I48" s="12">
        <v>9806.1810000000005</v>
      </c>
      <c r="J48" s="12">
        <v>4611.96</v>
      </c>
      <c r="K48" s="4">
        <f t="shared" si="1"/>
        <v>3.2528928266766206</v>
      </c>
      <c r="L48" s="5">
        <v>3.2528928266766205E-2</v>
      </c>
      <c r="M48" s="19">
        <f t="shared" si="2"/>
        <v>5.0464307361874887</v>
      </c>
      <c r="N48" s="5">
        <v>5.0464307361874884E-2</v>
      </c>
      <c r="O48" s="19">
        <f t="shared" si="3"/>
        <v>9.32</v>
      </c>
      <c r="P48" s="8">
        <v>9.3200000000000005E-2</v>
      </c>
      <c r="Q48" s="19">
        <f t="shared" si="4"/>
        <v>23.787319166666702</v>
      </c>
      <c r="R48" s="12">
        <v>23787.319166666701</v>
      </c>
      <c r="S48" s="4">
        <f t="shared" si="5"/>
        <v>3.5835189384561099</v>
      </c>
      <c r="T48" s="13">
        <v>1988</v>
      </c>
      <c r="U48" s="14">
        <v>139.74</v>
      </c>
      <c r="V48" s="14">
        <v>183.07</v>
      </c>
      <c r="W48" s="4">
        <f t="shared" si="15"/>
        <v>18.15720751816248</v>
      </c>
      <c r="X48" s="18">
        <f t="shared" si="6"/>
        <v>20.100577380735679</v>
      </c>
      <c r="Y48" s="18">
        <f t="shared" si="7"/>
        <v>13.662041767567318</v>
      </c>
      <c r="Z48" s="18">
        <f t="shared" si="8"/>
        <v>0.47127184374834608</v>
      </c>
      <c r="AA48" s="12">
        <f t="shared" si="9"/>
        <v>2.809677013677482</v>
      </c>
      <c r="AB48">
        <f t="shared" si="10"/>
        <v>8.972196999302712</v>
      </c>
      <c r="AC48" s="18">
        <f t="shared" si="0"/>
        <v>6.1182564644689005E-2</v>
      </c>
      <c r="AD48" s="18">
        <f t="shared" si="11"/>
        <v>5.875968224452377</v>
      </c>
      <c r="AE48" s="12">
        <v>33481.608999999997</v>
      </c>
      <c r="AF48" s="12">
        <v>34211.129000000001</v>
      </c>
      <c r="AG48" s="8">
        <f t="shared" si="12"/>
        <v>-2.1324055104992416E-2</v>
      </c>
      <c r="AH48">
        <f t="shared" si="13"/>
        <v>13.576329231374828</v>
      </c>
      <c r="AI48">
        <f t="shared" si="14"/>
        <v>21.443292620464362</v>
      </c>
    </row>
    <row r="49" spans="1:35" x14ac:dyDescent="0.3">
      <c r="A49" t="s">
        <v>74</v>
      </c>
      <c r="B49" s="11">
        <v>2023</v>
      </c>
      <c r="C49" s="12">
        <v>584.27200000000005</v>
      </c>
      <c r="D49" s="12">
        <v>7310.9</v>
      </c>
      <c r="E49" s="12">
        <v>440.78800000000001</v>
      </c>
      <c r="F49" s="12">
        <v>309.64999999999998</v>
      </c>
      <c r="G49" s="12">
        <v>7751.6880000000001</v>
      </c>
      <c r="H49" s="12">
        <v>4777.4160000000002</v>
      </c>
      <c r="I49" s="12">
        <v>2974.2719999999999</v>
      </c>
      <c r="J49" s="12">
        <v>4776.58</v>
      </c>
      <c r="K49" s="4">
        <f t="shared" si="1"/>
        <v>3.2528928266766206</v>
      </c>
      <c r="L49" s="5">
        <v>3.2528928266766205E-2</v>
      </c>
      <c r="M49" s="19">
        <f t="shared" si="2"/>
        <v>5.0464307361874887</v>
      </c>
      <c r="N49" s="5">
        <v>5.0464307361874884E-2</v>
      </c>
      <c r="O49" s="19">
        <f t="shared" si="3"/>
        <v>9.32</v>
      </c>
      <c r="P49" s="8">
        <v>9.3200000000000005E-2</v>
      </c>
      <c r="Q49" s="19">
        <f t="shared" si="4"/>
        <v>23.787319166666702</v>
      </c>
      <c r="R49" s="12">
        <v>23787.319166666701</v>
      </c>
      <c r="S49" s="4">
        <f t="shared" si="5"/>
        <v>2.9957322735539909</v>
      </c>
      <c r="T49" s="13">
        <v>2004</v>
      </c>
      <c r="U49" s="14">
        <v>139.74</v>
      </c>
      <c r="V49" s="14">
        <v>183.07</v>
      </c>
      <c r="W49" s="4">
        <f t="shared" si="15"/>
        <v>18.15720751816248</v>
      </c>
      <c r="X49" s="18">
        <f t="shared" si="6"/>
        <v>19.644202009769117</v>
      </c>
      <c r="Y49" s="18">
        <f t="shared" si="7"/>
        <v>7.5373518645229272</v>
      </c>
      <c r="Z49" s="18">
        <f t="shared" si="8"/>
        <v>1.6062471757794849</v>
      </c>
      <c r="AA49" s="12">
        <f t="shared" si="9"/>
        <v>1.53057208295475</v>
      </c>
      <c r="AB49">
        <f t="shared" si="10"/>
        <v>8.3509674977077921</v>
      </c>
      <c r="AC49" s="18">
        <f t="shared" si="0"/>
        <v>3.9946138183064125E-2</v>
      </c>
      <c r="AD49" s="18">
        <f t="shared" si="11"/>
        <v>5.875968224452377</v>
      </c>
      <c r="AE49" s="12">
        <v>8330.2649999999994</v>
      </c>
      <c r="AF49" s="12">
        <v>6927.5640000000003</v>
      </c>
      <c r="AG49" s="8">
        <f t="shared" si="12"/>
        <v>0.20248113189571385</v>
      </c>
      <c r="AH49">
        <f t="shared" si="13"/>
        <v>7.2333541229837097</v>
      </c>
      <c r="AI49">
        <f t="shared" si="14"/>
        <v>18.531026683119126</v>
      </c>
    </row>
    <row r="50" spans="1:35" x14ac:dyDescent="0.3">
      <c r="A50" t="s">
        <v>75</v>
      </c>
      <c r="B50" s="11">
        <v>2023</v>
      </c>
      <c r="C50" s="12">
        <v>4255.0529999999999</v>
      </c>
      <c r="D50" s="12">
        <v>26553.405999999999</v>
      </c>
      <c r="E50" s="12">
        <v>7503.2190000000001</v>
      </c>
      <c r="F50" s="12">
        <v>3969.7240000000002</v>
      </c>
      <c r="G50" s="12">
        <v>34056.625</v>
      </c>
      <c r="H50" s="12">
        <v>8571.4670000000006</v>
      </c>
      <c r="I50" s="12">
        <v>25485.157999999999</v>
      </c>
      <c r="J50" s="12">
        <v>8224.61</v>
      </c>
      <c r="K50" s="4">
        <f t="shared" si="1"/>
        <v>3.2528928266766206</v>
      </c>
      <c r="L50" s="5">
        <v>3.2528928266766205E-2</v>
      </c>
      <c r="M50" s="19">
        <f t="shared" si="2"/>
        <v>5.0464307361874887</v>
      </c>
      <c r="N50" s="5">
        <v>5.0464307361874884E-2</v>
      </c>
      <c r="O50" s="19">
        <f t="shared" si="3"/>
        <v>9.32</v>
      </c>
      <c r="P50" s="8">
        <v>9.3200000000000005E-2</v>
      </c>
      <c r="Q50" s="19">
        <f t="shared" si="4"/>
        <v>23.787319166666702</v>
      </c>
      <c r="R50" s="12">
        <v>23787.319166666701</v>
      </c>
      <c r="S50" s="4">
        <f t="shared" si="5"/>
        <v>3.044522437723423</v>
      </c>
      <c r="T50" s="13">
        <v>2003</v>
      </c>
      <c r="U50" s="14">
        <v>139.74</v>
      </c>
      <c r="V50" s="14">
        <v>183.07</v>
      </c>
      <c r="W50" s="4">
        <f t="shared" si="15"/>
        <v>18.15720751816248</v>
      </c>
      <c r="X50" s="18">
        <f t="shared" si="6"/>
        <v>16.69620019620832</v>
      </c>
      <c r="Y50" s="18">
        <f t="shared" si="7"/>
        <v>12.494053653290658</v>
      </c>
      <c r="Z50" s="18">
        <f t="shared" si="8"/>
        <v>0.33633171903427089</v>
      </c>
      <c r="AA50" s="12">
        <f t="shared" si="9"/>
        <v>3.2285307145262809</v>
      </c>
      <c r="AB50">
        <f t="shared" si="10"/>
        <v>9.8310814520906682</v>
      </c>
      <c r="AC50" s="18">
        <f t="shared" si="0"/>
        <v>0.11656246031425604</v>
      </c>
      <c r="AD50" s="18">
        <f t="shared" si="11"/>
        <v>5.875968224452377</v>
      </c>
      <c r="AE50" s="12">
        <v>30706.76</v>
      </c>
      <c r="AF50" s="12">
        <v>35235.898999999998</v>
      </c>
      <c r="AG50" s="8">
        <f t="shared" si="12"/>
        <v>-0.12853763146500105</v>
      </c>
      <c r="AH50">
        <f t="shared" si="13"/>
        <v>15.957597192009672</v>
      </c>
      <c r="AI50">
        <f t="shared" si="14"/>
        <v>22.365224848303303</v>
      </c>
    </row>
    <row r="51" spans="1:35" x14ac:dyDescent="0.3">
      <c r="A51" t="s">
        <v>76</v>
      </c>
      <c r="B51" s="11">
        <v>2023</v>
      </c>
      <c r="C51" s="12">
        <v>610.173</v>
      </c>
      <c r="D51" s="12">
        <v>24204.387999999999</v>
      </c>
      <c r="E51" s="12">
        <v>9932.8279999999995</v>
      </c>
      <c r="F51" s="12">
        <v>3996.473</v>
      </c>
      <c r="G51" s="12">
        <v>34137.216</v>
      </c>
      <c r="H51" s="12">
        <v>23037.024000000001</v>
      </c>
      <c r="I51" s="12">
        <v>11100.191999999999</v>
      </c>
      <c r="J51" s="12">
        <v>20031.22</v>
      </c>
      <c r="K51" s="4">
        <f t="shared" si="1"/>
        <v>3.2528928266766206</v>
      </c>
      <c r="L51" s="5">
        <v>3.2528928266766205E-2</v>
      </c>
      <c r="M51" s="19">
        <f t="shared" si="2"/>
        <v>5.0464307361874887</v>
      </c>
      <c r="N51" s="5">
        <v>5.0464307361874884E-2</v>
      </c>
      <c r="O51" s="19">
        <f t="shared" si="3"/>
        <v>9.32</v>
      </c>
      <c r="P51" s="8">
        <v>9.3200000000000005E-2</v>
      </c>
      <c r="Q51" s="19">
        <f t="shared" si="4"/>
        <v>23.787319166666702</v>
      </c>
      <c r="R51" s="12">
        <v>23787.319166666701</v>
      </c>
      <c r="S51" s="4">
        <f t="shared" si="5"/>
        <v>3.3672958299864741</v>
      </c>
      <c r="T51" s="13">
        <v>1995</v>
      </c>
      <c r="U51" s="14">
        <v>139.74</v>
      </c>
      <c r="V51" s="14">
        <v>183.07</v>
      </c>
      <c r="W51" s="4">
        <f t="shared" si="15"/>
        <v>18.15720751816248</v>
      </c>
      <c r="X51" s="18">
        <f t="shared" si="6"/>
        <v>5.4969589715204927</v>
      </c>
      <c r="Y51" s="18">
        <f t="shared" si="7"/>
        <v>1.7874128927209532</v>
      </c>
      <c r="Z51" s="18">
        <f t="shared" si="8"/>
        <v>2.0753716692468025</v>
      </c>
      <c r="AA51" s="12">
        <f t="shared" si="9"/>
        <v>1.2083331918874636</v>
      </c>
      <c r="AB51">
        <f t="shared" si="10"/>
        <v>9.8334450390755617</v>
      </c>
      <c r="AC51" s="18">
        <f t="shared" si="0"/>
        <v>0.11707085311233346</v>
      </c>
      <c r="AD51" s="18">
        <f t="shared" si="11"/>
        <v>5.875968224452377</v>
      </c>
      <c r="AE51" s="12">
        <v>25970.412</v>
      </c>
      <c r="AF51" s="12">
        <v>21304.458999999999</v>
      </c>
      <c r="AG51" s="8">
        <f t="shared" si="12"/>
        <v>0.2190129775179929</v>
      </c>
      <c r="AH51">
        <f t="shared" si="13"/>
        <v>2.8153873393637032</v>
      </c>
      <c r="AI51">
        <f t="shared" si="14"/>
        <v>8.0338871934833023</v>
      </c>
    </row>
    <row r="52" spans="1:35" x14ac:dyDescent="0.3">
      <c r="A52" t="s">
        <v>77</v>
      </c>
      <c r="B52" s="11">
        <v>2023</v>
      </c>
      <c r="C52" s="12">
        <v>154.27699999999999</v>
      </c>
      <c r="D52" s="12">
        <v>638.19600000000003</v>
      </c>
      <c r="E52" s="12">
        <v>378.37099999999998</v>
      </c>
      <c r="F52" s="12">
        <v>313.48599999999999</v>
      </c>
      <c r="G52" s="12">
        <v>1016.567</v>
      </c>
      <c r="H52" s="12">
        <v>418.18799999999999</v>
      </c>
      <c r="I52" s="12">
        <v>598.37800000000004</v>
      </c>
      <c r="J52" s="12">
        <v>400.97</v>
      </c>
      <c r="K52" s="4">
        <f t="shared" si="1"/>
        <v>3.2528928266766206</v>
      </c>
      <c r="L52" s="5">
        <v>3.2528928266766205E-2</v>
      </c>
      <c r="M52" s="19">
        <f t="shared" si="2"/>
        <v>5.0464307361874887</v>
      </c>
      <c r="N52" s="5">
        <v>5.0464307361874884E-2</v>
      </c>
      <c r="O52" s="19">
        <f t="shared" si="3"/>
        <v>9.32</v>
      </c>
      <c r="P52" s="8">
        <v>9.3200000000000005E-2</v>
      </c>
      <c r="Q52" s="19">
        <f t="shared" si="4"/>
        <v>23.787319166666702</v>
      </c>
      <c r="R52" s="12">
        <v>23787.319166666701</v>
      </c>
      <c r="S52" s="4">
        <f t="shared" si="5"/>
        <v>2.7725887222397811</v>
      </c>
      <c r="T52" s="13">
        <v>2008</v>
      </c>
      <c r="U52" s="14">
        <v>139.74</v>
      </c>
      <c r="V52" s="14">
        <v>183.07</v>
      </c>
      <c r="W52" s="4">
        <f t="shared" si="15"/>
        <v>18.15720751816248</v>
      </c>
      <c r="X52" s="18">
        <f t="shared" si="6"/>
        <v>25.782532111808919</v>
      </c>
      <c r="Y52" s="18">
        <f t="shared" si="7"/>
        <v>15.176274657745134</v>
      </c>
      <c r="Z52" s="18">
        <f t="shared" si="8"/>
        <v>0.69886927661110532</v>
      </c>
      <c r="AA52" s="12">
        <f t="shared" si="9"/>
        <v>1.5916302965309126</v>
      </c>
      <c r="AB52">
        <f t="shared" si="10"/>
        <v>6.319488135966103</v>
      </c>
      <c r="AC52" s="18">
        <f t="shared" si="0"/>
        <v>0.30837711631402553</v>
      </c>
      <c r="AD52" s="18">
        <f t="shared" si="11"/>
        <v>5.875968224452377</v>
      </c>
      <c r="AE52" s="12">
        <v>1319.9349999999999</v>
      </c>
      <c r="AF52" s="12">
        <v>1387.3520000000001</v>
      </c>
      <c r="AG52" s="8">
        <f t="shared" si="12"/>
        <v>-4.859401219012921E-2</v>
      </c>
      <c r="AH52">
        <f t="shared" si="13"/>
        <v>18.879484433252667</v>
      </c>
      <c r="AI52">
        <f t="shared" si="14"/>
        <v>30.449552656042933</v>
      </c>
    </row>
    <row r="53" spans="1:35" x14ac:dyDescent="0.3">
      <c r="A53" t="s">
        <v>78</v>
      </c>
      <c r="B53" s="11">
        <v>2023</v>
      </c>
      <c r="C53" s="12">
        <v>29.401</v>
      </c>
      <c r="D53" s="12">
        <v>631.10299999999995</v>
      </c>
      <c r="E53" s="12">
        <v>715.73699999999997</v>
      </c>
      <c r="F53" s="12">
        <v>52.201000000000001</v>
      </c>
      <c r="G53" s="12">
        <v>1346.84</v>
      </c>
      <c r="H53" s="12">
        <v>903.49</v>
      </c>
      <c r="I53" s="12">
        <v>443.35</v>
      </c>
      <c r="J53" s="12">
        <v>621.09</v>
      </c>
      <c r="K53" s="4">
        <f t="shared" si="1"/>
        <v>3.2528928266766206</v>
      </c>
      <c r="L53" s="5">
        <v>3.2528928266766205E-2</v>
      </c>
      <c r="M53" s="19">
        <f t="shared" si="2"/>
        <v>5.0464307361874887</v>
      </c>
      <c r="N53" s="5">
        <v>5.0464307361874884E-2</v>
      </c>
      <c r="O53" s="19">
        <f t="shared" si="3"/>
        <v>9.32</v>
      </c>
      <c r="P53" s="8">
        <v>9.3200000000000005E-2</v>
      </c>
      <c r="Q53" s="19">
        <f t="shared" si="4"/>
        <v>23.787319166666702</v>
      </c>
      <c r="R53" s="12">
        <v>23787.319166666701</v>
      </c>
      <c r="S53" s="4">
        <f t="shared" si="5"/>
        <v>4.1588830833596715</v>
      </c>
      <c r="T53" s="13">
        <v>1960</v>
      </c>
      <c r="U53" s="14">
        <v>139.74</v>
      </c>
      <c r="V53" s="14">
        <v>183.07</v>
      </c>
      <c r="W53" s="4">
        <f t="shared" si="15"/>
        <v>18.15720751816248</v>
      </c>
      <c r="X53" s="18">
        <f t="shared" si="6"/>
        <v>6.6315552046915531</v>
      </c>
      <c r="Y53" s="18">
        <f t="shared" si="7"/>
        <v>2.1829615990021085</v>
      </c>
      <c r="Z53" s="18">
        <f t="shared" si="8"/>
        <v>2.0378707567384682</v>
      </c>
      <c r="AA53" s="12">
        <f t="shared" si="9"/>
        <v>1.0161216570867344</v>
      </c>
      <c r="AB53">
        <f t="shared" si="10"/>
        <v>6.6008179795007509</v>
      </c>
      <c r="AC53" s="18">
        <f t="shared" si="0"/>
        <v>3.8758130141664938E-2</v>
      </c>
      <c r="AD53" s="18">
        <f t="shared" si="11"/>
        <v>5.875968224452377</v>
      </c>
      <c r="AE53" s="12">
        <v>1234.4939999999999</v>
      </c>
      <c r="AF53" s="12">
        <v>959.54100000000005</v>
      </c>
      <c r="AG53" s="8">
        <f t="shared" si="12"/>
        <v>0.28654637998793159</v>
      </c>
      <c r="AH53">
        <f t="shared" si="13"/>
        <v>2.228146239516283</v>
      </c>
      <c r="AI53">
        <f t="shared" si="14"/>
        <v>6.3143446998062966</v>
      </c>
    </row>
    <row r="54" spans="1:35" x14ac:dyDescent="0.3">
      <c r="A54" t="s">
        <v>79</v>
      </c>
      <c r="B54" s="11">
        <v>2023</v>
      </c>
      <c r="C54" s="12">
        <v>54.706000000000003</v>
      </c>
      <c r="D54" s="12">
        <v>330.17099999999999</v>
      </c>
      <c r="E54" s="12">
        <v>215.89500000000001</v>
      </c>
      <c r="F54" s="12">
        <v>105.95099999999999</v>
      </c>
      <c r="G54" s="12">
        <v>546.06700000000001</v>
      </c>
      <c r="H54" s="12">
        <v>156.869</v>
      </c>
      <c r="I54" s="12">
        <v>389.19799999999998</v>
      </c>
      <c r="J54" s="12">
        <v>156.87</v>
      </c>
      <c r="K54" s="4">
        <f t="shared" si="1"/>
        <v>3.2528928266766206</v>
      </c>
      <c r="L54" s="5">
        <v>3.2528928266766205E-2</v>
      </c>
      <c r="M54" s="19">
        <f t="shared" si="2"/>
        <v>5.0464307361874887</v>
      </c>
      <c r="N54" s="5">
        <v>5.0464307361874884E-2</v>
      </c>
      <c r="O54" s="19">
        <f t="shared" si="3"/>
        <v>9.32</v>
      </c>
      <c r="P54" s="8">
        <v>9.3200000000000005E-2</v>
      </c>
      <c r="Q54" s="19">
        <f t="shared" si="4"/>
        <v>23.787319166666702</v>
      </c>
      <c r="R54" s="12">
        <v>23787.319166666701</v>
      </c>
      <c r="S54" s="4">
        <f t="shared" si="5"/>
        <v>3.8712010109078911</v>
      </c>
      <c r="T54" s="13">
        <v>1976</v>
      </c>
      <c r="U54" s="14">
        <v>139.74</v>
      </c>
      <c r="V54" s="14">
        <v>183.07</v>
      </c>
      <c r="W54" s="4">
        <f t="shared" si="15"/>
        <v>18.15720751816248</v>
      </c>
      <c r="X54" s="18">
        <f t="shared" si="6"/>
        <v>14.05608456364113</v>
      </c>
      <c r="Y54" s="18">
        <f t="shared" si="7"/>
        <v>10.018184581745464</v>
      </c>
      <c r="Z54" s="18">
        <f t="shared" si="8"/>
        <v>0.40305705579165363</v>
      </c>
      <c r="AA54" s="12">
        <f t="shared" si="9"/>
        <v>2.104742780646395</v>
      </c>
      <c r="AB54">
        <f t="shared" si="10"/>
        <v>5.6980432714644511</v>
      </c>
      <c r="AC54" s="18">
        <f t="shared" si="0"/>
        <v>0.19402564154215507</v>
      </c>
      <c r="AD54" s="18">
        <f t="shared" si="11"/>
        <v>5.875968224452377</v>
      </c>
      <c r="AE54" s="12">
        <v>316.70600000000002</v>
      </c>
      <c r="AF54" s="12">
        <v>315.30099999999999</v>
      </c>
      <c r="AG54" s="8">
        <f t="shared" si="12"/>
        <v>4.456059447956174E-3</v>
      </c>
      <c r="AH54">
        <f t="shared" si="13"/>
        <v>9.6146182428201108</v>
      </c>
      <c r="AI54">
        <f t="shared" si="14"/>
        <v>13.360987972078131</v>
      </c>
    </row>
    <row r="55" spans="1:35" x14ac:dyDescent="0.3">
      <c r="A55" t="s">
        <v>80</v>
      </c>
      <c r="B55" s="11">
        <v>2023</v>
      </c>
      <c r="C55" s="12">
        <v>87.799000000000007</v>
      </c>
      <c r="D55" s="12">
        <v>1395.9359999999999</v>
      </c>
      <c r="E55" s="12">
        <v>1577.923</v>
      </c>
      <c r="F55" s="12">
        <v>642.36900000000003</v>
      </c>
      <c r="G55" s="12">
        <v>2973.8589999999999</v>
      </c>
      <c r="H55" s="12">
        <v>1344.97</v>
      </c>
      <c r="I55" s="12">
        <v>1628.8889999999999</v>
      </c>
      <c r="J55" s="12">
        <v>935.58</v>
      </c>
      <c r="K55" s="4">
        <f t="shared" si="1"/>
        <v>3.2528928266766206</v>
      </c>
      <c r="L55" s="5">
        <v>3.2528928266766205E-2</v>
      </c>
      <c r="M55" s="19">
        <f t="shared" si="2"/>
        <v>5.0464307361874887</v>
      </c>
      <c r="N55" s="5">
        <v>5.0464307361874884E-2</v>
      </c>
      <c r="O55" s="19">
        <f t="shared" si="3"/>
        <v>9.32</v>
      </c>
      <c r="P55" s="8">
        <v>9.3200000000000005E-2</v>
      </c>
      <c r="Q55" s="19">
        <f t="shared" si="4"/>
        <v>23.787319166666702</v>
      </c>
      <c r="R55" s="12">
        <v>23787.319166666701</v>
      </c>
      <c r="S55" s="4">
        <f t="shared" si="5"/>
        <v>3.1780538303479458</v>
      </c>
      <c r="T55" s="13">
        <v>2000</v>
      </c>
      <c r="U55" s="14">
        <v>139.74</v>
      </c>
      <c r="V55" s="14">
        <v>183.07</v>
      </c>
      <c r="W55" s="4">
        <f t="shared" si="15"/>
        <v>18.15720751816248</v>
      </c>
      <c r="X55" s="18">
        <f t="shared" si="6"/>
        <v>5.3901155941258123</v>
      </c>
      <c r="Y55" s="18">
        <f t="shared" si="7"/>
        <v>2.9523592073464147</v>
      </c>
      <c r="Z55" s="18">
        <f t="shared" si="8"/>
        <v>0.82569776086645563</v>
      </c>
      <c r="AA55" s="12">
        <f t="shared" si="9"/>
        <v>1.4920541268517924</v>
      </c>
      <c r="AB55">
        <f t="shared" si="10"/>
        <v>7.3929173076269183</v>
      </c>
      <c r="AC55" s="18">
        <f t="shared" si="0"/>
        <v>0.21600519728743026</v>
      </c>
      <c r="AD55" s="18">
        <f t="shared" si="11"/>
        <v>5.875968224452377</v>
      </c>
      <c r="AE55" s="12">
        <v>1425.625</v>
      </c>
      <c r="AF55" s="12">
        <v>2116.7809999999999</v>
      </c>
      <c r="AG55" s="8">
        <f t="shared" si="12"/>
        <v>-0.32651275686998321</v>
      </c>
      <c r="AH55">
        <f t="shared" si="13"/>
        <v>11.400952361680973</v>
      </c>
      <c r="AI55">
        <f t="shared" si="14"/>
        <v>15.720950755634002</v>
      </c>
    </row>
    <row r="56" spans="1:35" x14ac:dyDescent="0.3">
      <c r="A56" t="s">
        <v>81</v>
      </c>
      <c r="B56" s="11">
        <v>2023</v>
      </c>
      <c r="C56" s="12">
        <v>44.432000000000002</v>
      </c>
      <c r="D56" s="12">
        <v>3968.4969999999998</v>
      </c>
      <c r="E56" s="12">
        <v>3205.366</v>
      </c>
      <c r="F56" s="12">
        <v>911.83500000000004</v>
      </c>
      <c r="G56" s="12">
        <v>7173.8630000000003</v>
      </c>
      <c r="H56" s="12">
        <v>4733.9319999999998</v>
      </c>
      <c r="I56" s="12">
        <v>2439.931</v>
      </c>
      <c r="J56" s="12">
        <v>2878.58</v>
      </c>
      <c r="K56" s="4">
        <f t="shared" si="1"/>
        <v>3.2528928266766206</v>
      </c>
      <c r="L56" s="5">
        <v>3.2528928266766205E-2</v>
      </c>
      <c r="M56" s="19">
        <f t="shared" si="2"/>
        <v>5.0464307361874887</v>
      </c>
      <c r="N56" s="5">
        <v>5.0464307361874884E-2</v>
      </c>
      <c r="O56" s="19">
        <f t="shared" si="3"/>
        <v>9.32</v>
      </c>
      <c r="P56" s="8">
        <v>9.3200000000000005E-2</v>
      </c>
      <c r="Q56" s="19">
        <f t="shared" si="4"/>
        <v>23.787319166666702</v>
      </c>
      <c r="R56" s="12">
        <v>23787.319166666701</v>
      </c>
      <c r="S56" s="4">
        <f t="shared" si="5"/>
        <v>3.7376696182833684</v>
      </c>
      <c r="T56" s="13">
        <v>1982</v>
      </c>
      <c r="U56" s="14">
        <v>139.74</v>
      </c>
      <c r="V56" s="14">
        <v>183.07</v>
      </c>
      <c r="W56" s="4">
        <f t="shared" si="15"/>
        <v>18.15720751816248</v>
      </c>
      <c r="X56" s="18">
        <f t="shared" si="6"/>
        <v>1.8210351030418483</v>
      </c>
      <c r="Y56" s="18">
        <f t="shared" si="7"/>
        <v>0.61935947201668062</v>
      </c>
      <c r="Z56" s="18">
        <f t="shared" si="8"/>
        <v>1.9401909316288042</v>
      </c>
      <c r="AA56" s="12">
        <f t="shared" si="9"/>
        <v>1.3786300884463867</v>
      </c>
      <c r="AB56">
        <f t="shared" si="10"/>
        <v>8.273501153796829</v>
      </c>
      <c r="AC56" s="18">
        <f t="shared" si="0"/>
        <v>0.12710515938205119</v>
      </c>
      <c r="AD56" s="18">
        <f t="shared" si="11"/>
        <v>5.875968224452377</v>
      </c>
      <c r="AE56" s="12">
        <v>20852.169000000002</v>
      </c>
      <c r="AF56" s="12">
        <v>21322.513999999999</v>
      </c>
      <c r="AG56" s="8">
        <f t="shared" si="12"/>
        <v>-2.2058609036439022E-2</v>
      </c>
      <c r="AH56">
        <f t="shared" si="13"/>
        <v>9.5342316436801706</v>
      </c>
      <c r="AI56">
        <f t="shared" si="14"/>
        <v>23.864901988012232</v>
      </c>
    </row>
    <row r="57" spans="1:35" x14ac:dyDescent="0.3">
      <c r="A57" t="s">
        <v>82</v>
      </c>
      <c r="B57" s="11">
        <v>2023</v>
      </c>
      <c r="C57" s="12">
        <v>133.804</v>
      </c>
      <c r="D57" s="12">
        <v>2130.7539999999999</v>
      </c>
      <c r="E57" s="12">
        <v>1148.6099999999999</v>
      </c>
      <c r="F57" s="12">
        <v>960.92100000000005</v>
      </c>
      <c r="G57" s="12">
        <v>3279.364</v>
      </c>
      <c r="H57" s="12">
        <v>1269.2280000000001</v>
      </c>
      <c r="I57" s="12">
        <v>2010.1369999999999</v>
      </c>
      <c r="J57" s="12">
        <v>1173.4100000000001</v>
      </c>
      <c r="K57" s="4">
        <f t="shared" si="1"/>
        <v>3.2528928266766206</v>
      </c>
      <c r="L57" s="5">
        <v>3.2528928266766205E-2</v>
      </c>
      <c r="M57" s="19">
        <f t="shared" si="2"/>
        <v>5.0464307361874887</v>
      </c>
      <c r="N57" s="5">
        <v>5.0464307361874884E-2</v>
      </c>
      <c r="O57" s="19">
        <f t="shared" si="3"/>
        <v>9.32</v>
      </c>
      <c r="P57" s="8">
        <v>9.3200000000000005E-2</v>
      </c>
      <c r="Q57" s="19">
        <f t="shared" si="4"/>
        <v>23.787319166666702</v>
      </c>
      <c r="R57" s="12">
        <v>23787.319166666701</v>
      </c>
      <c r="S57" s="4">
        <f t="shared" si="5"/>
        <v>3.8712010109078911</v>
      </c>
      <c r="T57" s="13">
        <v>1976</v>
      </c>
      <c r="U57" s="14">
        <v>139.74</v>
      </c>
      <c r="V57" s="14">
        <v>183.07</v>
      </c>
      <c r="W57" s="4">
        <f t="shared" si="15"/>
        <v>18.15720751816248</v>
      </c>
      <c r="X57" s="18">
        <f t="shared" si="6"/>
        <v>6.6564617237531571</v>
      </c>
      <c r="Y57" s="18">
        <f t="shared" si="7"/>
        <v>4.0801814010277599</v>
      </c>
      <c r="Z57" s="18">
        <f t="shared" si="8"/>
        <v>0.63141367976411567</v>
      </c>
      <c r="AA57" s="12">
        <f t="shared" si="9"/>
        <v>1.8158648724657194</v>
      </c>
      <c r="AB57">
        <f t="shared" si="10"/>
        <v>7.4907063727628245</v>
      </c>
      <c r="AC57" s="18">
        <f t="shared" si="0"/>
        <v>0.293020536908986</v>
      </c>
      <c r="AD57" s="18">
        <f t="shared" si="11"/>
        <v>5.875968224452377</v>
      </c>
      <c r="AE57" s="12">
        <v>3327.9349999999999</v>
      </c>
      <c r="AF57" s="12">
        <v>4340.75</v>
      </c>
      <c r="AG57" s="8">
        <f t="shared" si="12"/>
        <v>-0.23332719000172783</v>
      </c>
      <c r="AH57">
        <f t="shared" si="13"/>
        <v>8.0835083131846464</v>
      </c>
      <c r="AI57">
        <f t="shared" si="14"/>
        <v>14.203603393271976</v>
      </c>
    </row>
    <row r="58" spans="1:35" x14ac:dyDescent="0.3">
      <c r="A58" t="s">
        <v>83</v>
      </c>
      <c r="B58" s="11">
        <v>2023</v>
      </c>
      <c r="C58" s="12">
        <v>356.17399999999998</v>
      </c>
      <c r="D58" s="12">
        <v>2074.4549999999999</v>
      </c>
      <c r="E58" s="12">
        <v>733.99300000000005</v>
      </c>
      <c r="F58" s="12">
        <v>575.58600000000001</v>
      </c>
      <c r="G58" s="12">
        <v>2808.4479999999999</v>
      </c>
      <c r="H58" s="12">
        <v>714.46799999999996</v>
      </c>
      <c r="I58" s="12">
        <v>2093.98</v>
      </c>
      <c r="J58" s="12">
        <v>659.54</v>
      </c>
      <c r="K58" s="4">
        <f t="shared" si="1"/>
        <v>3.2528928266766206</v>
      </c>
      <c r="L58" s="5">
        <v>3.2528928266766205E-2</v>
      </c>
      <c r="M58" s="19">
        <f t="shared" si="2"/>
        <v>5.0464307361874887</v>
      </c>
      <c r="N58" s="5">
        <v>5.0464307361874884E-2</v>
      </c>
      <c r="O58" s="19">
        <f t="shared" si="3"/>
        <v>9.32</v>
      </c>
      <c r="P58" s="8">
        <v>9.3200000000000005E-2</v>
      </c>
      <c r="Q58" s="19">
        <f t="shared" si="4"/>
        <v>23.787319166666702</v>
      </c>
      <c r="R58" s="12">
        <v>23787.319166666701</v>
      </c>
      <c r="S58" s="4">
        <f t="shared" si="5"/>
        <v>3.7612001156935624</v>
      </c>
      <c r="T58" s="13">
        <v>1981</v>
      </c>
      <c r="U58" s="14">
        <v>139.74</v>
      </c>
      <c r="V58" s="14">
        <v>183.07</v>
      </c>
      <c r="W58" s="4">
        <f t="shared" si="15"/>
        <v>18.15720751816248</v>
      </c>
      <c r="X58" s="18">
        <f t="shared" si="6"/>
        <v>17.009427024135853</v>
      </c>
      <c r="Y58" s="18">
        <f t="shared" si="7"/>
        <v>12.682235882594231</v>
      </c>
      <c r="Z58" s="18">
        <f t="shared" si="8"/>
        <v>0.34120096658038757</v>
      </c>
      <c r="AA58" s="12">
        <f t="shared" si="9"/>
        <v>3.1453058192073264</v>
      </c>
      <c r="AB58">
        <f t="shared" si="10"/>
        <v>7.3356888892045982</v>
      </c>
      <c r="AC58" s="18">
        <f t="shared" si="0"/>
        <v>0.20494807096303724</v>
      </c>
      <c r="AD58" s="18">
        <f t="shared" si="11"/>
        <v>5.875968224452377</v>
      </c>
      <c r="AE58" s="12">
        <v>3496.672</v>
      </c>
      <c r="AF58" s="12">
        <v>3550.4059999999999</v>
      </c>
      <c r="AG58" s="8">
        <f t="shared" si="12"/>
        <v>-1.5134607140704449E-2</v>
      </c>
      <c r="AH58">
        <f t="shared" si="13"/>
        <v>13.974624229183602</v>
      </c>
      <c r="AI58">
        <f t="shared" si="14"/>
        <v>20.478202865151555</v>
      </c>
    </row>
    <row r="59" spans="1:35" x14ac:dyDescent="0.3">
      <c r="A59" t="s">
        <v>84</v>
      </c>
      <c r="B59" s="11">
        <v>2023</v>
      </c>
      <c r="C59" s="12">
        <v>2.395</v>
      </c>
      <c r="D59" s="12">
        <v>1637.454</v>
      </c>
      <c r="E59" s="12">
        <v>532.298</v>
      </c>
      <c r="F59" s="12">
        <v>302.19099999999997</v>
      </c>
      <c r="G59" s="12">
        <v>2169.752</v>
      </c>
      <c r="H59" s="12">
        <v>1732.299</v>
      </c>
      <c r="I59" s="12">
        <v>437.45299999999997</v>
      </c>
      <c r="J59" s="12">
        <v>1545.48</v>
      </c>
      <c r="K59" s="4">
        <f t="shared" si="1"/>
        <v>3.2528928266766206</v>
      </c>
      <c r="L59" s="5">
        <v>3.2528928266766205E-2</v>
      </c>
      <c r="M59" s="19">
        <f t="shared" si="2"/>
        <v>5.0464307361874887</v>
      </c>
      <c r="N59" s="5">
        <v>5.0464307361874884E-2</v>
      </c>
      <c r="O59" s="19">
        <f t="shared" si="3"/>
        <v>9.32</v>
      </c>
      <c r="P59" s="8">
        <v>9.3200000000000005E-2</v>
      </c>
      <c r="Q59" s="19">
        <f t="shared" si="4"/>
        <v>23.787319166666702</v>
      </c>
      <c r="R59" s="12">
        <v>23787.319166666701</v>
      </c>
      <c r="S59" s="4">
        <f t="shared" si="5"/>
        <v>3.8712010109078911</v>
      </c>
      <c r="T59" s="13">
        <v>1976</v>
      </c>
      <c r="U59" s="14">
        <v>139.74</v>
      </c>
      <c r="V59" s="14">
        <v>183.07</v>
      </c>
      <c r="W59" s="4">
        <f t="shared" si="15"/>
        <v>18.15720751816248</v>
      </c>
      <c r="X59" s="18">
        <f t="shared" si="6"/>
        <v>0.54748738721645529</v>
      </c>
      <c r="Y59" s="18">
        <f t="shared" si="7"/>
        <v>0.11038127859773837</v>
      </c>
      <c r="Z59" s="18">
        <f t="shared" si="8"/>
        <v>3.9599659849172371</v>
      </c>
      <c r="AA59" s="12">
        <f t="shared" si="9"/>
        <v>1.0595116080441027</v>
      </c>
      <c r="AB59">
        <f t="shared" si="10"/>
        <v>7.0776697469142773</v>
      </c>
      <c r="AC59" s="18">
        <f t="shared" si="0"/>
        <v>0.13927444242475637</v>
      </c>
      <c r="AD59" s="18">
        <f t="shared" si="11"/>
        <v>5.875968224452377</v>
      </c>
      <c r="AE59" s="12">
        <v>2652.366</v>
      </c>
      <c r="AF59" s="12">
        <v>3043.357</v>
      </c>
      <c r="AG59" s="8">
        <f t="shared" si="12"/>
        <v>-0.12847359018347174</v>
      </c>
      <c r="AH59">
        <f t="shared" si="13"/>
        <v>1.3806670676453283</v>
      </c>
      <c r="AI59">
        <f t="shared" si="14"/>
        <v>11.115371457566566</v>
      </c>
    </row>
    <row r="60" spans="1:35" x14ac:dyDescent="0.3">
      <c r="A60" t="s">
        <v>85</v>
      </c>
      <c r="B60" s="11">
        <v>2023</v>
      </c>
      <c r="C60" s="12">
        <v>12.686</v>
      </c>
      <c r="D60" s="12">
        <v>974.26400000000001</v>
      </c>
      <c r="E60" s="12">
        <v>482.036</v>
      </c>
      <c r="F60" s="12">
        <v>368.49799999999999</v>
      </c>
      <c r="G60" s="12">
        <v>1456.3</v>
      </c>
      <c r="H60" s="12">
        <v>880.43399999999997</v>
      </c>
      <c r="I60" s="12">
        <v>575.86599999999999</v>
      </c>
      <c r="J60" s="12">
        <v>776.12</v>
      </c>
      <c r="K60" s="4">
        <f t="shared" si="1"/>
        <v>3.2528928266766206</v>
      </c>
      <c r="L60" s="5">
        <v>3.2528928266766205E-2</v>
      </c>
      <c r="M60" s="19">
        <f t="shared" si="2"/>
        <v>5.0464307361874887</v>
      </c>
      <c r="N60" s="5">
        <v>5.0464307361874884E-2</v>
      </c>
      <c r="O60" s="19">
        <f t="shared" si="3"/>
        <v>9.32</v>
      </c>
      <c r="P60" s="8">
        <v>9.3200000000000005E-2</v>
      </c>
      <c r="Q60" s="19">
        <f t="shared" si="4"/>
        <v>23.787319166666702</v>
      </c>
      <c r="R60" s="12">
        <v>23787.319166666701</v>
      </c>
      <c r="S60" s="4">
        <f t="shared" si="5"/>
        <v>4.1588830833596715</v>
      </c>
      <c r="T60" s="13">
        <v>1960</v>
      </c>
      <c r="U60" s="14">
        <v>139.74</v>
      </c>
      <c r="V60" s="14">
        <v>183.07</v>
      </c>
      <c r="W60" s="4">
        <f t="shared" si="15"/>
        <v>18.15720751816248</v>
      </c>
      <c r="X60" s="18">
        <f t="shared" si="6"/>
        <v>2.202943045778011</v>
      </c>
      <c r="Y60" s="18">
        <f t="shared" si="7"/>
        <v>0.8711117214859575</v>
      </c>
      <c r="Z60" s="18">
        <f t="shared" si="8"/>
        <v>1.528886928556296</v>
      </c>
      <c r="AA60" s="12">
        <f t="shared" si="9"/>
        <v>1.2553007266917486</v>
      </c>
      <c r="AB60">
        <f t="shared" si="10"/>
        <v>6.6789558441137027</v>
      </c>
      <c r="AC60" s="18">
        <f t="shared" si="0"/>
        <v>0.25303714893909224</v>
      </c>
      <c r="AD60" s="18">
        <f t="shared" si="11"/>
        <v>5.875968224452377</v>
      </c>
      <c r="AE60" s="12">
        <v>1683.51</v>
      </c>
      <c r="AF60" s="12">
        <v>1960.1969999999999</v>
      </c>
      <c r="AG60" s="8">
        <f t="shared" si="12"/>
        <v>-0.14115264945309064</v>
      </c>
      <c r="AH60">
        <f t="shared" si="13"/>
        <v>3.0455858995852818</v>
      </c>
      <c r="AI60">
        <f t="shared" si="14"/>
        <v>8.8786744609290089</v>
      </c>
    </row>
    <row r="61" spans="1:35" x14ac:dyDescent="0.3">
      <c r="A61" t="s">
        <v>86</v>
      </c>
      <c r="B61" s="11">
        <v>2023</v>
      </c>
      <c r="C61" s="12">
        <v>449.95299999999997</v>
      </c>
      <c r="D61" s="12">
        <v>1791.914</v>
      </c>
      <c r="E61" s="12">
        <v>866.49300000000005</v>
      </c>
      <c r="F61" s="12">
        <v>264.61500000000001</v>
      </c>
      <c r="G61" s="12">
        <v>2658.4070000000002</v>
      </c>
      <c r="H61" s="12">
        <v>545.62199999999996</v>
      </c>
      <c r="I61" s="12">
        <v>2112.7849999999999</v>
      </c>
      <c r="J61" s="12">
        <v>540.92999999999995</v>
      </c>
      <c r="K61" s="4">
        <f t="shared" si="1"/>
        <v>3.2528928266766206</v>
      </c>
      <c r="L61" s="5">
        <v>3.2528928266766205E-2</v>
      </c>
      <c r="M61" s="19">
        <f t="shared" si="2"/>
        <v>5.0464307361874887</v>
      </c>
      <c r="N61" s="5">
        <v>5.0464307361874884E-2</v>
      </c>
      <c r="O61" s="19">
        <f t="shared" si="3"/>
        <v>9.32</v>
      </c>
      <c r="P61" s="8">
        <v>9.3200000000000005E-2</v>
      </c>
      <c r="Q61" s="19">
        <f t="shared" si="4"/>
        <v>23.787319166666702</v>
      </c>
      <c r="R61" s="12">
        <v>23787.319166666701</v>
      </c>
      <c r="S61" s="4">
        <f t="shared" si="5"/>
        <v>4.0073331852324712</v>
      </c>
      <c r="T61" s="13">
        <v>1969</v>
      </c>
      <c r="U61" s="14">
        <v>139.74</v>
      </c>
      <c r="V61" s="14">
        <v>183.07</v>
      </c>
      <c r="W61" s="4">
        <f t="shared" si="15"/>
        <v>18.15720751816248</v>
      </c>
      <c r="X61" s="18">
        <f t="shared" si="6"/>
        <v>21.296677134682422</v>
      </c>
      <c r="Y61" s="18">
        <f t="shared" si="7"/>
        <v>16.925662624270849</v>
      </c>
      <c r="Z61" s="18">
        <f t="shared" si="8"/>
        <v>0.25824776302368674</v>
      </c>
      <c r="AA61" s="12">
        <f t="shared" si="9"/>
        <v>3.312654132697392</v>
      </c>
      <c r="AB61">
        <f t="shared" si="10"/>
        <v>7.2807839428248906</v>
      </c>
      <c r="AC61" s="18">
        <f t="shared" si="0"/>
        <v>9.9538934406958754E-2</v>
      </c>
      <c r="AD61" s="18">
        <f t="shared" si="11"/>
        <v>5.875968224452377</v>
      </c>
      <c r="AE61" s="12">
        <v>2372.4540000000002</v>
      </c>
      <c r="AF61" s="12">
        <v>2212.2930000000001</v>
      </c>
      <c r="AG61" s="8">
        <f t="shared" si="12"/>
        <v>7.2395925856114013E-2</v>
      </c>
      <c r="AH61">
        <f t="shared" si="13"/>
        <v>15.150480712166175</v>
      </c>
      <c r="AI61">
        <f t="shared" si="14"/>
        <v>19.190573671904318</v>
      </c>
    </row>
    <row r="62" spans="1:35" x14ac:dyDescent="0.3">
      <c r="A62" t="s">
        <v>87</v>
      </c>
      <c r="B62" s="11">
        <v>2023</v>
      </c>
      <c r="C62" s="12">
        <v>973.75699999999995</v>
      </c>
      <c r="D62" s="12">
        <v>7888.1570000000002</v>
      </c>
      <c r="E62" s="12">
        <v>4054.393</v>
      </c>
      <c r="F62" s="12">
        <v>3383.3389999999999</v>
      </c>
      <c r="G62" s="12">
        <v>11942.549000000001</v>
      </c>
      <c r="H62" s="12">
        <v>3351.4940000000001</v>
      </c>
      <c r="I62" s="12">
        <v>8591.0560000000005</v>
      </c>
      <c r="J62" s="12">
        <v>3232.91</v>
      </c>
      <c r="K62" s="4">
        <f t="shared" si="1"/>
        <v>3.2528928266766206</v>
      </c>
      <c r="L62" s="5">
        <v>3.2528928266766205E-2</v>
      </c>
      <c r="M62" s="19">
        <f t="shared" si="2"/>
        <v>5.0464307361874887</v>
      </c>
      <c r="N62" s="5">
        <v>5.0464307361874884E-2</v>
      </c>
      <c r="O62" s="19">
        <f t="shared" si="3"/>
        <v>9.32</v>
      </c>
      <c r="P62" s="8">
        <v>9.3200000000000005E-2</v>
      </c>
      <c r="Q62" s="19">
        <f t="shared" si="4"/>
        <v>23.787319166666702</v>
      </c>
      <c r="R62" s="12">
        <v>23787.319166666701</v>
      </c>
      <c r="S62" s="4">
        <f t="shared" si="5"/>
        <v>3.2958368660043291</v>
      </c>
      <c r="T62" s="13">
        <v>1997</v>
      </c>
      <c r="U62" s="14">
        <v>139.74</v>
      </c>
      <c r="V62" s="14">
        <v>183.07</v>
      </c>
      <c r="W62" s="4">
        <f t="shared" si="15"/>
        <v>18.15720751816248</v>
      </c>
      <c r="X62" s="18">
        <f t="shared" si="6"/>
        <v>11.334543739442507</v>
      </c>
      <c r="Y62" s="18">
        <f t="shared" si="7"/>
        <v>8.1536780799475874</v>
      </c>
      <c r="Z62" s="18">
        <f t="shared" si="8"/>
        <v>0.39011432354765235</v>
      </c>
      <c r="AA62" s="12">
        <f t="shared" si="9"/>
        <v>2.4399556436770591</v>
      </c>
      <c r="AB62">
        <f t="shared" si="10"/>
        <v>8.7831644408743781</v>
      </c>
      <c r="AC62" s="18">
        <f t="shared" si="0"/>
        <v>0.28330124498547166</v>
      </c>
      <c r="AD62" s="18">
        <f t="shared" si="11"/>
        <v>5.875968224452377</v>
      </c>
      <c r="AE62" s="12">
        <v>10075.769</v>
      </c>
      <c r="AF62" s="12">
        <v>13463.915999999999</v>
      </c>
      <c r="AG62" s="8">
        <f t="shared" si="12"/>
        <v>-0.25164647491858977</v>
      </c>
      <c r="AH62">
        <f t="shared" si="13"/>
        <v>17.37779162914854</v>
      </c>
      <c r="AI62">
        <f t="shared" si="14"/>
        <v>26.16088505024701</v>
      </c>
    </row>
    <row r="63" spans="1:35" x14ac:dyDescent="0.3">
      <c r="A63" t="s">
        <v>88</v>
      </c>
      <c r="B63" s="11">
        <v>2023</v>
      </c>
      <c r="C63" s="12">
        <v>9019.3539999999994</v>
      </c>
      <c r="D63" s="12">
        <v>35935.879999999997</v>
      </c>
      <c r="E63" s="12">
        <v>16737.491000000002</v>
      </c>
      <c r="F63" s="12">
        <v>12689.652</v>
      </c>
      <c r="G63" s="12">
        <v>52673.370999999999</v>
      </c>
      <c r="H63" s="12">
        <v>17647.627</v>
      </c>
      <c r="I63" s="12">
        <v>35025.743999999999</v>
      </c>
      <c r="J63" s="12">
        <v>17138.689999999999</v>
      </c>
      <c r="K63" s="4">
        <f t="shared" si="1"/>
        <v>3.2528928266766206</v>
      </c>
      <c r="L63" s="5">
        <v>3.2528928266766205E-2</v>
      </c>
      <c r="M63" s="19">
        <f t="shared" si="2"/>
        <v>5.0464307361874887</v>
      </c>
      <c r="N63" s="5">
        <v>5.0464307361874884E-2</v>
      </c>
      <c r="O63" s="19">
        <f t="shared" si="3"/>
        <v>9.32</v>
      </c>
      <c r="P63" s="8">
        <v>9.3200000000000005E-2</v>
      </c>
      <c r="Q63" s="19">
        <f t="shared" si="4"/>
        <v>23.787319166666702</v>
      </c>
      <c r="R63" s="12">
        <v>23787.319166666701</v>
      </c>
      <c r="S63" s="4">
        <f t="shared" si="5"/>
        <v>3.8712010109078911</v>
      </c>
      <c r="T63" s="13">
        <v>1976</v>
      </c>
      <c r="U63" s="14">
        <v>139.74</v>
      </c>
      <c r="V63" s="14">
        <v>183.07</v>
      </c>
      <c r="W63" s="4">
        <f t="shared" si="15"/>
        <v>18.15720751816248</v>
      </c>
      <c r="X63" s="18">
        <f t="shared" si="6"/>
        <v>25.750642156237998</v>
      </c>
      <c r="Y63" s="18">
        <f t="shared" si="7"/>
        <v>17.12317595925273</v>
      </c>
      <c r="Z63" s="18">
        <f t="shared" si="8"/>
        <v>0.50384731299355123</v>
      </c>
      <c r="AA63" s="12">
        <f t="shared" si="9"/>
        <v>2.0967693563510399</v>
      </c>
      <c r="AB63">
        <f t="shared" si="10"/>
        <v>10.267166905332882</v>
      </c>
      <c r="AC63" s="18">
        <f t="shared" si="0"/>
        <v>0.24091209199426405</v>
      </c>
      <c r="AD63" s="18">
        <f t="shared" si="11"/>
        <v>5.875968224452377</v>
      </c>
      <c r="AE63" s="12">
        <v>60478.913</v>
      </c>
      <c r="AF63" s="12">
        <v>60074.73</v>
      </c>
      <c r="AG63" s="8">
        <f t="shared" si="12"/>
        <v>6.7280036048434546E-3</v>
      </c>
      <c r="AH63">
        <f t="shared" si="13"/>
        <v>17.692045552612377</v>
      </c>
      <c r="AI63">
        <f t="shared" si="14"/>
        <v>26.137980269570349</v>
      </c>
    </row>
    <row r="64" spans="1:35" x14ac:dyDescent="0.3">
      <c r="A64" s="2" t="s">
        <v>27</v>
      </c>
      <c r="B64" s="3">
        <v>2022</v>
      </c>
      <c r="C64" s="4">
        <v>16.899999999999999</v>
      </c>
      <c r="D64" s="4">
        <v>180.89699999999999</v>
      </c>
      <c r="E64" s="4">
        <v>37.682000000000002</v>
      </c>
      <c r="F64" s="4">
        <v>26.114000000000001</v>
      </c>
      <c r="G64" s="4">
        <v>218.58</v>
      </c>
      <c r="H64" s="4">
        <v>9.0429999999999993</v>
      </c>
      <c r="I64" s="4">
        <v>209.536</v>
      </c>
      <c r="J64" s="4">
        <v>7.94</v>
      </c>
      <c r="K64" s="4">
        <f t="shared" si="1"/>
        <v>3.1565074996312901</v>
      </c>
      <c r="L64" s="5">
        <v>3.1565074996312899E-2</v>
      </c>
      <c r="M64" s="19">
        <f t="shared" si="2"/>
        <v>8.1235144676734308</v>
      </c>
      <c r="N64" s="5">
        <v>8.1235144676734303E-2</v>
      </c>
      <c r="O64" s="19">
        <f t="shared" si="3"/>
        <v>8.01</v>
      </c>
      <c r="P64" s="5">
        <v>8.0100000000000005E-2</v>
      </c>
      <c r="Q64" s="19">
        <f t="shared" si="4"/>
        <v>23.271212500000001</v>
      </c>
      <c r="R64" s="4">
        <v>23271.212500000001</v>
      </c>
      <c r="S64" s="4">
        <f t="shared" si="5"/>
        <v>3.784189633918261</v>
      </c>
      <c r="T64" s="6">
        <v>1979</v>
      </c>
      <c r="U64" s="7">
        <v>134.21</v>
      </c>
      <c r="V64" s="7">
        <v>177.31</v>
      </c>
      <c r="W64" s="4">
        <f t="shared" si="15"/>
        <v>17.614513730895045</v>
      </c>
      <c r="X64" s="18">
        <f t="shared" si="6"/>
        <v>8.0654398289554052</v>
      </c>
      <c r="Y64" s="18">
        <f t="shared" si="7"/>
        <v>7.7317229389697122</v>
      </c>
      <c r="Z64" s="18">
        <f t="shared" si="8"/>
        <v>4.3157261759315821E-2</v>
      </c>
      <c r="AA64" s="12">
        <f t="shared" si="9"/>
        <v>22.78299748110831</v>
      </c>
      <c r="AB64">
        <f t="shared" si="10"/>
        <v>4.8144226531677212</v>
      </c>
      <c r="AC64" s="18">
        <f t="shared" si="0"/>
        <v>0.11947113185103851</v>
      </c>
      <c r="AD64" s="18">
        <f t="shared" si="11"/>
        <v>4.7049794705254611</v>
      </c>
      <c r="AE64" s="12">
        <v>212.00800000000001</v>
      </c>
      <c r="AF64" s="12">
        <v>134.11000000000001</v>
      </c>
      <c r="AG64" s="8">
        <f t="shared" si="12"/>
        <v>0.58085153978077686</v>
      </c>
      <c r="AH64">
        <f t="shared" si="13"/>
        <v>0.11238860598345005</v>
      </c>
      <c r="AI64">
        <f t="shared" si="14"/>
        <v>0.11629941438613466</v>
      </c>
    </row>
    <row r="65" spans="1:35" x14ac:dyDescent="0.3">
      <c r="A65" t="s">
        <v>28</v>
      </c>
      <c r="B65" s="11">
        <v>2022</v>
      </c>
      <c r="C65" s="12">
        <v>89.028000000000006</v>
      </c>
      <c r="D65" s="12">
        <v>443.74900000000002</v>
      </c>
      <c r="E65" s="12">
        <v>609.697</v>
      </c>
      <c r="F65" s="12">
        <v>180.167</v>
      </c>
      <c r="G65" s="12">
        <v>1053.4459999999999</v>
      </c>
      <c r="H65" s="12">
        <v>321.964</v>
      </c>
      <c r="I65" s="12">
        <v>731.48199999999997</v>
      </c>
      <c r="J65" s="12">
        <v>212.85</v>
      </c>
      <c r="K65" s="4">
        <f t="shared" si="1"/>
        <v>3.1565074996312901</v>
      </c>
      <c r="L65" s="5">
        <v>3.1565074996312899E-2</v>
      </c>
      <c r="M65" s="19">
        <f t="shared" si="2"/>
        <v>8.1235144676734308</v>
      </c>
      <c r="N65" s="5">
        <v>8.1235144676734303E-2</v>
      </c>
      <c r="O65" s="19">
        <f t="shared" si="3"/>
        <v>8.01</v>
      </c>
      <c r="P65" s="8">
        <v>8.0100000000000005E-2</v>
      </c>
      <c r="Q65" s="19">
        <f t="shared" si="4"/>
        <v>23.271212500000001</v>
      </c>
      <c r="R65" s="12">
        <v>23271.212500000001</v>
      </c>
      <c r="S65" s="4">
        <f t="shared" si="5"/>
        <v>3.3322045101752038</v>
      </c>
      <c r="T65" s="13">
        <v>1995</v>
      </c>
      <c r="U65" s="14">
        <v>134.21</v>
      </c>
      <c r="V65" s="14">
        <v>177.31</v>
      </c>
      <c r="W65" s="4">
        <f t="shared" si="15"/>
        <v>17.614513730895045</v>
      </c>
      <c r="X65" s="18">
        <f t="shared" si="6"/>
        <v>12.170907828217237</v>
      </c>
      <c r="Y65" s="18">
        <f t="shared" si="7"/>
        <v>8.451121367398045</v>
      </c>
      <c r="Z65" s="18">
        <f t="shared" si="8"/>
        <v>0.44015300444850319</v>
      </c>
      <c r="AA65" s="12">
        <f t="shared" si="9"/>
        <v>2.0847968052619219</v>
      </c>
      <c r="AB65">
        <f t="shared" si="10"/>
        <v>6.3870925471373292</v>
      </c>
      <c r="AC65" s="18">
        <f t="shared" si="0"/>
        <v>0.17102632693085362</v>
      </c>
      <c r="AD65" s="18">
        <f t="shared" si="11"/>
        <v>4.7049794705254611</v>
      </c>
      <c r="AE65" s="12">
        <v>961.62599999999998</v>
      </c>
      <c r="AF65" s="12">
        <v>473.17500000000001</v>
      </c>
      <c r="AG65" s="8">
        <f t="shared" si="12"/>
        <v>1.0322840386749088</v>
      </c>
      <c r="AH65">
        <f t="shared" si="13"/>
        <v>2.9504040499195177</v>
      </c>
      <c r="AI65">
        <f t="shared" si="14"/>
        <v>4.3087192722998733</v>
      </c>
    </row>
    <row r="66" spans="1:35" x14ac:dyDescent="0.3">
      <c r="A66" t="s">
        <v>29</v>
      </c>
      <c r="B66" s="11">
        <v>2022</v>
      </c>
      <c r="C66" s="12">
        <v>22.54</v>
      </c>
      <c r="D66" s="12">
        <v>1356.9590000000001</v>
      </c>
      <c r="E66" s="12">
        <v>312.31200000000001</v>
      </c>
      <c r="F66" s="12">
        <v>14.808</v>
      </c>
      <c r="G66" s="12">
        <v>1669.271</v>
      </c>
      <c r="H66" s="12">
        <v>763.59500000000003</v>
      </c>
      <c r="I66" s="12">
        <v>905.67600000000004</v>
      </c>
      <c r="J66" s="12">
        <v>762.42</v>
      </c>
      <c r="K66" s="4">
        <f t="shared" si="1"/>
        <v>3.1565074996312901</v>
      </c>
      <c r="L66" s="5">
        <v>3.1565074996312899E-2</v>
      </c>
      <c r="M66" s="19">
        <f t="shared" si="2"/>
        <v>8.1235144676734308</v>
      </c>
      <c r="N66" s="5">
        <v>8.1235144676734303E-2</v>
      </c>
      <c r="O66" s="19">
        <f t="shared" si="3"/>
        <v>8.01</v>
      </c>
      <c r="P66" s="8">
        <v>8.0100000000000005E-2</v>
      </c>
      <c r="Q66" s="19">
        <f t="shared" si="4"/>
        <v>23.271212500000001</v>
      </c>
      <c r="R66" s="12">
        <v>23271.212500000001</v>
      </c>
      <c r="S66" s="4">
        <f t="shared" si="5"/>
        <v>3.8712010109078911</v>
      </c>
      <c r="T66" s="13">
        <v>1975</v>
      </c>
      <c r="U66" s="14">
        <v>134.21</v>
      </c>
      <c r="V66" s="14">
        <v>177.31</v>
      </c>
      <c r="W66" s="4">
        <f t="shared" si="15"/>
        <v>17.614513730895045</v>
      </c>
      <c r="X66" s="18">
        <f t="shared" si="6"/>
        <v>2.4887487357509746</v>
      </c>
      <c r="Y66" s="18">
        <f t="shared" si="7"/>
        <v>1.3502900367885142</v>
      </c>
      <c r="Z66" s="18">
        <f t="shared" si="8"/>
        <v>0.84312160198569908</v>
      </c>
      <c r="AA66" s="12">
        <f t="shared" si="9"/>
        <v>1.7798050943049764</v>
      </c>
      <c r="AB66">
        <f t="shared" si="10"/>
        <v>6.8474128560782628</v>
      </c>
      <c r="AC66" s="18">
        <f t="shared" ref="AC66:AC129" si="16">F66/G66</f>
        <v>8.8709382718563969E-3</v>
      </c>
      <c r="AD66" s="18">
        <f t="shared" si="11"/>
        <v>4.7049794705254611</v>
      </c>
      <c r="AE66" s="12">
        <v>1605.396</v>
      </c>
      <c r="AF66" s="12">
        <v>1198.6990000000001</v>
      </c>
      <c r="AG66" s="8">
        <f t="shared" si="12"/>
        <v>0.33928200490698657</v>
      </c>
      <c r="AH66">
        <f t="shared" si="13"/>
        <v>4.1025718289063331</v>
      </c>
      <c r="AI66">
        <f t="shared" si="14"/>
        <v>7.0543736857785593</v>
      </c>
    </row>
    <row r="67" spans="1:35" x14ac:dyDescent="0.3">
      <c r="A67" t="s">
        <v>30</v>
      </c>
      <c r="B67" s="11">
        <v>2022</v>
      </c>
      <c r="C67" s="12">
        <v>64.289000000000001</v>
      </c>
      <c r="D67" s="12">
        <v>299.92599999999999</v>
      </c>
      <c r="E67" s="12">
        <v>322.61399999999998</v>
      </c>
      <c r="F67" s="12">
        <v>92.004999999999995</v>
      </c>
      <c r="G67" s="12">
        <v>622.54</v>
      </c>
      <c r="H67" s="12">
        <v>151.648</v>
      </c>
      <c r="I67" s="12">
        <v>470.89100000000002</v>
      </c>
      <c r="J67" s="12">
        <v>148.07</v>
      </c>
      <c r="K67" s="4">
        <f t="shared" ref="K67:K130" si="17">L67*100</f>
        <v>3.1565074996312901</v>
      </c>
      <c r="L67" s="5">
        <v>3.1565074996312899E-2</v>
      </c>
      <c r="M67" s="19">
        <f t="shared" ref="M67:M130" si="18">N67*100</f>
        <v>8.1235144676734308</v>
      </c>
      <c r="N67" s="5">
        <v>8.1235144676734303E-2</v>
      </c>
      <c r="O67" s="19">
        <f t="shared" ref="O67:O130" si="19">P67*100</f>
        <v>8.01</v>
      </c>
      <c r="P67" s="8">
        <v>8.0100000000000005E-2</v>
      </c>
      <c r="Q67" s="19">
        <f t="shared" ref="Q67:Q130" si="20">R67/1000</f>
        <v>23.271212500000001</v>
      </c>
      <c r="R67" s="12">
        <v>23271.212500000001</v>
      </c>
      <c r="S67" s="4">
        <f t="shared" ref="S67:S130" si="21">LN(B67-T67+1)</f>
        <v>3.8286413964890951</v>
      </c>
      <c r="T67" s="13">
        <v>1977</v>
      </c>
      <c r="U67" s="14">
        <v>134.21</v>
      </c>
      <c r="V67" s="14">
        <v>177.31</v>
      </c>
      <c r="W67" s="4">
        <f t="shared" ref="W67:W130" si="22">R67*U67/(1000*V67)</f>
        <v>17.614513730895045</v>
      </c>
      <c r="X67" s="18">
        <f t="shared" ref="X67:X130" si="23">C67/I67*100</f>
        <v>13.652628739984413</v>
      </c>
      <c r="Y67" s="18">
        <f t="shared" ref="Y67:Y130" si="24">C67/G67*100</f>
        <v>10.326886625758988</v>
      </c>
      <c r="Z67" s="18">
        <f t="shared" ref="Z67:Z130" si="25">H67/I67</f>
        <v>0.32204480442395372</v>
      </c>
      <c r="AA67" s="12">
        <f t="shared" ref="AA67:AA130" si="26">D67/J67</f>
        <v>2.0255689876409808</v>
      </c>
      <c r="AB67">
        <f t="shared" ref="AB67:AB130" si="27">LN(100*G67/V67)</f>
        <v>5.861078456221775</v>
      </c>
      <c r="AC67" s="18">
        <f t="shared" si="16"/>
        <v>0.14778970026022425</v>
      </c>
      <c r="AD67" s="18">
        <f t="shared" ref="AD67:AD130" si="28">((100+O67)/(100+K67)-1)*100</f>
        <v>4.7049794705254611</v>
      </c>
      <c r="AE67" s="12">
        <v>617.43200000000002</v>
      </c>
      <c r="AF67" s="12">
        <v>343.46199999999999</v>
      </c>
      <c r="AG67" s="8">
        <f t="shared" ref="AG67:AG130" si="29">(AE67-AF67)/AF67</f>
        <v>0.79767194041844525</v>
      </c>
      <c r="AH67">
        <f t="shared" ref="AH67:AH130" si="30">C129*100/G129</f>
        <v>5.6864342037511308</v>
      </c>
      <c r="AI67">
        <f t="shared" ref="AI67:AI130" si="31">C129*100/I129</f>
        <v>8.0729390629628561</v>
      </c>
    </row>
    <row r="68" spans="1:35" x14ac:dyDescent="0.3">
      <c r="A68" t="s">
        <v>31</v>
      </c>
      <c r="B68" s="11">
        <v>2022</v>
      </c>
      <c r="C68" s="12">
        <v>117.94799999999999</v>
      </c>
      <c r="D68" s="12">
        <v>1208.2339999999999</v>
      </c>
      <c r="E68" s="12">
        <v>273.13600000000002</v>
      </c>
      <c r="F68" s="12">
        <v>257.61500000000001</v>
      </c>
      <c r="G68" s="12">
        <v>1481.37</v>
      </c>
      <c r="H68" s="12">
        <v>656.97</v>
      </c>
      <c r="I68" s="12">
        <v>824.4</v>
      </c>
      <c r="J68" s="12">
        <v>656.97</v>
      </c>
      <c r="K68" s="4">
        <f t="shared" si="17"/>
        <v>3.1565074996312901</v>
      </c>
      <c r="L68" s="5">
        <v>3.1565074996312899E-2</v>
      </c>
      <c r="M68" s="19">
        <f t="shared" si="18"/>
        <v>8.1235144676734308</v>
      </c>
      <c r="N68" s="5">
        <v>8.1235144676734303E-2</v>
      </c>
      <c r="O68" s="19">
        <f t="shared" si="19"/>
        <v>8.01</v>
      </c>
      <c r="P68" s="8">
        <v>8.0100000000000005E-2</v>
      </c>
      <c r="Q68" s="19">
        <f t="shared" si="20"/>
        <v>23.271212500000001</v>
      </c>
      <c r="R68" s="12">
        <v>23271.212500000001</v>
      </c>
      <c r="S68" s="4">
        <f t="shared" si="21"/>
        <v>2.9957322735539909</v>
      </c>
      <c r="T68" s="13">
        <v>2003</v>
      </c>
      <c r="U68" s="14">
        <v>134.21</v>
      </c>
      <c r="V68" s="14">
        <v>177.31</v>
      </c>
      <c r="W68" s="4">
        <f t="shared" si="22"/>
        <v>17.614513730895045</v>
      </c>
      <c r="X68" s="18">
        <f t="shared" si="23"/>
        <v>14.307132459970887</v>
      </c>
      <c r="Y68" s="18">
        <f t="shared" si="24"/>
        <v>7.9620891472083271</v>
      </c>
      <c r="Z68" s="18">
        <f t="shared" si="25"/>
        <v>0.79690684133915579</v>
      </c>
      <c r="AA68" s="12">
        <f t="shared" si="26"/>
        <v>1.8391007199719924</v>
      </c>
      <c r="AB68">
        <f t="shared" si="27"/>
        <v>6.7279931871795151</v>
      </c>
      <c r="AC68" s="18">
        <f t="shared" si="16"/>
        <v>0.17390321121664407</v>
      </c>
      <c r="AD68" s="18">
        <f t="shared" si="28"/>
        <v>4.7049794705254611</v>
      </c>
      <c r="AE68" s="12">
        <v>1174.0219999999999</v>
      </c>
      <c r="AF68" s="12">
        <v>1224.0229999999999</v>
      </c>
      <c r="AG68" s="8">
        <f t="shared" si="29"/>
        <v>-4.084972259508194E-2</v>
      </c>
      <c r="AH68">
        <f t="shared" si="30"/>
        <v>2.8863397429259372</v>
      </c>
      <c r="AI68">
        <f t="shared" si="31"/>
        <v>5.9576504027868804</v>
      </c>
    </row>
    <row r="69" spans="1:35" x14ac:dyDescent="0.3">
      <c r="A69" t="s">
        <v>32</v>
      </c>
      <c r="B69" s="11">
        <v>2022</v>
      </c>
      <c r="C69" s="12">
        <v>74.944000000000003</v>
      </c>
      <c r="D69" s="12">
        <v>1670.1949999999999</v>
      </c>
      <c r="E69" s="12">
        <v>511.5</v>
      </c>
      <c r="F69" s="12">
        <v>180.333</v>
      </c>
      <c r="G69" s="12">
        <v>2181.6950000000002</v>
      </c>
      <c r="H69" s="12">
        <v>1524.6</v>
      </c>
      <c r="I69" s="12">
        <v>657.09500000000003</v>
      </c>
      <c r="J69" s="12">
        <v>1364.73</v>
      </c>
      <c r="K69" s="4">
        <f t="shared" si="17"/>
        <v>3.1565074996312901</v>
      </c>
      <c r="L69" s="5">
        <v>3.1565074996312899E-2</v>
      </c>
      <c r="M69" s="19">
        <f t="shared" si="18"/>
        <v>8.1235144676734308</v>
      </c>
      <c r="N69" s="5">
        <v>8.1235144676734303E-2</v>
      </c>
      <c r="O69" s="19">
        <f t="shared" si="19"/>
        <v>8.01</v>
      </c>
      <c r="P69" s="8">
        <v>8.0100000000000005E-2</v>
      </c>
      <c r="Q69" s="19">
        <f t="shared" si="20"/>
        <v>23.271212500000001</v>
      </c>
      <c r="R69" s="12">
        <v>23271.212500000001</v>
      </c>
      <c r="S69" s="4">
        <f t="shared" si="21"/>
        <v>2.8332133440562162</v>
      </c>
      <c r="T69" s="13">
        <v>2006</v>
      </c>
      <c r="U69" s="14">
        <v>134.21</v>
      </c>
      <c r="V69" s="14">
        <v>177.31</v>
      </c>
      <c r="W69" s="4">
        <f t="shared" si="22"/>
        <v>17.614513730895045</v>
      </c>
      <c r="X69" s="18">
        <f t="shared" si="23"/>
        <v>11.405352346312176</v>
      </c>
      <c r="Y69" s="18">
        <f t="shared" si="24"/>
        <v>3.4351272748940613</v>
      </c>
      <c r="Z69" s="18">
        <f t="shared" si="25"/>
        <v>2.3202124502545294</v>
      </c>
      <c r="AA69" s="12">
        <f t="shared" si="26"/>
        <v>1.2238281564851654</v>
      </c>
      <c r="AB69">
        <f t="shared" si="27"/>
        <v>7.1151279495237416</v>
      </c>
      <c r="AC69" s="18">
        <f t="shared" si="16"/>
        <v>8.2657291692926821E-2</v>
      </c>
      <c r="AD69" s="18">
        <f t="shared" si="28"/>
        <v>4.7049794705254611</v>
      </c>
      <c r="AE69" s="12">
        <v>1692.604</v>
      </c>
      <c r="AF69" s="12">
        <v>1513.1510000000001</v>
      </c>
      <c r="AG69" s="8">
        <f t="shared" si="29"/>
        <v>0.11859556647023328</v>
      </c>
      <c r="AH69">
        <f t="shared" si="30"/>
        <v>5.0618360451931297</v>
      </c>
      <c r="AI69">
        <f t="shared" si="31"/>
        <v>17.20939472719737</v>
      </c>
    </row>
    <row r="70" spans="1:35" x14ac:dyDescent="0.3">
      <c r="A70" t="s">
        <v>33</v>
      </c>
      <c r="B70" s="11">
        <v>2022</v>
      </c>
      <c r="C70" s="12">
        <v>-232.983</v>
      </c>
      <c r="D70" s="12">
        <v>783.97900000000004</v>
      </c>
      <c r="E70" s="12">
        <v>796.82</v>
      </c>
      <c r="F70" s="12">
        <v>646.28</v>
      </c>
      <c r="G70" s="12">
        <v>1580.799</v>
      </c>
      <c r="H70" s="12">
        <v>1288.7860000000001</v>
      </c>
      <c r="I70" s="12">
        <v>292.01299999999998</v>
      </c>
      <c r="J70" s="12">
        <v>1028.8900000000001</v>
      </c>
      <c r="K70" s="4">
        <f t="shared" si="17"/>
        <v>3.1565074996312901</v>
      </c>
      <c r="L70" s="5">
        <v>3.1565074996312899E-2</v>
      </c>
      <c r="M70" s="19">
        <f t="shared" si="18"/>
        <v>8.1235144676734308</v>
      </c>
      <c r="N70" s="5">
        <v>8.1235144676734303E-2</v>
      </c>
      <c r="O70" s="19">
        <f t="shared" si="19"/>
        <v>8.01</v>
      </c>
      <c r="P70" s="8">
        <v>8.0100000000000005E-2</v>
      </c>
      <c r="Q70" s="19">
        <f t="shared" si="20"/>
        <v>23.271212500000001</v>
      </c>
      <c r="R70" s="12">
        <v>23271.212500000001</v>
      </c>
      <c r="S70" s="4">
        <f t="shared" si="21"/>
        <v>3.8501476017100584</v>
      </c>
      <c r="T70" s="13">
        <v>1976</v>
      </c>
      <c r="U70" s="14">
        <v>134.21</v>
      </c>
      <c r="V70" s="14">
        <v>177.31</v>
      </c>
      <c r="W70" s="4">
        <f t="shared" si="22"/>
        <v>17.614513730895045</v>
      </c>
      <c r="X70" s="18">
        <f t="shared" si="23"/>
        <v>-79.785146551694623</v>
      </c>
      <c r="Y70" s="18">
        <f t="shared" si="24"/>
        <v>-14.738306388098676</v>
      </c>
      <c r="Z70" s="18">
        <f t="shared" si="25"/>
        <v>4.4134541955323909</v>
      </c>
      <c r="AA70" s="12">
        <f t="shared" si="26"/>
        <v>0.7619658078123025</v>
      </c>
      <c r="AB70">
        <f t="shared" si="27"/>
        <v>6.7929562673215047</v>
      </c>
      <c r="AC70" s="18">
        <f t="shared" si="16"/>
        <v>0.4088312302829139</v>
      </c>
      <c r="AD70" s="18">
        <f t="shared" si="28"/>
        <v>4.7049794705254611</v>
      </c>
      <c r="AE70" s="12">
        <v>3432.5770000000002</v>
      </c>
      <c r="AF70" s="12">
        <v>3931.4180000000001</v>
      </c>
      <c r="AG70" s="8">
        <f t="shared" si="29"/>
        <v>-0.12688576996900353</v>
      </c>
      <c r="AH70">
        <f t="shared" si="30"/>
        <v>2.4085118852670959</v>
      </c>
      <c r="AI70">
        <f t="shared" si="31"/>
        <v>9.263683055739147</v>
      </c>
    </row>
    <row r="71" spans="1:35" x14ac:dyDescent="0.3">
      <c r="A71" t="s">
        <v>34</v>
      </c>
      <c r="B71" s="11">
        <v>2022</v>
      </c>
      <c r="C71" s="12">
        <v>673.745</v>
      </c>
      <c r="D71" s="12">
        <v>3255.1010000000001</v>
      </c>
      <c r="E71" s="12">
        <v>2212.5520000000001</v>
      </c>
      <c r="F71" s="12">
        <v>1102.095</v>
      </c>
      <c r="G71" s="12">
        <v>5467.6530000000002</v>
      </c>
      <c r="H71" s="12">
        <v>2585.4499999999998</v>
      </c>
      <c r="I71" s="12">
        <v>2882.203</v>
      </c>
      <c r="J71" s="12">
        <v>2417.5100000000002</v>
      </c>
      <c r="K71" s="4">
        <f t="shared" si="17"/>
        <v>3.1565074996312901</v>
      </c>
      <c r="L71" s="5">
        <v>3.1565074996312899E-2</v>
      </c>
      <c r="M71" s="19">
        <f t="shared" si="18"/>
        <v>8.1235144676734308</v>
      </c>
      <c r="N71" s="5">
        <v>8.1235144676734303E-2</v>
      </c>
      <c r="O71" s="19">
        <f t="shared" si="19"/>
        <v>8.01</v>
      </c>
      <c r="P71" s="8">
        <v>8.0100000000000005E-2</v>
      </c>
      <c r="Q71" s="19">
        <f t="shared" si="20"/>
        <v>23.271212500000001</v>
      </c>
      <c r="R71" s="12">
        <v>23271.212500000001</v>
      </c>
      <c r="S71" s="4">
        <f t="shared" si="21"/>
        <v>3.4011973816621555</v>
      </c>
      <c r="T71" s="13">
        <v>1993</v>
      </c>
      <c r="U71" s="14">
        <v>134.21</v>
      </c>
      <c r="V71" s="14">
        <v>177.31</v>
      </c>
      <c r="W71" s="4">
        <f t="shared" si="22"/>
        <v>17.614513730895045</v>
      </c>
      <c r="X71" s="18">
        <f t="shared" si="23"/>
        <v>23.376042561887555</v>
      </c>
      <c r="Y71" s="18">
        <f t="shared" si="24"/>
        <v>12.322380370517294</v>
      </c>
      <c r="Z71" s="18">
        <f t="shared" si="25"/>
        <v>0.8970395215049044</v>
      </c>
      <c r="AA71" s="12">
        <f t="shared" si="26"/>
        <v>1.3464684737601913</v>
      </c>
      <c r="AB71">
        <f t="shared" si="27"/>
        <v>8.0338753086176808</v>
      </c>
      <c r="AC71" s="18">
        <f t="shared" si="16"/>
        <v>0.2015663759203446</v>
      </c>
      <c r="AD71" s="18">
        <f t="shared" si="28"/>
        <v>4.7049794705254611</v>
      </c>
      <c r="AE71" s="12">
        <v>4934.5060000000003</v>
      </c>
      <c r="AF71" s="12">
        <v>3504.4259999999999</v>
      </c>
      <c r="AG71" s="8">
        <f t="shared" si="29"/>
        <v>0.40807824162929973</v>
      </c>
      <c r="AH71">
        <f t="shared" si="30"/>
        <v>2.6342185063779109</v>
      </c>
      <c r="AI71">
        <f t="shared" si="31"/>
        <v>5.5120642100098225</v>
      </c>
    </row>
    <row r="72" spans="1:35" x14ac:dyDescent="0.3">
      <c r="A72" t="s">
        <v>35</v>
      </c>
      <c r="B72" s="11">
        <v>2022</v>
      </c>
      <c r="C72" s="12">
        <v>962.58500000000004</v>
      </c>
      <c r="D72" s="12">
        <v>9248.6270000000004</v>
      </c>
      <c r="E72" s="12">
        <v>9837.7189999999991</v>
      </c>
      <c r="F72" s="12">
        <v>6845.6589999999997</v>
      </c>
      <c r="G72" s="12">
        <v>19086.345000000001</v>
      </c>
      <c r="H72" s="12">
        <v>11246.527</v>
      </c>
      <c r="I72" s="12">
        <v>7839.8180000000002</v>
      </c>
      <c r="J72" s="12">
        <v>7597.61</v>
      </c>
      <c r="K72" s="4">
        <f t="shared" si="17"/>
        <v>3.1565074996312901</v>
      </c>
      <c r="L72" s="5">
        <v>3.1565074996312899E-2</v>
      </c>
      <c r="M72" s="19">
        <f t="shared" si="18"/>
        <v>8.1235144676734308</v>
      </c>
      <c r="N72" s="5">
        <v>8.1235144676734303E-2</v>
      </c>
      <c r="O72" s="19">
        <f t="shared" si="19"/>
        <v>8.01</v>
      </c>
      <c r="P72" s="8">
        <v>8.0100000000000005E-2</v>
      </c>
      <c r="Q72" s="19">
        <f t="shared" si="20"/>
        <v>23.271212500000001</v>
      </c>
      <c r="R72" s="12">
        <v>23271.212500000001</v>
      </c>
      <c r="S72" s="4">
        <f t="shared" si="21"/>
        <v>3.2580965380214821</v>
      </c>
      <c r="T72" s="13">
        <v>1997</v>
      </c>
      <c r="U72" s="14">
        <v>134.21</v>
      </c>
      <c r="V72" s="14">
        <v>177.31</v>
      </c>
      <c r="W72" s="4">
        <f t="shared" si="22"/>
        <v>17.614513730895045</v>
      </c>
      <c r="X72" s="18">
        <f t="shared" si="23"/>
        <v>12.278154926555693</v>
      </c>
      <c r="Y72" s="18">
        <f t="shared" si="24"/>
        <v>5.0433176179095573</v>
      </c>
      <c r="Z72" s="18">
        <f t="shared" si="25"/>
        <v>1.4345392967030612</v>
      </c>
      <c r="AA72" s="12">
        <f t="shared" si="26"/>
        <v>1.2173074164112136</v>
      </c>
      <c r="AB72">
        <f t="shared" si="27"/>
        <v>9.2839990098097278</v>
      </c>
      <c r="AC72" s="18">
        <f t="shared" si="16"/>
        <v>0.35866788533896876</v>
      </c>
      <c r="AD72" s="18">
        <f t="shared" si="28"/>
        <v>4.7049794705254611</v>
      </c>
      <c r="AE72" s="12">
        <v>13807.691000000001</v>
      </c>
      <c r="AF72" s="12">
        <v>11465.147999999999</v>
      </c>
      <c r="AG72" s="8">
        <f t="shared" si="29"/>
        <v>0.20431860103332306</v>
      </c>
      <c r="AH72">
        <f t="shared" si="30"/>
        <v>3.8740909435649971</v>
      </c>
      <c r="AI72">
        <f t="shared" si="31"/>
        <v>9.2906073381078471</v>
      </c>
    </row>
    <row r="73" spans="1:35" x14ac:dyDescent="0.3">
      <c r="A73" t="s">
        <v>36</v>
      </c>
      <c r="B73" s="11">
        <v>2022</v>
      </c>
      <c r="C73" s="12">
        <v>287.779</v>
      </c>
      <c r="D73" s="12">
        <v>2662.7</v>
      </c>
      <c r="E73" s="12">
        <v>2066.3960000000002</v>
      </c>
      <c r="F73" s="12">
        <v>1096.1010000000001</v>
      </c>
      <c r="G73" s="12">
        <v>4729.0959999999995</v>
      </c>
      <c r="H73" s="12">
        <v>2986.4279999999999</v>
      </c>
      <c r="I73" s="12">
        <v>1742.6679999999999</v>
      </c>
      <c r="J73" s="12">
        <v>2291.7199999999998</v>
      </c>
      <c r="K73" s="4">
        <f t="shared" si="17"/>
        <v>3.1565074996312901</v>
      </c>
      <c r="L73" s="5">
        <v>3.1565074996312899E-2</v>
      </c>
      <c r="M73" s="19">
        <f t="shared" si="18"/>
        <v>8.1235144676734308</v>
      </c>
      <c r="N73" s="5">
        <v>8.1235144676734303E-2</v>
      </c>
      <c r="O73" s="19">
        <f t="shared" si="19"/>
        <v>8.01</v>
      </c>
      <c r="P73" s="8">
        <v>8.0100000000000005E-2</v>
      </c>
      <c r="Q73" s="19">
        <f t="shared" si="20"/>
        <v>23.271212500000001</v>
      </c>
      <c r="R73" s="12">
        <v>23271.212500000001</v>
      </c>
      <c r="S73" s="4">
        <f t="shared" si="21"/>
        <v>1.791759469228055</v>
      </c>
      <c r="T73" s="13">
        <v>2017</v>
      </c>
      <c r="U73" s="14">
        <v>134.21</v>
      </c>
      <c r="V73" s="14">
        <v>177.31</v>
      </c>
      <c r="W73" s="4">
        <f t="shared" si="22"/>
        <v>17.614513730895045</v>
      </c>
      <c r="X73" s="18">
        <f t="shared" si="23"/>
        <v>16.513701978804914</v>
      </c>
      <c r="Y73" s="18">
        <f t="shared" si="24"/>
        <v>6.0852856444445198</v>
      </c>
      <c r="Z73" s="18">
        <f t="shared" si="25"/>
        <v>1.7137102419967545</v>
      </c>
      <c r="AA73" s="12">
        <f t="shared" si="26"/>
        <v>1.1618784144659906</v>
      </c>
      <c r="AB73">
        <f t="shared" si="27"/>
        <v>7.8887599156319217</v>
      </c>
      <c r="AC73" s="18">
        <f t="shared" si="16"/>
        <v>0.23177812419117738</v>
      </c>
      <c r="AD73" s="18">
        <f t="shared" si="28"/>
        <v>4.7049794705254611</v>
      </c>
      <c r="AE73" s="12">
        <v>7085.3680000000004</v>
      </c>
      <c r="AF73" s="12">
        <v>10434.950999999999</v>
      </c>
      <c r="AG73" s="8">
        <f t="shared" si="29"/>
        <v>-0.32099652408525914</v>
      </c>
      <c r="AH73">
        <f t="shared" si="30"/>
        <v>5.8965822687853908</v>
      </c>
      <c r="AI73">
        <f t="shared" si="31"/>
        <v>22.118986704866174</v>
      </c>
    </row>
    <row r="74" spans="1:35" x14ac:dyDescent="0.3">
      <c r="A74" t="s">
        <v>37</v>
      </c>
      <c r="B74" s="11">
        <v>2022</v>
      </c>
      <c r="C74" s="12">
        <v>192.917</v>
      </c>
      <c r="D74" s="12">
        <v>694.73800000000006</v>
      </c>
      <c r="E74" s="12">
        <v>1155.6389999999999</v>
      </c>
      <c r="F74" s="12">
        <v>657.40800000000002</v>
      </c>
      <c r="G74" s="12">
        <v>1850.3779999999999</v>
      </c>
      <c r="H74" s="12">
        <v>487.05599999999998</v>
      </c>
      <c r="I74" s="12">
        <v>1363.3209999999999</v>
      </c>
      <c r="J74" s="12">
        <v>472.47</v>
      </c>
      <c r="K74" s="4">
        <f t="shared" si="17"/>
        <v>3.1565074996312901</v>
      </c>
      <c r="L74" s="5">
        <v>3.1565074996312899E-2</v>
      </c>
      <c r="M74" s="19">
        <f t="shared" si="18"/>
        <v>8.1235144676734308</v>
      </c>
      <c r="N74" s="5">
        <v>8.1235144676734303E-2</v>
      </c>
      <c r="O74" s="19">
        <f t="shared" si="19"/>
        <v>8.01</v>
      </c>
      <c r="P74" s="8">
        <v>8.0100000000000005E-2</v>
      </c>
      <c r="Q74" s="19">
        <f t="shared" si="20"/>
        <v>23.271212500000001</v>
      </c>
      <c r="R74" s="12">
        <v>23271.212500000001</v>
      </c>
      <c r="S74" s="4">
        <f t="shared" si="21"/>
        <v>3.1780538303479458</v>
      </c>
      <c r="T74" s="13">
        <v>1999</v>
      </c>
      <c r="U74" s="14">
        <v>134.21</v>
      </c>
      <c r="V74" s="14">
        <v>177.31</v>
      </c>
      <c r="W74" s="4">
        <f t="shared" si="22"/>
        <v>17.614513730895045</v>
      </c>
      <c r="X74" s="18">
        <f t="shared" si="23"/>
        <v>14.150519210075984</v>
      </c>
      <c r="Y74" s="18">
        <f t="shared" si="24"/>
        <v>10.425815698197882</v>
      </c>
      <c r="Z74" s="18">
        <f t="shared" si="25"/>
        <v>0.35725702164053807</v>
      </c>
      <c r="AA74" s="12">
        <f t="shared" si="26"/>
        <v>1.4704383347090821</v>
      </c>
      <c r="AB74">
        <f t="shared" si="27"/>
        <v>6.9504157944445168</v>
      </c>
      <c r="AC74" s="18">
        <f t="shared" si="16"/>
        <v>0.3552830826998592</v>
      </c>
      <c r="AD74" s="18">
        <f t="shared" si="28"/>
        <v>4.7049794705254611</v>
      </c>
      <c r="AE74" s="12">
        <v>1618.7760000000001</v>
      </c>
      <c r="AF74" s="12">
        <v>1102.529</v>
      </c>
      <c r="AG74" s="8">
        <f t="shared" si="29"/>
        <v>0.46823893067665345</v>
      </c>
      <c r="AH74">
        <f t="shared" si="30"/>
        <v>1.3662385379295874</v>
      </c>
      <c r="AI74">
        <f t="shared" si="31"/>
        <v>2.2823048018062813</v>
      </c>
    </row>
    <row r="75" spans="1:35" x14ac:dyDescent="0.3">
      <c r="A75" t="s">
        <v>38</v>
      </c>
      <c r="B75" s="11">
        <v>2022</v>
      </c>
      <c r="C75" s="12">
        <v>502.76900000000001</v>
      </c>
      <c r="D75" s="12">
        <v>4843.3090000000002</v>
      </c>
      <c r="E75" s="12">
        <v>2389.87</v>
      </c>
      <c r="F75" s="12">
        <v>1840.3150000000001</v>
      </c>
      <c r="G75" s="12">
        <v>7233.1779999999999</v>
      </c>
      <c r="H75" s="12">
        <v>1928.325</v>
      </c>
      <c r="I75" s="12">
        <v>5304.8530000000001</v>
      </c>
      <c r="J75" s="12">
        <v>1815.51</v>
      </c>
      <c r="K75" s="4">
        <f t="shared" si="17"/>
        <v>3.1565074996312901</v>
      </c>
      <c r="L75" s="5">
        <v>3.1565074996312899E-2</v>
      </c>
      <c r="M75" s="19">
        <f t="shared" si="18"/>
        <v>8.1235144676734308</v>
      </c>
      <c r="N75" s="5">
        <v>8.1235144676734303E-2</v>
      </c>
      <c r="O75" s="19">
        <f t="shared" si="19"/>
        <v>8.01</v>
      </c>
      <c r="P75" s="8">
        <v>8.0100000000000005E-2</v>
      </c>
      <c r="Q75" s="19">
        <f t="shared" si="20"/>
        <v>23.271212500000001</v>
      </c>
      <c r="R75" s="12">
        <v>23271.212500000001</v>
      </c>
      <c r="S75" s="4">
        <f t="shared" si="21"/>
        <v>4.8903491282217537</v>
      </c>
      <c r="T75" s="13">
        <v>1890</v>
      </c>
      <c r="U75" s="14">
        <v>134.21</v>
      </c>
      <c r="V75" s="14">
        <v>177.31</v>
      </c>
      <c r="W75" s="4">
        <f t="shared" si="22"/>
        <v>17.614513730895045</v>
      </c>
      <c r="X75" s="18">
        <f t="shared" si="23"/>
        <v>9.4775293490696164</v>
      </c>
      <c r="Y75" s="18">
        <f t="shared" si="24"/>
        <v>6.9508727698945059</v>
      </c>
      <c r="Z75" s="18">
        <f t="shared" si="25"/>
        <v>0.36350206122582474</v>
      </c>
      <c r="AA75" s="12">
        <f t="shared" si="26"/>
        <v>2.6677401942153995</v>
      </c>
      <c r="AB75">
        <f t="shared" si="27"/>
        <v>8.3137043488946745</v>
      </c>
      <c r="AC75" s="18">
        <f t="shared" si="16"/>
        <v>0.25442689230100518</v>
      </c>
      <c r="AD75" s="18">
        <f t="shared" si="28"/>
        <v>4.7049794705254611</v>
      </c>
      <c r="AE75" s="12">
        <v>8525.4359999999997</v>
      </c>
      <c r="AF75" s="12">
        <v>7053.4129999999996</v>
      </c>
      <c r="AG75" s="8">
        <f t="shared" si="29"/>
        <v>0.20869655583757823</v>
      </c>
      <c r="AH75">
        <f t="shared" si="30"/>
        <v>4.5737210644310666</v>
      </c>
      <c r="AI75">
        <f t="shared" si="31"/>
        <v>6.7048847975067831</v>
      </c>
    </row>
    <row r="76" spans="1:35" x14ac:dyDescent="0.3">
      <c r="A76" t="s">
        <v>39</v>
      </c>
      <c r="B76" s="11">
        <v>2022</v>
      </c>
      <c r="C76" s="12">
        <v>26.34</v>
      </c>
      <c r="D76" s="12">
        <v>788.45799999999997</v>
      </c>
      <c r="E76" s="12">
        <v>135.858</v>
      </c>
      <c r="F76" s="12">
        <v>60.73</v>
      </c>
      <c r="G76" s="12">
        <v>924.31600000000003</v>
      </c>
      <c r="H76" s="12">
        <v>52.892000000000003</v>
      </c>
      <c r="I76" s="12">
        <v>871.42399999999998</v>
      </c>
      <c r="J76" s="12">
        <v>51.49</v>
      </c>
      <c r="K76" s="4">
        <f t="shared" si="17"/>
        <v>3.1565074996312901</v>
      </c>
      <c r="L76" s="5">
        <v>3.1565074996312899E-2</v>
      </c>
      <c r="M76" s="19">
        <f t="shared" si="18"/>
        <v>8.1235144676734308</v>
      </c>
      <c r="N76" s="5">
        <v>8.1235144676734303E-2</v>
      </c>
      <c r="O76" s="19">
        <f t="shared" si="19"/>
        <v>8.01</v>
      </c>
      <c r="P76" s="8">
        <v>8.0100000000000005E-2</v>
      </c>
      <c r="Q76" s="19">
        <f t="shared" si="20"/>
        <v>23.271212500000001</v>
      </c>
      <c r="R76" s="12">
        <v>23271.212500000001</v>
      </c>
      <c r="S76" s="4">
        <f t="shared" si="21"/>
        <v>2.0794415416798357</v>
      </c>
      <c r="T76" s="13">
        <v>2015</v>
      </c>
      <c r="U76" s="14">
        <v>134.21</v>
      </c>
      <c r="V76" s="14">
        <v>177.31</v>
      </c>
      <c r="W76" s="4">
        <f t="shared" si="22"/>
        <v>17.614513730895045</v>
      </c>
      <c r="X76" s="18">
        <f t="shared" si="23"/>
        <v>3.0226388072855466</v>
      </c>
      <c r="Y76" s="18">
        <f t="shared" si="24"/>
        <v>2.8496747865448611</v>
      </c>
      <c r="Z76" s="18">
        <f t="shared" si="25"/>
        <v>6.0696056110458287E-2</v>
      </c>
      <c r="AA76" s="12">
        <f t="shared" si="26"/>
        <v>15.312837444163915</v>
      </c>
      <c r="AB76">
        <f t="shared" si="27"/>
        <v>6.2563245774371605</v>
      </c>
      <c r="AC76" s="18">
        <f t="shared" si="16"/>
        <v>6.5702638491598103E-2</v>
      </c>
      <c r="AD76" s="18">
        <f t="shared" si="28"/>
        <v>4.7049794705254611</v>
      </c>
      <c r="AE76" s="12">
        <v>386.24400000000003</v>
      </c>
      <c r="AF76" s="12">
        <v>366.75</v>
      </c>
      <c r="AG76" s="8">
        <f t="shared" si="29"/>
        <v>5.3153374233128908E-2</v>
      </c>
      <c r="AH76">
        <f t="shared" si="30"/>
        <v>5.0659685276273567</v>
      </c>
      <c r="AI76">
        <f t="shared" si="31"/>
        <v>5.8533665835411481</v>
      </c>
    </row>
    <row r="77" spans="1:35" x14ac:dyDescent="0.3">
      <c r="A77" t="s">
        <v>40</v>
      </c>
      <c r="B77" s="11">
        <v>2022</v>
      </c>
      <c r="C77" s="12">
        <v>140.44999999999999</v>
      </c>
      <c r="D77" s="12">
        <v>1340.989</v>
      </c>
      <c r="E77" s="12">
        <v>44.124000000000002</v>
      </c>
      <c r="F77" s="12">
        <v>37.664999999999999</v>
      </c>
      <c r="G77" s="12">
        <v>1385.1130000000001</v>
      </c>
      <c r="H77" s="12">
        <v>543.47199999999998</v>
      </c>
      <c r="I77" s="12">
        <v>841.64099999999996</v>
      </c>
      <c r="J77" s="12">
        <v>542.97</v>
      </c>
      <c r="K77" s="4">
        <f t="shared" si="17"/>
        <v>3.1565074996312901</v>
      </c>
      <c r="L77" s="5">
        <v>3.1565074996312899E-2</v>
      </c>
      <c r="M77" s="19">
        <f t="shared" si="18"/>
        <v>8.1235144676734308</v>
      </c>
      <c r="N77" s="5">
        <v>8.1235144676734303E-2</v>
      </c>
      <c r="O77" s="19">
        <f t="shared" si="19"/>
        <v>8.01</v>
      </c>
      <c r="P77" s="8">
        <v>8.0100000000000005E-2</v>
      </c>
      <c r="Q77" s="19">
        <f t="shared" si="20"/>
        <v>23.271212500000001</v>
      </c>
      <c r="R77" s="12">
        <v>23271.212500000001</v>
      </c>
      <c r="S77" s="4">
        <f t="shared" si="21"/>
        <v>3.4339872044851463</v>
      </c>
      <c r="T77" s="13">
        <v>1992</v>
      </c>
      <c r="U77" s="14">
        <v>134.21</v>
      </c>
      <c r="V77" s="14">
        <v>177.31</v>
      </c>
      <c r="W77" s="4">
        <f t="shared" si="22"/>
        <v>17.614513730895045</v>
      </c>
      <c r="X77" s="18">
        <f t="shared" si="23"/>
        <v>16.687637603206117</v>
      </c>
      <c r="Y77" s="18">
        <f t="shared" si="24"/>
        <v>10.139966919666481</v>
      </c>
      <c r="Z77" s="18">
        <f t="shared" si="25"/>
        <v>0.64572899846846821</v>
      </c>
      <c r="AA77" s="12">
        <f t="shared" si="26"/>
        <v>2.4697294509825589</v>
      </c>
      <c r="AB77">
        <f t="shared" si="27"/>
        <v>6.6608075766601305</v>
      </c>
      <c r="AC77" s="18">
        <f t="shared" si="16"/>
        <v>2.7192727235972804E-2</v>
      </c>
      <c r="AD77" s="18">
        <f t="shared" si="28"/>
        <v>4.7049794705254611</v>
      </c>
      <c r="AE77" s="12">
        <v>2304.8690000000001</v>
      </c>
      <c r="AF77" s="12">
        <v>2142.096</v>
      </c>
      <c r="AG77" s="8">
        <f t="shared" si="29"/>
        <v>7.5987724172959639E-2</v>
      </c>
      <c r="AH77">
        <f t="shared" si="30"/>
        <v>12.895162588116767</v>
      </c>
      <c r="AI77">
        <f t="shared" si="31"/>
        <v>17.496456677144824</v>
      </c>
    </row>
    <row r="78" spans="1:35" x14ac:dyDescent="0.3">
      <c r="A78" t="s">
        <v>41</v>
      </c>
      <c r="B78" s="11">
        <v>2022</v>
      </c>
      <c r="C78" s="12">
        <v>90.879000000000005</v>
      </c>
      <c r="D78" s="12">
        <v>2149.652</v>
      </c>
      <c r="E78" s="12">
        <v>764.38</v>
      </c>
      <c r="F78" s="12">
        <v>373.68700000000001</v>
      </c>
      <c r="G78" s="12">
        <v>2914.0320000000002</v>
      </c>
      <c r="H78" s="12">
        <v>1518.981</v>
      </c>
      <c r="I78" s="12">
        <v>1395.05</v>
      </c>
      <c r="J78" s="12">
        <v>1491.1</v>
      </c>
      <c r="K78" s="4">
        <f t="shared" si="17"/>
        <v>3.1565074996312901</v>
      </c>
      <c r="L78" s="5">
        <v>3.1565074996312899E-2</v>
      </c>
      <c r="M78" s="19">
        <f t="shared" si="18"/>
        <v>8.1235144676734308</v>
      </c>
      <c r="N78" s="5">
        <v>8.1235144676734303E-2</v>
      </c>
      <c r="O78" s="19">
        <f t="shared" si="19"/>
        <v>8.01</v>
      </c>
      <c r="P78" s="8">
        <v>8.0100000000000005E-2</v>
      </c>
      <c r="Q78" s="19">
        <f t="shared" si="20"/>
        <v>23.271212500000001</v>
      </c>
      <c r="R78" s="12">
        <v>23271.212500000001</v>
      </c>
      <c r="S78" s="4">
        <f t="shared" si="21"/>
        <v>3.8286413964890951</v>
      </c>
      <c r="T78" s="13">
        <v>1977</v>
      </c>
      <c r="U78" s="14">
        <v>134.21</v>
      </c>
      <c r="V78" s="14">
        <v>177.31</v>
      </c>
      <c r="W78" s="4">
        <f t="shared" si="22"/>
        <v>17.614513730895045</v>
      </c>
      <c r="X78" s="18">
        <f t="shared" si="23"/>
        <v>6.5143901652270531</v>
      </c>
      <c r="Y78" s="18">
        <f t="shared" si="24"/>
        <v>3.1186685664399016</v>
      </c>
      <c r="Z78" s="18">
        <f t="shared" si="25"/>
        <v>1.0888362424285869</v>
      </c>
      <c r="AA78" s="12">
        <f t="shared" si="26"/>
        <v>1.4416551539132185</v>
      </c>
      <c r="AB78">
        <f t="shared" si="27"/>
        <v>7.4045635410828199</v>
      </c>
      <c r="AC78" s="18">
        <f t="shared" si="16"/>
        <v>0.12823709554321983</v>
      </c>
      <c r="AD78" s="18">
        <f t="shared" si="28"/>
        <v>4.7049794705254611</v>
      </c>
      <c r="AE78" s="12">
        <v>2923.6410000000001</v>
      </c>
      <c r="AF78" s="12">
        <v>2097.8000000000002</v>
      </c>
      <c r="AG78" s="8">
        <f t="shared" si="29"/>
        <v>0.39367003527504996</v>
      </c>
      <c r="AH78">
        <f t="shared" si="30"/>
        <v>3.4491473349675257</v>
      </c>
      <c r="AI78">
        <f t="shared" si="31"/>
        <v>6.443977422470752</v>
      </c>
    </row>
    <row r="79" spans="1:35" x14ac:dyDescent="0.3">
      <c r="A79" t="s">
        <v>42</v>
      </c>
      <c r="B79" s="11">
        <v>2022</v>
      </c>
      <c r="C79" s="12">
        <v>79.185000000000002</v>
      </c>
      <c r="D79" s="12">
        <v>3012.424</v>
      </c>
      <c r="E79" s="12">
        <v>1191.8130000000001</v>
      </c>
      <c r="F79" s="12">
        <v>1097.47</v>
      </c>
      <c r="G79" s="12">
        <v>4204.2370000000001</v>
      </c>
      <c r="H79" s="12">
        <v>2902.8029999999999</v>
      </c>
      <c r="I79" s="12">
        <v>1301.434</v>
      </c>
      <c r="J79" s="12">
        <v>2751.26</v>
      </c>
      <c r="K79" s="4">
        <f t="shared" si="17"/>
        <v>3.1565074996312901</v>
      </c>
      <c r="L79" s="5">
        <v>3.1565074996312899E-2</v>
      </c>
      <c r="M79" s="19">
        <f t="shared" si="18"/>
        <v>8.1235144676734308</v>
      </c>
      <c r="N79" s="5">
        <v>8.1235144676734303E-2</v>
      </c>
      <c r="O79" s="19">
        <f t="shared" si="19"/>
        <v>8.01</v>
      </c>
      <c r="P79" s="8">
        <v>8.0100000000000005E-2</v>
      </c>
      <c r="Q79" s="19">
        <f t="shared" si="20"/>
        <v>23.271212500000001</v>
      </c>
      <c r="R79" s="12">
        <v>23271.212500000001</v>
      </c>
      <c r="S79" s="4">
        <f t="shared" si="21"/>
        <v>3.8501476017100584</v>
      </c>
      <c r="T79" s="13">
        <v>1976</v>
      </c>
      <c r="U79" s="14">
        <v>134.21</v>
      </c>
      <c r="V79" s="14">
        <v>177.31</v>
      </c>
      <c r="W79" s="4">
        <f t="shared" si="22"/>
        <v>17.614513730895045</v>
      </c>
      <c r="X79" s="18">
        <f t="shared" si="23"/>
        <v>6.0844422383309489</v>
      </c>
      <c r="Y79" s="18">
        <f t="shared" si="24"/>
        <v>1.8834570934036308</v>
      </c>
      <c r="Z79" s="18">
        <f t="shared" si="25"/>
        <v>2.2304650101349743</v>
      </c>
      <c r="AA79" s="12">
        <f t="shared" si="26"/>
        <v>1.0949252342563043</v>
      </c>
      <c r="AB79">
        <f t="shared" si="27"/>
        <v>7.7711186782080981</v>
      </c>
      <c r="AC79" s="18">
        <f t="shared" si="16"/>
        <v>0.26103904228044233</v>
      </c>
      <c r="AD79" s="18">
        <f t="shared" si="28"/>
        <v>4.7049794705254611</v>
      </c>
      <c r="AE79" s="12">
        <v>5559.7820000000002</v>
      </c>
      <c r="AF79" s="12">
        <v>4963.9129999999996</v>
      </c>
      <c r="AG79" s="8">
        <f t="shared" si="29"/>
        <v>0.12004017798055701</v>
      </c>
      <c r="AH79">
        <f t="shared" si="30"/>
        <v>1.0116020632203737</v>
      </c>
      <c r="AI79">
        <f t="shared" si="31"/>
        <v>3.3416792465135665</v>
      </c>
    </row>
    <row r="80" spans="1:35" x14ac:dyDescent="0.3">
      <c r="A80" t="s">
        <v>43</v>
      </c>
      <c r="B80" s="11">
        <v>2022</v>
      </c>
      <c r="C80" s="12">
        <v>117.53</v>
      </c>
      <c r="D80" s="12">
        <v>1733.807</v>
      </c>
      <c r="E80" s="12">
        <v>792.88900000000001</v>
      </c>
      <c r="F80" s="12">
        <v>173.36099999999999</v>
      </c>
      <c r="G80" s="12">
        <v>2526.6959999999999</v>
      </c>
      <c r="H80" s="12">
        <v>1602.0509999999999</v>
      </c>
      <c r="I80" s="12">
        <v>924.64499999999998</v>
      </c>
      <c r="J80" s="12">
        <v>1473.3</v>
      </c>
      <c r="K80" s="4">
        <f t="shared" si="17"/>
        <v>3.1565074996312901</v>
      </c>
      <c r="L80" s="5">
        <v>3.1565074996312899E-2</v>
      </c>
      <c r="M80" s="19">
        <f t="shared" si="18"/>
        <v>8.1235144676734308</v>
      </c>
      <c r="N80" s="5">
        <v>8.1235144676734303E-2</v>
      </c>
      <c r="O80" s="19">
        <f t="shared" si="19"/>
        <v>8.01</v>
      </c>
      <c r="P80" s="8">
        <v>8.0100000000000005E-2</v>
      </c>
      <c r="Q80" s="19">
        <f t="shared" si="20"/>
        <v>23.271212500000001</v>
      </c>
      <c r="R80" s="12">
        <v>23271.212500000001</v>
      </c>
      <c r="S80" s="4">
        <f t="shared" si="21"/>
        <v>2.6390573296152584</v>
      </c>
      <c r="T80" s="13">
        <v>2009</v>
      </c>
      <c r="U80" s="14">
        <v>134.21</v>
      </c>
      <c r="V80" s="14">
        <v>177.31</v>
      </c>
      <c r="W80" s="4">
        <f t="shared" si="22"/>
        <v>17.614513730895045</v>
      </c>
      <c r="X80" s="18">
        <f t="shared" si="23"/>
        <v>12.710824154134832</v>
      </c>
      <c r="Y80" s="18">
        <f t="shared" si="24"/>
        <v>4.651529111535381</v>
      </c>
      <c r="Z80" s="18">
        <f t="shared" si="25"/>
        <v>1.7326119754067777</v>
      </c>
      <c r="AA80" s="12">
        <f t="shared" si="26"/>
        <v>1.1768187063055726</v>
      </c>
      <c r="AB80">
        <f t="shared" si="27"/>
        <v>7.2619383723187925</v>
      </c>
      <c r="AC80" s="18">
        <f t="shared" si="16"/>
        <v>6.8611736433666734E-2</v>
      </c>
      <c r="AD80" s="18">
        <f t="shared" si="28"/>
        <v>4.7049794705254611</v>
      </c>
      <c r="AE80" s="12">
        <v>6367.5839999999998</v>
      </c>
      <c r="AF80" s="12">
        <v>4561.8270000000002</v>
      </c>
      <c r="AG80" s="8">
        <f t="shared" si="29"/>
        <v>0.3958407453855658</v>
      </c>
      <c r="AH80">
        <f t="shared" si="30"/>
        <v>2.9415603725571651</v>
      </c>
      <c r="AI80">
        <f t="shared" si="31"/>
        <v>6.3847268140542086</v>
      </c>
    </row>
    <row r="81" spans="1:35" x14ac:dyDescent="0.3">
      <c r="A81" t="s">
        <v>44</v>
      </c>
      <c r="B81" s="11">
        <v>2022</v>
      </c>
      <c r="C81" s="12">
        <v>80.099000000000004</v>
      </c>
      <c r="D81" s="12">
        <v>1286.5</v>
      </c>
      <c r="E81" s="12">
        <v>466.16399999999999</v>
      </c>
      <c r="F81" s="12">
        <v>271.42099999999999</v>
      </c>
      <c r="G81" s="12">
        <v>1752.664</v>
      </c>
      <c r="H81" s="12">
        <v>986.37199999999996</v>
      </c>
      <c r="I81" s="12">
        <v>766.29200000000003</v>
      </c>
      <c r="J81" s="12">
        <v>942.67</v>
      </c>
      <c r="K81" s="4">
        <f t="shared" si="17"/>
        <v>3.1565074996312901</v>
      </c>
      <c r="L81" s="5">
        <v>3.1565074996312899E-2</v>
      </c>
      <c r="M81" s="19">
        <f t="shared" si="18"/>
        <v>8.1235144676734308</v>
      </c>
      <c r="N81" s="5">
        <v>8.1235144676734303E-2</v>
      </c>
      <c r="O81" s="19">
        <f t="shared" si="19"/>
        <v>8.01</v>
      </c>
      <c r="P81" s="8">
        <v>8.0100000000000005E-2</v>
      </c>
      <c r="Q81" s="19">
        <f t="shared" si="20"/>
        <v>23.271212500000001</v>
      </c>
      <c r="R81" s="12">
        <v>23271.212500000001</v>
      </c>
      <c r="S81" s="4">
        <f t="shared" si="21"/>
        <v>2.7080502011022101</v>
      </c>
      <c r="T81" s="13">
        <v>2008</v>
      </c>
      <c r="U81" s="14">
        <v>134.21</v>
      </c>
      <c r="V81" s="14">
        <v>177.31</v>
      </c>
      <c r="W81" s="4">
        <f t="shared" si="22"/>
        <v>17.614513730895045</v>
      </c>
      <c r="X81" s="18">
        <f t="shared" si="23"/>
        <v>10.452803891988955</v>
      </c>
      <c r="Y81" s="18">
        <f t="shared" si="24"/>
        <v>4.5701286726948238</v>
      </c>
      <c r="Z81" s="18">
        <f t="shared" si="25"/>
        <v>1.2872012235544674</v>
      </c>
      <c r="AA81" s="12">
        <f t="shared" si="26"/>
        <v>1.3647405772964027</v>
      </c>
      <c r="AB81">
        <f t="shared" si="27"/>
        <v>6.8961627680486925</v>
      </c>
      <c r="AC81" s="18">
        <f t="shared" si="16"/>
        <v>0.15486197012091307</v>
      </c>
      <c r="AD81" s="18">
        <f t="shared" si="28"/>
        <v>4.7049794705254611</v>
      </c>
      <c r="AE81" s="12">
        <v>2999.7350000000001</v>
      </c>
      <c r="AF81" s="12">
        <v>2259.9769999999999</v>
      </c>
      <c r="AG81" s="8">
        <f t="shared" si="29"/>
        <v>0.3273298799058576</v>
      </c>
      <c r="AH81">
        <f t="shared" si="30"/>
        <v>2.131287559638849</v>
      </c>
      <c r="AI81">
        <f t="shared" si="31"/>
        <v>5.0705131956229152</v>
      </c>
    </row>
    <row r="82" spans="1:35" x14ac:dyDescent="0.3">
      <c r="A82" t="s">
        <v>45</v>
      </c>
      <c r="B82" s="11">
        <v>2022</v>
      </c>
      <c r="C82" s="12">
        <v>5.1950000000000003</v>
      </c>
      <c r="D82" s="12">
        <v>7065.13</v>
      </c>
      <c r="E82" s="12">
        <v>5908.9740000000002</v>
      </c>
      <c r="F82" s="12">
        <v>4301.7650000000003</v>
      </c>
      <c r="G82" s="12">
        <v>12974.103999999999</v>
      </c>
      <c r="H82" s="12">
        <v>8332.8760000000002</v>
      </c>
      <c r="I82" s="12">
        <v>4641.2280000000001</v>
      </c>
      <c r="J82" s="12">
        <v>7213.03</v>
      </c>
      <c r="K82" s="4">
        <f t="shared" si="17"/>
        <v>3.1565074996312901</v>
      </c>
      <c r="L82" s="5">
        <v>3.1565074996312899E-2</v>
      </c>
      <c r="M82" s="19">
        <f t="shared" si="18"/>
        <v>8.1235144676734308</v>
      </c>
      <c r="N82" s="5">
        <v>8.1235144676734303E-2</v>
      </c>
      <c r="O82" s="19">
        <f t="shared" si="19"/>
        <v>8.01</v>
      </c>
      <c r="P82" s="8">
        <v>8.0100000000000005E-2</v>
      </c>
      <c r="Q82" s="19">
        <f t="shared" si="20"/>
        <v>23.271212500000001</v>
      </c>
      <c r="R82" s="12">
        <v>23271.212500000001</v>
      </c>
      <c r="S82" s="4">
        <f t="shared" si="21"/>
        <v>3.2958368660043291</v>
      </c>
      <c r="T82" s="13">
        <v>1996</v>
      </c>
      <c r="U82" s="14">
        <v>134.21</v>
      </c>
      <c r="V82" s="14">
        <v>177.31</v>
      </c>
      <c r="W82" s="4">
        <f t="shared" si="22"/>
        <v>17.614513730895045</v>
      </c>
      <c r="X82" s="18">
        <f t="shared" si="23"/>
        <v>0.11193158362398917</v>
      </c>
      <c r="Y82" s="18">
        <f t="shared" si="24"/>
        <v>4.0041300732597804E-2</v>
      </c>
      <c r="Z82" s="18">
        <f t="shared" si="25"/>
        <v>1.7954032855097832</v>
      </c>
      <c r="AA82" s="12">
        <f t="shared" si="26"/>
        <v>0.97949544088961227</v>
      </c>
      <c r="AB82">
        <f t="shared" si="27"/>
        <v>8.8979812226921311</v>
      </c>
      <c r="AC82" s="18">
        <f t="shared" si="16"/>
        <v>0.33156547843303863</v>
      </c>
      <c r="AD82" s="18">
        <f t="shared" si="28"/>
        <v>4.7049794705254611</v>
      </c>
      <c r="AE82" s="12">
        <v>11687.826999999999</v>
      </c>
      <c r="AF82" s="12">
        <v>10961.93</v>
      </c>
      <c r="AG82" s="8">
        <f t="shared" si="29"/>
        <v>6.6219817130742403E-2</v>
      </c>
      <c r="AH82">
        <f t="shared" si="30"/>
        <v>7.6368596188336557</v>
      </c>
      <c r="AI82">
        <f t="shared" si="31"/>
        <v>17.703193159597376</v>
      </c>
    </row>
    <row r="83" spans="1:35" x14ac:dyDescent="0.3">
      <c r="A83" t="s">
        <v>46</v>
      </c>
      <c r="B83" s="11">
        <v>2022</v>
      </c>
      <c r="C83" s="12">
        <v>14.855</v>
      </c>
      <c r="D83" s="12">
        <v>1012.023</v>
      </c>
      <c r="E83" s="12">
        <v>473.065</v>
      </c>
      <c r="F83" s="12">
        <v>337.43099999999998</v>
      </c>
      <c r="G83" s="12">
        <v>1485.088</v>
      </c>
      <c r="H83" s="12">
        <v>551.13</v>
      </c>
      <c r="I83" s="12">
        <v>933.95799999999997</v>
      </c>
      <c r="J83" s="12">
        <v>519.02</v>
      </c>
      <c r="K83" s="4">
        <f t="shared" si="17"/>
        <v>3.1565074996312901</v>
      </c>
      <c r="L83" s="5">
        <v>3.1565074996312899E-2</v>
      </c>
      <c r="M83" s="19">
        <f t="shared" si="18"/>
        <v>8.1235144676734308</v>
      </c>
      <c r="N83" s="5">
        <v>8.1235144676734303E-2</v>
      </c>
      <c r="O83" s="19">
        <f t="shared" si="19"/>
        <v>8.01</v>
      </c>
      <c r="P83" s="8">
        <v>8.0100000000000005E-2</v>
      </c>
      <c r="Q83" s="19">
        <f t="shared" si="20"/>
        <v>23.271212500000001</v>
      </c>
      <c r="R83" s="12">
        <v>23271.212500000001</v>
      </c>
      <c r="S83" s="4">
        <f t="shared" si="21"/>
        <v>3.912023005428146</v>
      </c>
      <c r="T83" s="13">
        <v>1973</v>
      </c>
      <c r="U83" s="14">
        <v>134.21</v>
      </c>
      <c r="V83" s="14">
        <v>177.31</v>
      </c>
      <c r="W83" s="4">
        <f t="shared" si="22"/>
        <v>17.614513730895045</v>
      </c>
      <c r="X83" s="18">
        <f t="shared" si="23"/>
        <v>1.5905426154066884</v>
      </c>
      <c r="Y83" s="18">
        <f t="shared" si="24"/>
        <v>1.0002774246374626</v>
      </c>
      <c r="Z83" s="18">
        <f t="shared" si="25"/>
        <v>0.59010148207949398</v>
      </c>
      <c r="AA83" s="12">
        <f t="shared" si="26"/>
        <v>1.9498728372702401</v>
      </c>
      <c r="AB83">
        <f t="shared" si="27"/>
        <v>6.730499881659493</v>
      </c>
      <c r="AC83" s="18">
        <f t="shared" si="16"/>
        <v>0.22721279816414919</v>
      </c>
      <c r="AD83" s="18">
        <f t="shared" si="28"/>
        <v>4.7049794705254611</v>
      </c>
      <c r="AE83" s="12">
        <v>1001.213</v>
      </c>
      <c r="AF83" s="12">
        <v>749.31500000000005</v>
      </c>
      <c r="AG83" s="8">
        <f t="shared" si="29"/>
        <v>0.33617103621307448</v>
      </c>
      <c r="AH83">
        <f t="shared" si="30"/>
        <v>1.61393834569724</v>
      </c>
      <c r="AI83">
        <f t="shared" si="31"/>
        <v>2.4098056717628462</v>
      </c>
    </row>
    <row r="84" spans="1:35" x14ac:dyDescent="0.3">
      <c r="A84" t="s">
        <v>47</v>
      </c>
      <c r="B84" s="11">
        <v>2022</v>
      </c>
      <c r="C84" s="12">
        <v>307.185</v>
      </c>
      <c r="D84" s="12">
        <v>2457.4259999999999</v>
      </c>
      <c r="E84" s="12">
        <v>960.37300000000005</v>
      </c>
      <c r="F84" s="12">
        <v>900.54100000000005</v>
      </c>
      <c r="G84" s="12">
        <v>3417.799</v>
      </c>
      <c r="H84" s="12">
        <v>1508.0360000000001</v>
      </c>
      <c r="I84" s="12">
        <v>1909.7629999999999</v>
      </c>
      <c r="J84" s="12">
        <v>1506.93</v>
      </c>
      <c r="K84" s="4">
        <f t="shared" si="17"/>
        <v>3.1565074996312901</v>
      </c>
      <c r="L84" s="5">
        <v>3.1565074996312899E-2</v>
      </c>
      <c r="M84" s="19">
        <f t="shared" si="18"/>
        <v>8.1235144676734308</v>
      </c>
      <c r="N84" s="5">
        <v>8.1235144676734303E-2</v>
      </c>
      <c r="O84" s="19">
        <f t="shared" si="19"/>
        <v>8.01</v>
      </c>
      <c r="P84" s="8">
        <v>8.0100000000000005E-2</v>
      </c>
      <c r="Q84" s="19">
        <f t="shared" si="20"/>
        <v>23.271212500000001</v>
      </c>
      <c r="R84" s="12">
        <v>23271.212500000001</v>
      </c>
      <c r="S84" s="4">
        <f t="shared" si="21"/>
        <v>3.8712010109078911</v>
      </c>
      <c r="T84" s="13">
        <v>1975</v>
      </c>
      <c r="U84" s="14">
        <v>134.21</v>
      </c>
      <c r="V84" s="14">
        <v>177.31</v>
      </c>
      <c r="W84" s="4">
        <f t="shared" si="22"/>
        <v>17.614513730895045</v>
      </c>
      <c r="X84" s="18">
        <f t="shared" si="23"/>
        <v>16.084980178168706</v>
      </c>
      <c r="Y84" s="18">
        <f t="shared" si="24"/>
        <v>8.9878017987599623</v>
      </c>
      <c r="Z84" s="18">
        <f t="shared" si="25"/>
        <v>0.78964562618502931</v>
      </c>
      <c r="AA84" s="12">
        <f t="shared" si="26"/>
        <v>1.630749935298919</v>
      </c>
      <c r="AB84">
        <f t="shared" si="27"/>
        <v>7.5640226285460859</v>
      </c>
      <c r="AC84" s="18">
        <f t="shared" si="16"/>
        <v>0.26348565260859402</v>
      </c>
      <c r="AD84" s="18">
        <f t="shared" si="28"/>
        <v>4.7049794705254611</v>
      </c>
      <c r="AE84" s="12">
        <v>5139.1670000000004</v>
      </c>
      <c r="AF84" s="12">
        <v>4635.5249999999996</v>
      </c>
      <c r="AG84" s="8">
        <f t="shared" si="29"/>
        <v>0.10864831923029231</v>
      </c>
      <c r="AH84">
        <f t="shared" si="30"/>
        <v>9.2740206056041181</v>
      </c>
      <c r="AI84">
        <f t="shared" si="31"/>
        <v>16.394558973578437</v>
      </c>
    </row>
    <row r="85" spans="1:35" x14ac:dyDescent="0.3">
      <c r="A85" t="s">
        <v>48</v>
      </c>
      <c r="B85" s="11">
        <v>2022</v>
      </c>
      <c r="C85" s="12">
        <v>91.828999999999994</v>
      </c>
      <c r="D85" s="12">
        <v>1055.146</v>
      </c>
      <c r="E85" s="12">
        <v>401.55</v>
      </c>
      <c r="F85" s="12">
        <v>165.51</v>
      </c>
      <c r="G85" s="12">
        <v>1456.6949999999999</v>
      </c>
      <c r="H85" s="12">
        <v>428.85399999999998</v>
      </c>
      <c r="I85" s="12">
        <v>1027.8409999999999</v>
      </c>
      <c r="J85" s="12">
        <v>312.01</v>
      </c>
      <c r="K85" s="4">
        <f t="shared" si="17"/>
        <v>3.1565074996312901</v>
      </c>
      <c r="L85" s="5">
        <v>3.1565074996312899E-2</v>
      </c>
      <c r="M85" s="19">
        <f t="shared" si="18"/>
        <v>8.1235144676734308</v>
      </c>
      <c r="N85" s="5">
        <v>8.1235144676734303E-2</v>
      </c>
      <c r="O85" s="19">
        <f t="shared" si="19"/>
        <v>8.01</v>
      </c>
      <c r="P85" s="8">
        <v>8.0100000000000005E-2</v>
      </c>
      <c r="Q85" s="19">
        <f t="shared" si="20"/>
        <v>23.271212500000001</v>
      </c>
      <c r="R85" s="12">
        <v>23271.212500000001</v>
      </c>
      <c r="S85" s="4">
        <f t="shared" si="21"/>
        <v>3.4011973816621555</v>
      </c>
      <c r="T85" s="13">
        <v>1993</v>
      </c>
      <c r="U85" s="14">
        <v>134.21</v>
      </c>
      <c r="V85" s="14">
        <v>177.31</v>
      </c>
      <c r="W85" s="4">
        <f t="shared" si="22"/>
        <v>17.614513730895045</v>
      </c>
      <c r="X85" s="18">
        <f t="shared" si="23"/>
        <v>8.9341639416991541</v>
      </c>
      <c r="Y85" s="18">
        <f t="shared" si="24"/>
        <v>6.3039277268062284</v>
      </c>
      <c r="Z85" s="18">
        <f t="shared" si="25"/>
        <v>0.41723768559534019</v>
      </c>
      <c r="AA85" s="12">
        <f t="shared" si="26"/>
        <v>3.3817698150700299</v>
      </c>
      <c r="AB85">
        <f t="shared" si="27"/>
        <v>6.7111960229524712</v>
      </c>
      <c r="AC85" s="18">
        <f t="shared" si="16"/>
        <v>0.11362021562509654</v>
      </c>
      <c r="AD85" s="18">
        <f t="shared" si="28"/>
        <v>4.7049794705254611</v>
      </c>
      <c r="AE85" s="12">
        <v>1021.675</v>
      </c>
      <c r="AF85" s="12">
        <v>866.45100000000002</v>
      </c>
      <c r="AG85" s="8">
        <f t="shared" si="29"/>
        <v>0.1791491959729978</v>
      </c>
      <c r="AH85">
        <f t="shared" si="30"/>
        <v>4.7070998618317494</v>
      </c>
      <c r="AI85">
        <f t="shared" si="31"/>
        <v>6.1948931367708262</v>
      </c>
    </row>
    <row r="86" spans="1:35" x14ac:dyDescent="0.3">
      <c r="A86" t="s">
        <v>49</v>
      </c>
      <c r="B86" s="11">
        <v>2022</v>
      </c>
      <c r="C86" s="12">
        <v>321.01799999999997</v>
      </c>
      <c r="D86" s="12">
        <v>1876.998</v>
      </c>
      <c r="E86" s="12">
        <v>1111.809</v>
      </c>
      <c r="F86" s="12">
        <v>418.63299999999998</v>
      </c>
      <c r="G86" s="12">
        <v>2988.8069999999998</v>
      </c>
      <c r="H86" s="12">
        <v>872.745</v>
      </c>
      <c r="I86" s="12">
        <v>2116.0619999999999</v>
      </c>
      <c r="J86" s="12">
        <v>862.55</v>
      </c>
      <c r="K86" s="4">
        <f t="shared" si="17"/>
        <v>3.1565074996312901</v>
      </c>
      <c r="L86" s="5">
        <v>3.1565074996312899E-2</v>
      </c>
      <c r="M86" s="19">
        <f t="shared" si="18"/>
        <v>8.1235144676734308</v>
      </c>
      <c r="N86" s="5">
        <v>8.1235144676734303E-2</v>
      </c>
      <c r="O86" s="19">
        <f t="shared" si="19"/>
        <v>8.01</v>
      </c>
      <c r="P86" s="8">
        <v>8.0100000000000005E-2</v>
      </c>
      <c r="Q86" s="19">
        <f t="shared" si="20"/>
        <v>23.271212500000001</v>
      </c>
      <c r="R86" s="12">
        <v>23271.212500000001</v>
      </c>
      <c r="S86" s="4">
        <f t="shared" si="21"/>
        <v>3.2958368660043291</v>
      </c>
      <c r="T86" s="13">
        <v>1996</v>
      </c>
      <c r="U86" s="14">
        <v>134.21</v>
      </c>
      <c r="V86" s="14">
        <v>177.31</v>
      </c>
      <c r="W86" s="4">
        <f t="shared" si="22"/>
        <v>17.614513730895045</v>
      </c>
      <c r="X86" s="18">
        <f t="shared" si="23"/>
        <v>15.17053848138665</v>
      </c>
      <c r="Y86" s="18">
        <f t="shared" si="24"/>
        <v>10.740673452651844</v>
      </c>
      <c r="Z86" s="18">
        <f t="shared" si="25"/>
        <v>0.41243829339594024</v>
      </c>
      <c r="AA86" s="12">
        <f t="shared" si="26"/>
        <v>2.1761034142948237</v>
      </c>
      <c r="AB86">
        <f t="shared" si="27"/>
        <v>7.429900163028063</v>
      </c>
      <c r="AC86" s="18">
        <f t="shared" si="16"/>
        <v>0.14006692302313264</v>
      </c>
      <c r="AD86" s="18">
        <f t="shared" si="28"/>
        <v>4.7049794705254611</v>
      </c>
      <c r="AE86" s="12">
        <v>5707.2030000000004</v>
      </c>
      <c r="AF86" s="12">
        <v>5204.375</v>
      </c>
      <c r="AG86" s="8">
        <f t="shared" si="29"/>
        <v>9.6616404467395306E-2</v>
      </c>
      <c r="AH86">
        <f t="shared" si="30"/>
        <v>10.633780566808518</v>
      </c>
      <c r="AI86">
        <f t="shared" si="31"/>
        <v>14.523246431651874</v>
      </c>
    </row>
    <row r="87" spans="1:35" x14ac:dyDescent="0.3">
      <c r="A87" t="s">
        <v>50</v>
      </c>
      <c r="B87" s="11">
        <v>2022</v>
      </c>
      <c r="C87" s="12">
        <v>69.27</v>
      </c>
      <c r="D87" s="12">
        <v>295.07499999999999</v>
      </c>
      <c r="E87" s="12">
        <v>110.931</v>
      </c>
      <c r="F87" s="12">
        <v>96.876999999999995</v>
      </c>
      <c r="G87" s="12">
        <v>406.00599999999997</v>
      </c>
      <c r="H87" s="12">
        <v>111.655</v>
      </c>
      <c r="I87" s="12">
        <v>294.351</v>
      </c>
      <c r="J87" s="12">
        <v>107.68</v>
      </c>
      <c r="K87" s="4">
        <f t="shared" si="17"/>
        <v>3.1565074996312901</v>
      </c>
      <c r="L87" s="5">
        <v>3.1565074996312899E-2</v>
      </c>
      <c r="M87" s="19">
        <f t="shared" si="18"/>
        <v>8.1235144676734308</v>
      </c>
      <c r="N87" s="5">
        <v>8.1235144676734303E-2</v>
      </c>
      <c r="O87" s="19">
        <f t="shared" si="19"/>
        <v>8.01</v>
      </c>
      <c r="P87" s="8">
        <v>8.0100000000000005E-2</v>
      </c>
      <c r="Q87" s="19">
        <f t="shared" si="20"/>
        <v>23.271212500000001</v>
      </c>
      <c r="R87" s="12">
        <v>23271.212500000001</v>
      </c>
      <c r="S87" s="4">
        <f t="shared" si="21"/>
        <v>3.4657359027997265</v>
      </c>
      <c r="T87" s="13">
        <v>1991</v>
      </c>
      <c r="U87" s="14">
        <v>134.21</v>
      </c>
      <c r="V87" s="14">
        <v>177.31</v>
      </c>
      <c r="W87" s="4">
        <f t="shared" si="22"/>
        <v>17.614513730895045</v>
      </c>
      <c r="X87" s="18">
        <f t="shared" si="23"/>
        <v>23.533128815597703</v>
      </c>
      <c r="Y87" s="18">
        <f t="shared" si="24"/>
        <v>17.061324216883495</v>
      </c>
      <c r="Z87" s="18">
        <f t="shared" si="25"/>
        <v>0.37932604271770776</v>
      </c>
      <c r="AA87" s="12">
        <f t="shared" si="26"/>
        <v>2.7402953194650816</v>
      </c>
      <c r="AB87">
        <f t="shared" si="27"/>
        <v>5.4336385107368512</v>
      </c>
      <c r="AC87" s="18">
        <f t="shared" si="16"/>
        <v>0.23860977423978957</v>
      </c>
      <c r="AD87" s="18">
        <f t="shared" si="28"/>
        <v>4.7049794705254611</v>
      </c>
      <c r="AE87" s="12">
        <v>401.58300000000003</v>
      </c>
      <c r="AF87" s="12">
        <v>340.14600000000002</v>
      </c>
      <c r="AG87" s="8">
        <f t="shared" si="29"/>
        <v>0.18061949868585844</v>
      </c>
      <c r="AH87">
        <f t="shared" si="30"/>
        <v>15.955796464242123</v>
      </c>
      <c r="AI87">
        <f t="shared" si="31"/>
        <v>22.904145926983759</v>
      </c>
    </row>
    <row r="88" spans="1:35" x14ac:dyDescent="0.3">
      <c r="A88" t="s">
        <v>51</v>
      </c>
      <c r="B88" s="11">
        <v>2022</v>
      </c>
      <c r="C88" s="12">
        <v>361.39299999999997</v>
      </c>
      <c r="D88" s="12">
        <v>3492.442</v>
      </c>
      <c r="E88" s="12">
        <v>495.89499999999998</v>
      </c>
      <c r="F88" s="12">
        <v>255.624</v>
      </c>
      <c r="G88" s="12">
        <v>3988.337</v>
      </c>
      <c r="H88" s="12">
        <v>1476.6780000000001</v>
      </c>
      <c r="I88" s="12">
        <v>2511.6590000000001</v>
      </c>
      <c r="J88" s="12">
        <v>1329.86</v>
      </c>
      <c r="K88" s="4">
        <f t="shared" si="17"/>
        <v>3.1565074996312901</v>
      </c>
      <c r="L88" s="5">
        <v>3.1565074996312899E-2</v>
      </c>
      <c r="M88" s="19">
        <f t="shared" si="18"/>
        <v>8.1235144676734308</v>
      </c>
      <c r="N88" s="5">
        <v>8.1235144676734303E-2</v>
      </c>
      <c r="O88" s="19">
        <f t="shared" si="19"/>
        <v>8.01</v>
      </c>
      <c r="P88" s="8">
        <v>8.0100000000000005E-2</v>
      </c>
      <c r="Q88" s="19">
        <f t="shared" si="20"/>
        <v>23.271212500000001</v>
      </c>
      <c r="R88" s="12">
        <v>23271.212500000001</v>
      </c>
      <c r="S88" s="4">
        <f t="shared" si="21"/>
        <v>3.713572066704308</v>
      </c>
      <c r="T88" s="13">
        <v>1982</v>
      </c>
      <c r="U88" s="14">
        <v>134.21</v>
      </c>
      <c r="V88" s="14">
        <v>177.31</v>
      </c>
      <c r="W88" s="4">
        <f t="shared" si="22"/>
        <v>17.614513730895045</v>
      </c>
      <c r="X88" s="18">
        <f t="shared" si="23"/>
        <v>14.388617244617999</v>
      </c>
      <c r="Y88" s="18">
        <f t="shared" si="24"/>
        <v>9.0612453260594563</v>
      </c>
      <c r="Z88" s="18">
        <f t="shared" si="25"/>
        <v>0.58792933276372317</v>
      </c>
      <c r="AA88" s="12">
        <f t="shared" si="26"/>
        <v>2.6261726798309599</v>
      </c>
      <c r="AB88">
        <f t="shared" si="27"/>
        <v>7.7184002039412345</v>
      </c>
      <c r="AC88" s="18">
        <f t="shared" si="16"/>
        <v>6.4092878811394319E-2</v>
      </c>
      <c r="AD88" s="18">
        <f t="shared" si="28"/>
        <v>4.7049794705254611</v>
      </c>
      <c r="AE88" s="12">
        <v>3166.7089999999998</v>
      </c>
      <c r="AF88" s="12">
        <v>4150.32</v>
      </c>
      <c r="AG88" s="8">
        <f t="shared" si="29"/>
        <v>-0.23699642437209659</v>
      </c>
      <c r="AH88">
        <f t="shared" si="30"/>
        <v>8.7798850762427421</v>
      </c>
      <c r="AI88">
        <f t="shared" si="31"/>
        <v>20.530600332828293</v>
      </c>
    </row>
    <row r="89" spans="1:35" x14ac:dyDescent="0.3">
      <c r="A89" t="s">
        <v>52</v>
      </c>
      <c r="B89" s="11">
        <v>2022</v>
      </c>
      <c r="C89" s="12">
        <v>-84.701999999999998</v>
      </c>
      <c r="D89" s="12">
        <v>328.33499999999998</v>
      </c>
      <c r="E89" s="12">
        <v>207.05699999999999</v>
      </c>
      <c r="F89" s="12">
        <v>139.99199999999999</v>
      </c>
      <c r="G89" s="12">
        <v>535.39200000000005</v>
      </c>
      <c r="H89" s="12">
        <v>87.346000000000004</v>
      </c>
      <c r="I89" s="12">
        <v>448.04599999999999</v>
      </c>
      <c r="J89" s="12">
        <v>73.14</v>
      </c>
      <c r="K89" s="4">
        <f t="shared" si="17"/>
        <v>3.1565074996312901</v>
      </c>
      <c r="L89" s="5">
        <v>3.1565074996312899E-2</v>
      </c>
      <c r="M89" s="19">
        <f t="shared" si="18"/>
        <v>8.1235144676734308</v>
      </c>
      <c r="N89" s="5">
        <v>8.1235144676734303E-2</v>
      </c>
      <c r="O89" s="19">
        <f t="shared" si="19"/>
        <v>8.01</v>
      </c>
      <c r="P89" s="8">
        <v>8.0100000000000005E-2</v>
      </c>
      <c r="Q89" s="19">
        <f t="shared" si="20"/>
        <v>23.271212500000001</v>
      </c>
      <c r="R89" s="12">
        <v>23271.212500000001</v>
      </c>
      <c r="S89" s="4">
        <f t="shared" si="21"/>
        <v>3.8501476017100584</v>
      </c>
      <c r="T89" s="13">
        <v>1976</v>
      </c>
      <c r="U89" s="14">
        <v>134.21</v>
      </c>
      <c r="V89" s="14">
        <v>177.31</v>
      </c>
      <c r="W89" s="4">
        <f t="shared" si="22"/>
        <v>17.614513730895045</v>
      </c>
      <c r="X89" s="18">
        <f t="shared" si="23"/>
        <v>-18.904755315302445</v>
      </c>
      <c r="Y89" s="18">
        <f t="shared" si="24"/>
        <v>-15.820557647480724</v>
      </c>
      <c r="Z89" s="18">
        <f t="shared" si="25"/>
        <v>0.19494873294259965</v>
      </c>
      <c r="AA89" s="12">
        <f t="shared" si="26"/>
        <v>4.4891304347826084</v>
      </c>
      <c r="AB89">
        <f t="shared" si="27"/>
        <v>5.7102697617944473</v>
      </c>
      <c r="AC89" s="18">
        <f t="shared" si="16"/>
        <v>0.26147570378339607</v>
      </c>
      <c r="AD89" s="18">
        <f t="shared" si="28"/>
        <v>4.7049794705254611</v>
      </c>
      <c r="AE89" s="12">
        <v>292.17599999999999</v>
      </c>
      <c r="AF89" s="12">
        <v>1064.7719999999999</v>
      </c>
      <c r="AG89" s="8">
        <f t="shared" si="29"/>
        <v>-0.7255975927240762</v>
      </c>
      <c r="AH89">
        <f t="shared" si="30"/>
        <v>5.2685458470210866</v>
      </c>
      <c r="AI89">
        <f t="shared" si="31"/>
        <v>6.203914681407328</v>
      </c>
    </row>
    <row r="90" spans="1:35" x14ac:dyDescent="0.3">
      <c r="A90" t="s">
        <v>53</v>
      </c>
      <c r="B90" s="11">
        <v>2022</v>
      </c>
      <c r="C90" s="12">
        <v>1124.675</v>
      </c>
      <c r="D90" s="12">
        <v>8038.5609999999997</v>
      </c>
      <c r="E90" s="12">
        <v>11759.826999999999</v>
      </c>
      <c r="F90" s="12">
        <v>3821.15</v>
      </c>
      <c r="G90" s="12">
        <v>19798.387999999999</v>
      </c>
      <c r="H90" s="12">
        <v>14603.644</v>
      </c>
      <c r="I90" s="12">
        <v>5194.7430000000004</v>
      </c>
      <c r="J90" s="12">
        <v>9218.06</v>
      </c>
      <c r="K90" s="4">
        <f t="shared" si="17"/>
        <v>3.1565074996312901</v>
      </c>
      <c r="L90" s="5">
        <v>3.1565074996312899E-2</v>
      </c>
      <c r="M90" s="19">
        <f t="shared" si="18"/>
        <v>8.1235144676734308</v>
      </c>
      <c r="N90" s="5">
        <v>8.1235144676734303E-2</v>
      </c>
      <c r="O90" s="19">
        <f t="shared" si="19"/>
        <v>8.01</v>
      </c>
      <c r="P90" s="8">
        <v>8.0100000000000005E-2</v>
      </c>
      <c r="Q90" s="19">
        <f t="shared" si="20"/>
        <v>23.271212500000001</v>
      </c>
      <c r="R90" s="12">
        <v>23271.212500000001</v>
      </c>
      <c r="S90" s="4">
        <f t="shared" si="21"/>
        <v>3.4011973816621555</v>
      </c>
      <c r="T90" s="13">
        <v>1993</v>
      </c>
      <c r="U90" s="14">
        <v>134.21</v>
      </c>
      <c r="V90" s="14">
        <v>177.31</v>
      </c>
      <c r="W90" s="4">
        <f t="shared" si="22"/>
        <v>17.614513730895045</v>
      </c>
      <c r="X90" s="18">
        <f t="shared" si="23"/>
        <v>21.650252957653532</v>
      </c>
      <c r="Y90" s="18">
        <f t="shared" si="24"/>
        <v>5.6806392520441564</v>
      </c>
      <c r="Z90" s="18">
        <f t="shared" si="25"/>
        <v>2.811235127512564</v>
      </c>
      <c r="AA90" s="12">
        <f t="shared" si="26"/>
        <v>0.87204476863895442</v>
      </c>
      <c r="AB90">
        <f t="shared" si="27"/>
        <v>9.320626372146096</v>
      </c>
      <c r="AC90" s="18">
        <f t="shared" si="16"/>
        <v>0.19300308691798546</v>
      </c>
      <c r="AD90" s="18">
        <f t="shared" si="28"/>
        <v>4.7049794705254611</v>
      </c>
      <c r="AE90" s="12">
        <v>5197.9830000000002</v>
      </c>
      <c r="AF90" s="12">
        <v>2187.4160000000002</v>
      </c>
      <c r="AG90" s="8">
        <f t="shared" si="29"/>
        <v>1.3763120503827346</v>
      </c>
      <c r="AH90">
        <f t="shared" si="30"/>
        <v>0.6920183289465085</v>
      </c>
      <c r="AI90">
        <f t="shared" si="31"/>
        <v>2.7305721756223149</v>
      </c>
    </row>
    <row r="91" spans="1:35" x14ac:dyDescent="0.3">
      <c r="A91" t="s">
        <v>54</v>
      </c>
      <c r="B91" s="11">
        <v>2022</v>
      </c>
      <c r="C91" s="12">
        <v>239.733</v>
      </c>
      <c r="D91" s="12">
        <v>1585.778</v>
      </c>
      <c r="E91" s="12">
        <v>992.87300000000005</v>
      </c>
      <c r="F91" s="12">
        <v>421.68900000000002</v>
      </c>
      <c r="G91" s="12">
        <v>2578.65</v>
      </c>
      <c r="H91" s="12">
        <v>1609.731</v>
      </c>
      <c r="I91" s="12">
        <v>968.91899999999998</v>
      </c>
      <c r="J91" s="12">
        <v>1425.13</v>
      </c>
      <c r="K91" s="4">
        <f t="shared" si="17"/>
        <v>3.1565074996312901</v>
      </c>
      <c r="L91" s="5">
        <v>3.1565074996312899E-2</v>
      </c>
      <c r="M91" s="19">
        <f t="shared" si="18"/>
        <v>8.1235144676734308</v>
      </c>
      <c r="N91" s="5">
        <v>8.1235144676734303E-2</v>
      </c>
      <c r="O91" s="19">
        <f t="shared" si="19"/>
        <v>8.01</v>
      </c>
      <c r="P91" s="8">
        <v>8.0100000000000005E-2</v>
      </c>
      <c r="Q91" s="19">
        <f t="shared" si="20"/>
        <v>23.271212500000001</v>
      </c>
      <c r="R91" s="12">
        <v>23271.212500000001</v>
      </c>
      <c r="S91" s="4">
        <f t="shared" si="21"/>
        <v>3.4339872044851463</v>
      </c>
      <c r="T91" s="13">
        <v>1992</v>
      </c>
      <c r="U91" s="14">
        <v>134.21</v>
      </c>
      <c r="V91" s="14">
        <v>177.31</v>
      </c>
      <c r="W91" s="4">
        <f t="shared" si="22"/>
        <v>17.614513730895045</v>
      </c>
      <c r="X91" s="18">
        <f t="shared" si="23"/>
        <v>24.74231592114511</v>
      </c>
      <c r="Y91" s="18">
        <f t="shared" si="24"/>
        <v>9.2968413704845556</v>
      </c>
      <c r="Z91" s="18">
        <f t="shared" si="25"/>
        <v>1.6613679781282027</v>
      </c>
      <c r="AA91" s="12">
        <f t="shared" si="26"/>
        <v>1.1127251548981496</v>
      </c>
      <c r="AB91">
        <f t="shared" si="27"/>
        <v>7.2822918580748066</v>
      </c>
      <c r="AC91" s="18">
        <f t="shared" si="16"/>
        <v>0.16353091734046885</v>
      </c>
      <c r="AD91" s="18">
        <f t="shared" si="28"/>
        <v>4.7049794705254611</v>
      </c>
      <c r="AE91" s="12">
        <v>6775.2</v>
      </c>
      <c r="AF91" s="12">
        <v>5551.4849999999997</v>
      </c>
      <c r="AG91" s="8">
        <f t="shared" si="29"/>
        <v>0.22043020921429135</v>
      </c>
      <c r="AH91">
        <f t="shared" si="30"/>
        <v>12.515336078364131</v>
      </c>
      <c r="AI91">
        <f t="shared" si="31"/>
        <v>22.513612561020615</v>
      </c>
    </row>
    <row r="92" spans="1:35" x14ac:dyDescent="0.3">
      <c r="A92" t="s">
        <v>55</v>
      </c>
      <c r="B92" s="11">
        <v>2022</v>
      </c>
      <c r="C92" s="12">
        <v>224.613</v>
      </c>
      <c r="D92" s="12">
        <v>1231.5619999999999</v>
      </c>
      <c r="E92" s="12">
        <v>3261.029</v>
      </c>
      <c r="F92" s="12">
        <v>23.154</v>
      </c>
      <c r="G92" s="12">
        <v>4492.5910000000003</v>
      </c>
      <c r="H92" s="12">
        <v>326.45499999999998</v>
      </c>
      <c r="I92" s="12">
        <v>4166.1369999999997</v>
      </c>
      <c r="J92" s="12">
        <v>315.14999999999998</v>
      </c>
      <c r="K92" s="4">
        <f t="shared" si="17"/>
        <v>3.1565074996312901</v>
      </c>
      <c r="L92" s="5">
        <v>3.1565074996312899E-2</v>
      </c>
      <c r="M92" s="19">
        <f t="shared" si="18"/>
        <v>8.1235144676734308</v>
      </c>
      <c r="N92" s="5">
        <v>8.1235144676734303E-2</v>
      </c>
      <c r="O92" s="19">
        <f t="shared" si="19"/>
        <v>8.01</v>
      </c>
      <c r="P92" s="8">
        <v>8.0100000000000005E-2</v>
      </c>
      <c r="Q92" s="19">
        <f t="shared" si="20"/>
        <v>23.271212500000001</v>
      </c>
      <c r="R92" s="12">
        <v>23271.212500000001</v>
      </c>
      <c r="S92" s="4">
        <f t="shared" si="21"/>
        <v>2.7080502011022101</v>
      </c>
      <c r="T92" s="13">
        <v>2008</v>
      </c>
      <c r="U92" s="14">
        <v>134.21</v>
      </c>
      <c r="V92" s="14">
        <v>177.31</v>
      </c>
      <c r="W92" s="4">
        <f t="shared" si="22"/>
        <v>17.614513730895045</v>
      </c>
      <c r="X92" s="18">
        <f t="shared" si="23"/>
        <v>5.391397354431696</v>
      </c>
      <c r="Y92" s="18">
        <f t="shared" si="24"/>
        <v>4.9996316156979344</v>
      </c>
      <c r="Z92" s="18">
        <f t="shared" si="25"/>
        <v>7.8359161016548426E-2</v>
      </c>
      <c r="AA92" s="12">
        <f t="shared" si="26"/>
        <v>3.9078597493257177</v>
      </c>
      <c r="AB92">
        <f t="shared" si="27"/>
        <v>7.8374554473539515</v>
      </c>
      <c r="AC92" s="18">
        <f t="shared" si="16"/>
        <v>5.1538188096802041E-3</v>
      </c>
      <c r="AD92" s="18">
        <f t="shared" si="28"/>
        <v>4.7049794705254611</v>
      </c>
      <c r="AE92" s="12">
        <v>385.32299999999998</v>
      </c>
      <c r="AF92" s="12">
        <v>516.36300000000006</v>
      </c>
      <c r="AG92" s="8">
        <f t="shared" si="29"/>
        <v>-0.25377496063815586</v>
      </c>
      <c r="AH92">
        <f t="shared" si="30"/>
        <v>5.5424561755598791</v>
      </c>
      <c r="AI92">
        <f t="shared" si="31"/>
        <v>5.9968904448784546</v>
      </c>
    </row>
    <row r="93" spans="1:35" x14ac:dyDescent="0.3">
      <c r="A93" t="s">
        <v>56</v>
      </c>
      <c r="B93" s="11">
        <v>2022</v>
      </c>
      <c r="C93" s="12">
        <v>-3576.45</v>
      </c>
      <c r="D93" s="12">
        <v>3039.105</v>
      </c>
      <c r="E93" s="12">
        <v>9630.7420000000002</v>
      </c>
      <c r="F93" s="12">
        <v>5247.4780000000001</v>
      </c>
      <c r="G93" s="12">
        <v>12669.846</v>
      </c>
      <c r="H93" s="12">
        <v>9635.3729999999996</v>
      </c>
      <c r="I93" s="12">
        <v>3034.473</v>
      </c>
      <c r="J93" s="12">
        <v>7327.69</v>
      </c>
      <c r="K93" s="4">
        <f t="shared" si="17"/>
        <v>3.1565074996312901</v>
      </c>
      <c r="L93" s="5">
        <v>3.1565074996312899E-2</v>
      </c>
      <c r="M93" s="19">
        <f t="shared" si="18"/>
        <v>8.1235144676734308</v>
      </c>
      <c r="N93" s="5">
        <v>8.1235144676734303E-2</v>
      </c>
      <c r="O93" s="19">
        <f t="shared" si="19"/>
        <v>8.01</v>
      </c>
      <c r="P93" s="8">
        <v>8.0100000000000005E-2</v>
      </c>
      <c r="Q93" s="19">
        <f t="shared" si="20"/>
        <v>23.271212500000001</v>
      </c>
      <c r="R93" s="12">
        <v>23271.212500000001</v>
      </c>
      <c r="S93" s="4">
        <f t="shared" si="21"/>
        <v>2.5649493574615367</v>
      </c>
      <c r="T93" s="13">
        <v>2010</v>
      </c>
      <c r="U93" s="14">
        <v>134.21</v>
      </c>
      <c r="V93" s="14">
        <v>177.31</v>
      </c>
      <c r="W93" s="4">
        <f t="shared" si="22"/>
        <v>17.614513730895045</v>
      </c>
      <c r="X93" s="18">
        <f t="shared" si="23"/>
        <v>-117.86066312008707</v>
      </c>
      <c r="Y93" s="18">
        <f t="shared" si="24"/>
        <v>-28.228046339316197</v>
      </c>
      <c r="Z93" s="18">
        <f t="shared" si="25"/>
        <v>3.17530358648767</v>
      </c>
      <c r="AA93" s="12">
        <f t="shared" si="26"/>
        <v>0.4147425723522693</v>
      </c>
      <c r="AB93">
        <f t="shared" si="27"/>
        <v>8.8742506914643773</v>
      </c>
      <c r="AC93" s="18">
        <f t="shared" si="16"/>
        <v>0.41417062212121603</v>
      </c>
      <c r="AD93" s="18">
        <f t="shared" si="28"/>
        <v>4.7049794705254611</v>
      </c>
      <c r="AE93" s="12">
        <v>741.79600000000005</v>
      </c>
      <c r="AF93" s="12">
        <v>1198.9349999999999</v>
      </c>
      <c r="AG93" s="8">
        <f t="shared" si="29"/>
        <v>-0.38128755937561243</v>
      </c>
      <c r="AH93">
        <f t="shared" si="30"/>
        <v>-7.9862047966454552</v>
      </c>
      <c r="AI93">
        <f t="shared" si="31"/>
        <v>-18.666428326187845</v>
      </c>
    </row>
    <row r="94" spans="1:35" x14ac:dyDescent="0.3">
      <c r="A94" t="s">
        <v>57</v>
      </c>
      <c r="B94" s="11">
        <v>2022</v>
      </c>
      <c r="C94" s="12">
        <v>15.728</v>
      </c>
      <c r="D94" s="12">
        <v>306.59399999999999</v>
      </c>
      <c r="E94" s="12">
        <v>182.042</v>
      </c>
      <c r="F94" s="12">
        <v>50.1</v>
      </c>
      <c r="G94" s="12">
        <v>488.63600000000002</v>
      </c>
      <c r="H94" s="12">
        <v>59.529000000000003</v>
      </c>
      <c r="I94" s="12">
        <v>429.10700000000003</v>
      </c>
      <c r="J94" s="12">
        <v>44.78</v>
      </c>
      <c r="K94" s="4">
        <f t="shared" si="17"/>
        <v>3.1565074996312901</v>
      </c>
      <c r="L94" s="5">
        <v>3.1565074996312899E-2</v>
      </c>
      <c r="M94" s="19">
        <f t="shared" si="18"/>
        <v>8.1235144676734308</v>
      </c>
      <c r="N94" s="5">
        <v>8.1235144676734303E-2</v>
      </c>
      <c r="O94" s="19">
        <f t="shared" si="19"/>
        <v>8.01</v>
      </c>
      <c r="P94" s="8">
        <v>8.0100000000000005E-2</v>
      </c>
      <c r="Q94" s="19">
        <f t="shared" si="20"/>
        <v>23.271212500000001</v>
      </c>
      <c r="R94" s="12">
        <v>23271.212500000001</v>
      </c>
      <c r="S94" s="4">
        <f t="shared" si="21"/>
        <v>2.0794415416798357</v>
      </c>
      <c r="T94" s="13">
        <v>2015</v>
      </c>
      <c r="U94" s="14">
        <v>134.21</v>
      </c>
      <c r="V94" s="14">
        <v>177.31</v>
      </c>
      <c r="W94" s="4">
        <f t="shared" si="22"/>
        <v>17.614513730895045</v>
      </c>
      <c r="X94" s="18">
        <f t="shared" si="23"/>
        <v>3.6652862805780373</v>
      </c>
      <c r="Y94" s="18">
        <f t="shared" si="24"/>
        <v>3.2187558837253083</v>
      </c>
      <c r="Z94" s="18">
        <f t="shared" si="25"/>
        <v>0.13872763669667473</v>
      </c>
      <c r="AA94" s="12">
        <f t="shared" si="26"/>
        <v>6.8466726217061185</v>
      </c>
      <c r="AB94">
        <f t="shared" si="27"/>
        <v>5.6188884089303643</v>
      </c>
      <c r="AC94" s="18">
        <f t="shared" si="16"/>
        <v>0.10253030885976473</v>
      </c>
      <c r="AD94" s="18">
        <f t="shared" si="28"/>
        <v>4.7049794705254611</v>
      </c>
      <c r="AE94" s="12">
        <v>466.13499999999999</v>
      </c>
      <c r="AF94" s="12">
        <v>305.16000000000003</v>
      </c>
      <c r="AG94" s="8">
        <f t="shared" si="29"/>
        <v>0.52751015860532169</v>
      </c>
      <c r="AH94">
        <f t="shared" si="30"/>
        <v>4.9606966071586909</v>
      </c>
      <c r="AI94">
        <f t="shared" si="31"/>
        <v>6.1995155016544787</v>
      </c>
    </row>
    <row r="95" spans="1:35" x14ac:dyDescent="0.3">
      <c r="A95" t="s">
        <v>58</v>
      </c>
      <c r="B95" s="11">
        <v>2022</v>
      </c>
      <c r="C95" s="12">
        <v>268.07</v>
      </c>
      <c r="D95" s="12">
        <v>1602.875</v>
      </c>
      <c r="E95" s="12">
        <v>791.78800000000001</v>
      </c>
      <c r="F95" s="12">
        <v>702.84299999999996</v>
      </c>
      <c r="G95" s="12">
        <v>2394.663</v>
      </c>
      <c r="H95" s="12">
        <v>1510.14</v>
      </c>
      <c r="I95" s="12">
        <v>884.52200000000005</v>
      </c>
      <c r="J95" s="12">
        <v>1238.1300000000001</v>
      </c>
      <c r="K95" s="4">
        <f t="shared" si="17"/>
        <v>3.1565074996312901</v>
      </c>
      <c r="L95" s="5">
        <v>3.1565074996312899E-2</v>
      </c>
      <c r="M95" s="19">
        <f t="shared" si="18"/>
        <v>8.1235144676734308</v>
      </c>
      <c r="N95" s="5">
        <v>8.1235144676734303E-2</v>
      </c>
      <c r="O95" s="19">
        <f t="shared" si="19"/>
        <v>8.01</v>
      </c>
      <c r="P95" s="8">
        <v>8.0100000000000005E-2</v>
      </c>
      <c r="Q95" s="19">
        <f t="shared" si="20"/>
        <v>23.271212500000001</v>
      </c>
      <c r="R95" s="12">
        <v>23271.212500000001</v>
      </c>
      <c r="S95" s="4">
        <f t="shared" si="21"/>
        <v>4.1108738641733114</v>
      </c>
      <c r="T95" s="13">
        <v>1962</v>
      </c>
      <c r="U95" s="14">
        <v>134.21</v>
      </c>
      <c r="V95" s="14">
        <v>177.31</v>
      </c>
      <c r="W95" s="4">
        <f t="shared" si="22"/>
        <v>17.614513730895045</v>
      </c>
      <c r="X95" s="18">
        <f t="shared" si="23"/>
        <v>30.306764557580252</v>
      </c>
      <c r="Y95" s="18">
        <f t="shared" si="24"/>
        <v>11.194477051677</v>
      </c>
      <c r="Z95" s="18">
        <f t="shared" si="25"/>
        <v>1.7072950135779552</v>
      </c>
      <c r="AA95" s="12">
        <f t="shared" si="26"/>
        <v>1.2945934594913295</v>
      </c>
      <c r="AB95">
        <f t="shared" si="27"/>
        <v>7.2082683630515465</v>
      </c>
      <c r="AC95" s="18">
        <f t="shared" si="16"/>
        <v>0.2935039293629208</v>
      </c>
      <c r="AD95" s="18">
        <f t="shared" si="28"/>
        <v>4.7049794705254611</v>
      </c>
      <c r="AE95" s="12">
        <v>5144.9859999999999</v>
      </c>
      <c r="AF95" s="12">
        <v>3863.8989999999999</v>
      </c>
      <c r="AG95" s="8">
        <f t="shared" si="29"/>
        <v>0.33155292102614486</v>
      </c>
      <c r="AH95">
        <f t="shared" si="30"/>
        <v>8.6062462485554949</v>
      </c>
      <c r="AI95">
        <f t="shared" si="31"/>
        <v>30.812528009372912</v>
      </c>
    </row>
    <row r="96" spans="1:35" x14ac:dyDescent="0.3">
      <c r="A96" t="s">
        <v>59</v>
      </c>
      <c r="B96" s="11">
        <v>2022</v>
      </c>
      <c r="C96" s="12">
        <v>37.002000000000002</v>
      </c>
      <c r="D96" s="12">
        <v>292.65499999999997</v>
      </c>
      <c r="E96" s="12">
        <v>64.835999999999999</v>
      </c>
      <c r="F96" s="12">
        <v>34.451999999999998</v>
      </c>
      <c r="G96" s="12">
        <v>357.49200000000002</v>
      </c>
      <c r="H96" s="12">
        <v>125.14</v>
      </c>
      <c r="I96" s="12">
        <v>232.352</v>
      </c>
      <c r="J96" s="12">
        <v>124.3</v>
      </c>
      <c r="K96" s="4">
        <f t="shared" si="17"/>
        <v>3.1565074996312901</v>
      </c>
      <c r="L96" s="5">
        <v>3.1565074996312899E-2</v>
      </c>
      <c r="M96" s="19">
        <f t="shared" si="18"/>
        <v>8.1235144676734308</v>
      </c>
      <c r="N96" s="5">
        <v>8.1235144676734303E-2</v>
      </c>
      <c r="O96" s="19">
        <f t="shared" si="19"/>
        <v>8.01</v>
      </c>
      <c r="P96" s="8">
        <v>8.0100000000000005E-2</v>
      </c>
      <c r="Q96" s="19">
        <f t="shared" si="20"/>
        <v>23.271212500000001</v>
      </c>
      <c r="R96" s="12">
        <v>23271.212500000001</v>
      </c>
      <c r="S96" s="4">
        <f t="shared" si="21"/>
        <v>3.2188758248682006</v>
      </c>
      <c r="T96" s="13">
        <v>1998</v>
      </c>
      <c r="U96" s="14">
        <v>134.21</v>
      </c>
      <c r="V96" s="14">
        <v>177.31</v>
      </c>
      <c r="W96" s="4">
        <f t="shared" si="22"/>
        <v>17.614513730895045</v>
      </c>
      <c r="X96" s="18">
        <f t="shared" si="23"/>
        <v>15.924975898636553</v>
      </c>
      <c r="Y96" s="18">
        <f t="shared" si="24"/>
        <v>10.350441408479071</v>
      </c>
      <c r="Z96" s="18">
        <f t="shared" si="25"/>
        <v>0.53857939677730338</v>
      </c>
      <c r="AA96" s="12">
        <f t="shared" si="26"/>
        <v>2.3544247787610617</v>
      </c>
      <c r="AB96">
        <f t="shared" si="27"/>
        <v>5.3063835571804967</v>
      </c>
      <c r="AC96" s="18">
        <f t="shared" si="16"/>
        <v>9.6371387331744482E-2</v>
      </c>
      <c r="AD96" s="18">
        <f t="shared" si="28"/>
        <v>4.7049794705254611</v>
      </c>
      <c r="AE96" s="12">
        <v>1047.201</v>
      </c>
      <c r="AF96" s="12">
        <v>905.79399999999998</v>
      </c>
      <c r="AG96" s="8">
        <f t="shared" si="29"/>
        <v>0.15611386253386536</v>
      </c>
      <c r="AH96">
        <f t="shared" si="30"/>
        <v>8.000402655155467</v>
      </c>
      <c r="AI96">
        <f t="shared" si="31"/>
        <v>13.420412217531661</v>
      </c>
    </row>
    <row r="97" spans="1:35" x14ac:dyDescent="0.3">
      <c r="A97" t="s">
        <v>60</v>
      </c>
      <c r="B97" s="11">
        <v>2022</v>
      </c>
      <c r="C97" s="12">
        <v>563.14599999999996</v>
      </c>
      <c r="D97" s="12">
        <v>5449.7619999999997</v>
      </c>
      <c r="E97" s="12">
        <v>2634.346</v>
      </c>
      <c r="F97" s="12">
        <v>1000.208</v>
      </c>
      <c r="G97" s="12">
        <v>8084.1080000000002</v>
      </c>
      <c r="H97" s="12">
        <v>4717.6880000000001</v>
      </c>
      <c r="I97" s="12">
        <v>3366.42</v>
      </c>
      <c r="J97" s="12">
        <v>4524.45</v>
      </c>
      <c r="K97" s="4">
        <f t="shared" si="17"/>
        <v>3.1565074996312901</v>
      </c>
      <c r="L97" s="5">
        <v>3.1565074996312899E-2</v>
      </c>
      <c r="M97" s="19">
        <f t="shared" si="18"/>
        <v>8.1235144676734308</v>
      </c>
      <c r="N97" s="5">
        <v>8.1235144676734303E-2</v>
      </c>
      <c r="O97" s="19">
        <f t="shared" si="19"/>
        <v>8.01</v>
      </c>
      <c r="P97" s="8">
        <v>8.0100000000000005E-2</v>
      </c>
      <c r="Q97" s="19">
        <f t="shared" si="20"/>
        <v>23.271212500000001</v>
      </c>
      <c r="R97" s="12">
        <v>23271.212500000001</v>
      </c>
      <c r="S97" s="4">
        <f t="shared" si="21"/>
        <v>2.9957322735539909</v>
      </c>
      <c r="T97" s="13">
        <v>2003</v>
      </c>
      <c r="U97" s="14">
        <v>134.21</v>
      </c>
      <c r="V97" s="14">
        <v>177.31</v>
      </c>
      <c r="W97" s="4">
        <f t="shared" si="22"/>
        <v>17.614513730895045</v>
      </c>
      <c r="X97" s="18">
        <f t="shared" si="23"/>
        <v>16.728334551244348</v>
      </c>
      <c r="Y97" s="18">
        <f t="shared" si="24"/>
        <v>6.9660870438643316</v>
      </c>
      <c r="Z97" s="18">
        <f t="shared" si="25"/>
        <v>1.4013961418955447</v>
      </c>
      <c r="AA97" s="12">
        <f t="shared" si="26"/>
        <v>1.2045136977975224</v>
      </c>
      <c r="AB97">
        <f t="shared" si="27"/>
        <v>8.4249260110763746</v>
      </c>
      <c r="AC97" s="18">
        <f t="shared" si="16"/>
        <v>0.12372521495259588</v>
      </c>
      <c r="AD97" s="18">
        <f t="shared" si="28"/>
        <v>4.7049794705254611</v>
      </c>
      <c r="AE97" s="12">
        <v>7936.9290000000001</v>
      </c>
      <c r="AF97" s="12">
        <v>5722.22</v>
      </c>
      <c r="AG97" s="8">
        <f t="shared" si="29"/>
        <v>0.3870366745773493</v>
      </c>
      <c r="AH97">
        <f t="shared" si="30"/>
        <v>1.8970171405105654</v>
      </c>
      <c r="AI97">
        <f t="shared" si="31"/>
        <v>4.559843289395304</v>
      </c>
    </row>
    <row r="98" spans="1:35" x14ac:dyDescent="0.3">
      <c r="A98" t="s">
        <v>61</v>
      </c>
      <c r="B98" s="11">
        <v>2022</v>
      </c>
      <c r="C98" s="12">
        <v>374.65600000000001</v>
      </c>
      <c r="D98" s="12">
        <v>6980.3879999999999</v>
      </c>
      <c r="E98" s="12">
        <v>7024.4049999999997</v>
      </c>
      <c r="F98" s="12">
        <v>2627.9540000000002</v>
      </c>
      <c r="G98" s="12">
        <v>14004.793</v>
      </c>
      <c r="H98" s="12">
        <v>6952.0649999999996</v>
      </c>
      <c r="I98" s="12">
        <v>7052.7280000000001</v>
      </c>
      <c r="J98" s="12">
        <v>5427.18</v>
      </c>
      <c r="K98" s="4">
        <f t="shared" si="17"/>
        <v>3.1565074996312901</v>
      </c>
      <c r="L98" s="5">
        <v>3.1565074996312899E-2</v>
      </c>
      <c r="M98" s="19">
        <f t="shared" si="18"/>
        <v>8.1235144676734308</v>
      </c>
      <c r="N98" s="5">
        <v>8.1235144676734303E-2</v>
      </c>
      <c r="O98" s="19">
        <f t="shared" si="19"/>
        <v>8.01</v>
      </c>
      <c r="P98" s="8">
        <v>8.0100000000000005E-2</v>
      </c>
      <c r="Q98" s="19">
        <f t="shared" si="20"/>
        <v>23.271212500000001</v>
      </c>
      <c r="R98" s="12">
        <v>23271.212500000001</v>
      </c>
      <c r="S98" s="4">
        <f t="shared" si="21"/>
        <v>3.4011973816621555</v>
      </c>
      <c r="T98" s="13">
        <v>1993</v>
      </c>
      <c r="U98" s="14">
        <v>134.21</v>
      </c>
      <c r="V98" s="14">
        <v>177.31</v>
      </c>
      <c r="W98" s="4">
        <f t="shared" si="22"/>
        <v>17.614513730895045</v>
      </c>
      <c r="X98" s="18">
        <f t="shared" si="23"/>
        <v>5.3122139404780677</v>
      </c>
      <c r="Y98" s="18">
        <f t="shared" si="24"/>
        <v>2.6751984124292303</v>
      </c>
      <c r="Z98" s="18">
        <f t="shared" si="25"/>
        <v>0.98572708319390734</v>
      </c>
      <c r="AA98" s="12">
        <f t="shared" si="26"/>
        <v>1.2861906183321725</v>
      </c>
      <c r="AB98">
        <f t="shared" si="27"/>
        <v>8.9744254800686125</v>
      </c>
      <c r="AC98" s="18">
        <f t="shared" si="16"/>
        <v>0.18764675779213588</v>
      </c>
      <c r="AD98" s="18">
        <f t="shared" si="28"/>
        <v>4.7049794705254611</v>
      </c>
      <c r="AE98" s="12">
        <v>12787.155000000001</v>
      </c>
      <c r="AF98" s="12">
        <v>10675.273999999999</v>
      </c>
      <c r="AG98" s="8">
        <f t="shared" si="29"/>
        <v>0.19782920794351522</v>
      </c>
      <c r="AH98">
        <f t="shared" si="30"/>
        <v>4.6422557253736425</v>
      </c>
      <c r="AI98">
        <f t="shared" si="31"/>
        <v>9.4753419430128591</v>
      </c>
    </row>
    <row r="99" spans="1:35" x14ac:dyDescent="0.3">
      <c r="A99" t="s">
        <v>62</v>
      </c>
      <c r="B99" s="11">
        <v>2022</v>
      </c>
      <c r="C99" s="12">
        <v>16.847000000000001</v>
      </c>
      <c r="D99" s="12">
        <v>675.73299999999995</v>
      </c>
      <c r="E99" s="12">
        <v>251.01900000000001</v>
      </c>
      <c r="F99" s="12">
        <v>228.87700000000001</v>
      </c>
      <c r="G99" s="12">
        <v>926.75199999999995</v>
      </c>
      <c r="H99" s="12">
        <v>293.803</v>
      </c>
      <c r="I99" s="12">
        <v>632.94899999999996</v>
      </c>
      <c r="J99" s="12">
        <v>288.81</v>
      </c>
      <c r="K99" s="4">
        <f t="shared" si="17"/>
        <v>3.1565074996312901</v>
      </c>
      <c r="L99" s="5">
        <v>3.1565074996312899E-2</v>
      </c>
      <c r="M99" s="19">
        <f t="shared" si="18"/>
        <v>8.1235144676734308</v>
      </c>
      <c r="N99" s="5">
        <v>8.1235144676734303E-2</v>
      </c>
      <c r="O99" s="19">
        <f t="shared" si="19"/>
        <v>8.01</v>
      </c>
      <c r="P99" s="8">
        <v>8.0100000000000005E-2</v>
      </c>
      <c r="Q99" s="19">
        <f t="shared" si="20"/>
        <v>23.271212500000001</v>
      </c>
      <c r="R99" s="12">
        <v>23271.212500000001</v>
      </c>
      <c r="S99" s="4">
        <f t="shared" si="21"/>
        <v>3.0910424533583161</v>
      </c>
      <c r="T99" s="13">
        <v>2001</v>
      </c>
      <c r="U99" s="14">
        <v>134.21</v>
      </c>
      <c r="V99" s="14">
        <v>177.31</v>
      </c>
      <c r="W99" s="4">
        <f t="shared" si="22"/>
        <v>17.614513730895045</v>
      </c>
      <c r="X99" s="18">
        <f t="shared" si="23"/>
        <v>2.661667843696728</v>
      </c>
      <c r="Y99" s="18">
        <f t="shared" si="24"/>
        <v>1.8178541832119062</v>
      </c>
      <c r="Z99" s="18">
        <f t="shared" si="25"/>
        <v>0.46418115835557056</v>
      </c>
      <c r="AA99" s="12">
        <f t="shared" si="26"/>
        <v>2.3397146913195526</v>
      </c>
      <c r="AB99">
        <f t="shared" si="27"/>
        <v>6.2589565730270165</v>
      </c>
      <c r="AC99" s="18">
        <f t="shared" si="16"/>
        <v>0.24696682607644765</v>
      </c>
      <c r="AD99" s="18">
        <f t="shared" si="28"/>
        <v>4.7049794705254611</v>
      </c>
      <c r="AE99" s="12">
        <v>598.97500000000002</v>
      </c>
      <c r="AF99" s="12">
        <v>494.51299999999998</v>
      </c>
      <c r="AG99" s="8">
        <f t="shared" si="29"/>
        <v>0.21124217159104017</v>
      </c>
      <c r="AH99">
        <f t="shared" si="30"/>
        <v>1.6811428645848352</v>
      </c>
      <c r="AI99">
        <f t="shared" si="31"/>
        <v>2.9245321185542399</v>
      </c>
    </row>
    <row r="100" spans="1:35" x14ac:dyDescent="0.3">
      <c r="A100" t="s">
        <v>63</v>
      </c>
      <c r="B100" s="11">
        <v>2022</v>
      </c>
      <c r="C100" s="12">
        <v>25.742000000000001</v>
      </c>
      <c r="D100" s="12">
        <v>305.32400000000001</v>
      </c>
      <c r="E100" s="12">
        <v>98.322000000000003</v>
      </c>
      <c r="F100" s="12">
        <v>81.316000000000003</v>
      </c>
      <c r="G100" s="12">
        <v>403.64600000000002</v>
      </c>
      <c r="H100" s="12">
        <v>216.59200000000001</v>
      </c>
      <c r="I100" s="12">
        <v>187.054</v>
      </c>
      <c r="J100" s="12">
        <v>213.85</v>
      </c>
      <c r="K100" s="4">
        <f t="shared" si="17"/>
        <v>3.1565074996312901</v>
      </c>
      <c r="L100" s="5">
        <v>3.1565074996312899E-2</v>
      </c>
      <c r="M100" s="19">
        <f t="shared" si="18"/>
        <v>8.1235144676734308</v>
      </c>
      <c r="N100" s="5">
        <v>8.1235144676734303E-2</v>
      </c>
      <c r="O100" s="19">
        <f t="shared" si="19"/>
        <v>8.01</v>
      </c>
      <c r="P100" s="8">
        <v>8.0100000000000005E-2</v>
      </c>
      <c r="Q100" s="19">
        <f t="shared" si="20"/>
        <v>23.271212500000001</v>
      </c>
      <c r="R100" s="12">
        <v>23271.212500000001</v>
      </c>
      <c r="S100" s="4">
        <f t="shared" si="21"/>
        <v>3.6375861597263857</v>
      </c>
      <c r="T100" s="13">
        <v>1985</v>
      </c>
      <c r="U100" s="14">
        <v>134.21</v>
      </c>
      <c r="V100" s="14">
        <v>177.31</v>
      </c>
      <c r="W100" s="4">
        <f t="shared" si="22"/>
        <v>17.614513730895045</v>
      </c>
      <c r="X100" s="18">
        <f t="shared" si="23"/>
        <v>13.76180140494189</v>
      </c>
      <c r="Y100" s="18">
        <f t="shared" si="24"/>
        <v>6.3773702699890498</v>
      </c>
      <c r="Z100" s="18">
        <f t="shared" si="25"/>
        <v>1.1579116191046437</v>
      </c>
      <c r="AA100" s="12">
        <f t="shared" si="26"/>
        <v>1.4277484217909751</v>
      </c>
      <c r="AB100">
        <f t="shared" si="27"/>
        <v>5.4278088291359916</v>
      </c>
      <c r="AC100" s="18">
        <f t="shared" si="16"/>
        <v>0.20145374907716168</v>
      </c>
      <c r="AD100" s="18">
        <f t="shared" si="28"/>
        <v>4.7049794705254611</v>
      </c>
      <c r="AE100" s="12">
        <v>509.84800000000001</v>
      </c>
      <c r="AF100" s="12">
        <v>415.38200000000001</v>
      </c>
      <c r="AG100" s="8">
        <f t="shared" si="29"/>
        <v>0.22741958004920773</v>
      </c>
      <c r="AH100">
        <f t="shared" si="30"/>
        <v>14.166476021619147</v>
      </c>
      <c r="AI100">
        <f t="shared" si="31"/>
        <v>20.172656890241729</v>
      </c>
    </row>
    <row r="101" spans="1:35" x14ac:dyDescent="0.3">
      <c r="A101" t="s">
        <v>64</v>
      </c>
      <c r="B101" s="11">
        <v>2022</v>
      </c>
      <c r="C101" s="12">
        <v>213.2</v>
      </c>
      <c r="D101" s="12">
        <v>761.51199999999994</v>
      </c>
      <c r="E101" s="12">
        <v>470.69600000000003</v>
      </c>
      <c r="F101" s="12">
        <v>408.24400000000003</v>
      </c>
      <c r="G101" s="12">
        <v>1232.2080000000001</v>
      </c>
      <c r="H101" s="12">
        <v>384.06799999999998</v>
      </c>
      <c r="I101" s="12">
        <v>848.14099999999996</v>
      </c>
      <c r="J101" s="12">
        <v>376.99</v>
      </c>
      <c r="K101" s="4">
        <f t="shared" si="17"/>
        <v>3.1565074996312901</v>
      </c>
      <c r="L101" s="5">
        <v>3.1565074996312899E-2</v>
      </c>
      <c r="M101" s="19">
        <f t="shared" si="18"/>
        <v>8.1235144676734308</v>
      </c>
      <c r="N101" s="5">
        <v>8.1235144676734303E-2</v>
      </c>
      <c r="O101" s="19">
        <f t="shared" si="19"/>
        <v>8.01</v>
      </c>
      <c r="P101" s="8">
        <v>8.0100000000000005E-2</v>
      </c>
      <c r="Q101" s="19">
        <f t="shared" si="20"/>
        <v>23.271212500000001</v>
      </c>
      <c r="R101" s="12">
        <v>23271.212500000001</v>
      </c>
      <c r="S101" s="4">
        <f t="shared" si="21"/>
        <v>3.9318256327243257</v>
      </c>
      <c r="T101" s="13">
        <v>1972</v>
      </c>
      <c r="U101" s="14">
        <v>134.21</v>
      </c>
      <c r="V101" s="14">
        <v>177.31</v>
      </c>
      <c r="W101" s="4">
        <f t="shared" si="22"/>
        <v>17.614513730895045</v>
      </c>
      <c r="X101" s="18">
        <f t="shared" si="23"/>
        <v>25.137329760028109</v>
      </c>
      <c r="Y101" s="18">
        <f t="shared" si="24"/>
        <v>17.302273642112368</v>
      </c>
      <c r="Z101" s="18">
        <f t="shared" si="25"/>
        <v>0.45283508284589474</v>
      </c>
      <c r="AA101" s="12">
        <f t="shared" si="26"/>
        <v>2.0199793097960157</v>
      </c>
      <c r="AB101">
        <f t="shared" si="27"/>
        <v>6.5438335339311129</v>
      </c>
      <c r="AC101" s="18">
        <f t="shared" si="16"/>
        <v>0.33131094750236972</v>
      </c>
      <c r="AD101" s="18">
        <f t="shared" si="28"/>
        <v>4.7049794705254611</v>
      </c>
      <c r="AE101" s="12">
        <v>2858.2190000000001</v>
      </c>
      <c r="AF101" s="12">
        <v>2652.84</v>
      </c>
      <c r="AG101" s="8">
        <f t="shared" si="29"/>
        <v>7.7418540130577002E-2</v>
      </c>
      <c r="AH101">
        <f t="shared" si="30"/>
        <v>14.314979565689542</v>
      </c>
      <c r="AI101">
        <f t="shared" si="31"/>
        <v>22.313146024367875</v>
      </c>
    </row>
    <row r="102" spans="1:35" x14ac:dyDescent="0.3">
      <c r="A102" t="s">
        <v>65</v>
      </c>
      <c r="B102" s="11">
        <v>2022</v>
      </c>
      <c r="C102" s="12">
        <v>38.643000000000001</v>
      </c>
      <c r="D102" s="12">
        <v>983.31700000000001</v>
      </c>
      <c r="E102" s="12">
        <v>1508.8579999999999</v>
      </c>
      <c r="F102" s="12">
        <v>1050.5050000000001</v>
      </c>
      <c r="G102" s="12">
        <v>2492.1750000000002</v>
      </c>
      <c r="H102" s="12">
        <v>858.54100000000005</v>
      </c>
      <c r="I102" s="12">
        <v>1633.634</v>
      </c>
      <c r="J102" s="12">
        <v>784.38</v>
      </c>
      <c r="K102" s="4">
        <f t="shared" si="17"/>
        <v>3.1565074996312901</v>
      </c>
      <c r="L102" s="5">
        <v>3.1565074996312899E-2</v>
      </c>
      <c r="M102" s="19">
        <f t="shared" si="18"/>
        <v>8.1235144676734308</v>
      </c>
      <c r="N102" s="5">
        <v>8.1235144676734303E-2</v>
      </c>
      <c r="O102" s="19">
        <f t="shared" si="19"/>
        <v>8.01</v>
      </c>
      <c r="P102" s="8">
        <v>8.0100000000000005E-2</v>
      </c>
      <c r="Q102" s="19">
        <f t="shared" si="20"/>
        <v>23.271212500000001</v>
      </c>
      <c r="R102" s="12">
        <v>23271.212500000001</v>
      </c>
      <c r="S102" s="4">
        <f t="shared" si="21"/>
        <v>3.7612001156935624</v>
      </c>
      <c r="T102" s="13">
        <v>1980</v>
      </c>
      <c r="U102" s="14">
        <v>134.21</v>
      </c>
      <c r="V102" s="14">
        <v>177.31</v>
      </c>
      <c r="W102" s="4">
        <f t="shared" si="22"/>
        <v>17.614513730895045</v>
      </c>
      <c r="X102" s="18">
        <f t="shared" si="23"/>
        <v>2.3654625209808318</v>
      </c>
      <c r="Y102" s="18">
        <f t="shared" si="24"/>
        <v>1.5505732944115078</v>
      </c>
      <c r="Z102" s="18">
        <f t="shared" si="25"/>
        <v>0.5255406045662615</v>
      </c>
      <c r="AA102" s="12">
        <f t="shared" si="26"/>
        <v>1.2536232438358959</v>
      </c>
      <c r="AB102">
        <f t="shared" si="27"/>
        <v>7.2481816750799988</v>
      </c>
      <c r="AC102" s="18">
        <f t="shared" si="16"/>
        <v>0.42152136186263006</v>
      </c>
      <c r="AD102" s="18">
        <f t="shared" si="28"/>
        <v>4.7049794705254611</v>
      </c>
      <c r="AE102" s="12">
        <v>1918.5150000000001</v>
      </c>
      <c r="AF102" s="12">
        <v>2137.7939999999999</v>
      </c>
      <c r="AG102" s="8">
        <f t="shared" si="29"/>
        <v>-0.1025725584410845</v>
      </c>
      <c r="AH102">
        <f t="shared" si="30"/>
        <v>1.3119809281536894</v>
      </c>
      <c r="AI102">
        <f t="shared" si="31"/>
        <v>2.0666757266591942</v>
      </c>
    </row>
    <row r="103" spans="1:35" x14ac:dyDescent="0.3">
      <c r="A103" t="s">
        <v>66</v>
      </c>
      <c r="B103" s="11">
        <v>2022</v>
      </c>
      <c r="C103" s="12">
        <v>346.54899999999998</v>
      </c>
      <c r="D103" s="12">
        <v>2123.2199999999998</v>
      </c>
      <c r="E103" s="12">
        <v>332.02600000000001</v>
      </c>
      <c r="F103" s="12">
        <v>226.82400000000001</v>
      </c>
      <c r="G103" s="12">
        <v>2455.2460000000001</v>
      </c>
      <c r="H103" s="12">
        <v>244.96700000000001</v>
      </c>
      <c r="I103" s="12">
        <v>2210.279</v>
      </c>
      <c r="J103" s="12">
        <v>238</v>
      </c>
      <c r="K103" s="4">
        <f t="shared" si="17"/>
        <v>3.1565074996312901</v>
      </c>
      <c r="L103" s="5">
        <v>3.1565074996312899E-2</v>
      </c>
      <c r="M103" s="19">
        <f t="shared" si="18"/>
        <v>8.1235144676734308</v>
      </c>
      <c r="N103" s="5">
        <v>8.1235144676734303E-2</v>
      </c>
      <c r="O103" s="19">
        <f t="shared" si="19"/>
        <v>8.01</v>
      </c>
      <c r="P103" s="8">
        <v>8.0100000000000005E-2</v>
      </c>
      <c r="Q103" s="19">
        <f t="shared" si="20"/>
        <v>23.271212500000001</v>
      </c>
      <c r="R103" s="12">
        <v>23271.212500000001</v>
      </c>
      <c r="S103" s="4">
        <f t="shared" si="21"/>
        <v>4.1743872698956368</v>
      </c>
      <c r="T103" s="13">
        <v>1958</v>
      </c>
      <c r="U103" s="14">
        <v>134.21</v>
      </c>
      <c r="V103" s="14">
        <v>177.31</v>
      </c>
      <c r="W103" s="4">
        <f t="shared" si="22"/>
        <v>17.614513730895045</v>
      </c>
      <c r="X103" s="18">
        <f t="shared" si="23"/>
        <v>15.67897084485714</v>
      </c>
      <c r="Y103" s="18">
        <f t="shared" si="24"/>
        <v>14.11463454171191</v>
      </c>
      <c r="Z103" s="18">
        <f t="shared" si="25"/>
        <v>0.11083080461787856</v>
      </c>
      <c r="AA103" s="12">
        <f t="shared" si="26"/>
        <v>8.9210924369747886</v>
      </c>
      <c r="AB103">
        <f t="shared" si="27"/>
        <v>7.2332528117937507</v>
      </c>
      <c r="AC103" s="18">
        <f t="shared" si="16"/>
        <v>9.2383410867994495E-2</v>
      </c>
      <c r="AD103" s="18">
        <f t="shared" si="28"/>
        <v>4.7049794705254611</v>
      </c>
      <c r="AE103" s="12">
        <v>3134.4789999999998</v>
      </c>
      <c r="AF103" s="12">
        <v>2927.7939999999999</v>
      </c>
      <c r="AG103" s="8">
        <f t="shared" si="29"/>
        <v>7.059410600609195E-2</v>
      </c>
      <c r="AH103">
        <f t="shared" si="30"/>
        <v>12.831377670623564</v>
      </c>
      <c r="AI103">
        <f t="shared" si="31"/>
        <v>14.682718432307206</v>
      </c>
    </row>
    <row r="104" spans="1:35" x14ac:dyDescent="0.3">
      <c r="A104" t="s">
        <v>67</v>
      </c>
      <c r="B104" s="11">
        <v>2022</v>
      </c>
      <c r="C104" s="12">
        <v>337.685</v>
      </c>
      <c r="D104" s="12">
        <v>2341.7939999999999</v>
      </c>
      <c r="E104" s="12">
        <v>952.40200000000004</v>
      </c>
      <c r="F104" s="12">
        <v>841.75099999999998</v>
      </c>
      <c r="G104" s="12">
        <v>3294.1959999999999</v>
      </c>
      <c r="H104" s="12">
        <v>1575.145</v>
      </c>
      <c r="I104" s="12">
        <v>1719.0509999999999</v>
      </c>
      <c r="J104" s="12">
        <v>1269.23</v>
      </c>
      <c r="K104" s="4">
        <f t="shared" si="17"/>
        <v>3.1565074996312901</v>
      </c>
      <c r="L104" s="5">
        <v>3.1565074996312899E-2</v>
      </c>
      <c r="M104" s="19">
        <f t="shared" si="18"/>
        <v>8.1235144676734308</v>
      </c>
      <c r="N104" s="5">
        <v>8.1235144676734303E-2</v>
      </c>
      <c r="O104" s="19">
        <f t="shared" si="19"/>
        <v>8.01</v>
      </c>
      <c r="P104" s="8">
        <v>8.0100000000000005E-2</v>
      </c>
      <c r="Q104" s="19">
        <f t="shared" si="20"/>
        <v>23.271212500000001</v>
      </c>
      <c r="R104" s="12">
        <v>23271.212500000001</v>
      </c>
      <c r="S104" s="4">
        <f t="shared" si="21"/>
        <v>3.5553480614894135</v>
      </c>
      <c r="T104" s="13">
        <v>1988</v>
      </c>
      <c r="U104" s="14">
        <v>134.21</v>
      </c>
      <c r="V104" s="14">
        <v>177.31</v>
      </c>
      <c r="W104" s="4">
        <f t="shared" si="22"/>
        <v>17.614513730895045</v>
      </c>
      <c r="X104" s="18">
        <f t="shared" si="23"/>
        <v>19.643687127374349</v>
      </c>
      <c r="Y104" s="18">
        <f t="shared" si="24"/>
        <v>10.250907960546368</v>
      </c>
      <c r="Z104" s="18">
        <f t="shared" si="25"/>
        <v>0.91628753306330069</v>
      </c>
      <c r="AA104" s="12">
        <f t="shared" si="26"/>
        <v>1.8450509363945067</v>
      </c>
      <c r="AB104">
        <f t="shared" si="27"/>
        <v>7.5271879840116744</v>
      </c>
      <c r="AC104" s="18">
        <f t="shared" si="16"/>
        <v>0.25552547571547046</v>
      </c>
      <c r="AD104" s="18">
        <f t="shared" si="28"/>
        <v>4.7049794705254611</v>
      </c>
      <c r="AE104" s="12">
        <v>5522.915</v>
      </c>
      <c r="AF104" s="12">
        <v>4749.098</v>
      </c>
      <c r="AG104" s="8">
        <f t="shared" si="29"/>
        <v>0.1629397835125744</v>
      </c>
      <c r="AH104">
        <f t="shared" si="30"/>
        <v>13.812555091320057</v>
      </c>
      <c r="AI104">
        <f t="shared" si="31"/>
        <v>29.58176435618272</v>
      </c>
    </row>
    <row r="105" spans="1:35" x14ac:dyDescent="0.3">
      <c r="A105" t="s">
        <v>68</v>
      </c>
      <c r="B105" s="11">
        <v>2022</v>
      </c>
      <c r="C105" s="12">
        <v>4754.384</v>
      </c>
      <c r="D105" s="12">
        <v>47674.624000000003</v>
      </c>
      <c r="E105" s="12">
        <v>93668.191000000006</v>
      </c>
      <c r="F105" s="12">
        <v>43535.355000000003</v>
      </c>
      <c r="G105" s="12">
        <v>141342.815</v>
      </c>
      <c r="H105" s="12">
        <v>104706.076</v>
      </c>
      <c r="I105" s="12">
        <v>36636.739000000001</v>
      </c>
      <c r="J105" s="12">
        <v>65320.88</v>
      </c>
      <c r="K105" s="4">
        <f t="shared" si="17"/>
        <v>3.1565074996312901</v>
      </c>
      <c r="L105" s="5">
        <v>3.1565074996312899E-2</v>
      </c>
      <c r="M105" s="19">
        <f t="shared" si="18"/>
        <v>8.1235144676734308</v>
      </c>
      <c r="N105" s="5">
        <v>8.1235144676734303E-2</v>
      </c>
      <c r="O105" s="19">
        <f t="shared" si="19"/>
        <v>8.01</v>
      </c>
      <c r="P105" s="8">
        <v>8.0100000000000005E-2</v>
      </c>
      <c r="Q105" s="19">
        <f t="shared" si="20"/>
        <v>23.271212500000001</v>
      </c>
      <c r="R105" s="12">
        <v>23271.212500000001</v>
      </c>
      <c r="S105" s="4">
        <f t="shared" si="21"/>
        <v>2.9444389791664403</v>
      </c>
      <c r="T105" s="13">
        <v>2004</v>
      </c>
      <c r="U105" s="14">
        <v>134.21</v>
      </c>
      <c r="V105" s="14">
        <v>177.31</v>
      </c>
      <c r="W105" s="4">
        <f t="shared" si="22"/>
        <v>17.614513730895045</v>
      </c>
      <c r="X105" s="18">
        <f t="shared" si="23"/>
        <v>12.977093840147727</v>
      </c>
      <c r="Y105" s="18">
        <f t="shared" si="24"/>
        <v>3.3637252802698177</v>
      </c>
      <c r="Z105" s="18">
        <f t="shared" si="25"/>
        <v>2.8579529417178748</v>
      </c>
      <c r="AA105" s="12">
        <f t="shared" si="26"/>
        <v>0.72985275152447437</v>
      </c>
      <c r="AB105">
        <f t="shared" si="27"/>
        <v>11.286214103479081</v>
      </c>
      <c r="AC105" s="18">
        <f t="shared" si="16"/>
        <v>0.30801250845329492</v>
      </c>
      <c r="AD105" s="18">
        <f t="shared" si="28"/>
        <v>4.7049794705254611</v>
      </c>
      <c r="AE105" s="12">
        <v>76380.75</v>
      </c>
      <c r="AF105" s="12">
        <v>89791.619000000006</v>
      </c>
      <c r="AG105" s="8">
        <f t="shared" si="29"/>
        <v>-0.14935546490146262</v>
      </c>
      <c r="AH105">
        <f t="shared" si="30"/>
        <v>8.0110262013486793</v>
      </c>
      <c r="AI105">
        <f t="shared" si="31"/>
        <v>23.859659474254126</v>
      </c>
    </row>
    <row r="106" spans="1:35" x14ac:dyDescent="0.3">
      <c r="A106" t="s">
        <v>69</v>
      </c>
      <c r="B106" s="11">
        <v>2022</v>
      </c>
      <c r="C106" s="12">
        <v>79.841999999999999</v>
      </c>
      <c r="D106" s="12">
        <v>1166.7629999999999</v>
      </c>
      <c r="E106" s="12">
        <v>576.98500000000001</v>
      </c>
      <c r="F106" s="12">
        <v>418.13900000000001</v>
      </c>
      <c r="G106" s="12">
        <v>1743.748</v>
      </c>
      <c r="H106" s="12">
        <v>851.56</v>
      </c>
      <c r="I106" s="12">
        <v>892.18799999999999</v>
      </c>
      <c r="J106" s="12">
        <v>772.28</v>
      </c>
      <c r="K106" s="4">
        <f t="shared" si="17"/>
        <v>3.1565074996312901</v>
      </c>
      <c r="L106" s="5">
        <v>3.1565074996312899E-2</v>
      </c>
      <c r="M106" s="19">
        <f t="shared" si="18"/>
        <v>8.1235144676734308</v>
      </c>
      <c r="N106" s="5">
        <v>8.1235144676734303E-2</v>
      </c>
      <c r="O106" s="19">
        <f t="shared" si="19"/>
        <v>8.01</v>
      </c>
      <c r="P106" s="8">
        <v>8.0100000000000005E-2</v>
      </c>
      <c r="Q106" s="19">
        <f t="shared" si="20"/>
        <v>23.271212500000001</v>
      </c>
      <c r="R106" s="12">
        <v>23271.212500000001</v>
      </c>
      <c r="S106" s="4">
        <f t="shared" si="21"/>
        <v>3.3322045101752038</v>
      </c>
      <c r="T106" s="13">
        <v>1995</v>
      </c>
      <c r="U106" s="14">
        <v>134.21</v>
      </c>
      <c r="V106" s="14">
        <v>177.31</v>
      </c>
      <c r="W106" s="4">
        <f t="shared" si="22"/>
        <v>17.614513730895045</v>
      </c>
      <c r="X106" s="18">
        <f t="shared" si="23"/>
        <v>8.9490107466139417</v>
      </c>
      <c r="Y106" s="18">
        <f t="shared" si="24"/>
        <v>4.5787579397940528</v>
      </c>
      <c r="Z106" s="18">
        <f t="shared" si="25"/>
        <v>0.95446251238528201</v>
      </c>
      <c r="AA106" s="12">
        <f t="shared" si="26"/>
        <v>1.5108030766043403</v>
      </c>
      <c r="AB106">
        <f t="shared" si="27"/>
        <v>6.8910626715348071</v>
      </c>
      <c r="AC106" s="18">
        <f t="shared" si="16"/>
        <v>0.23979324994207879</v>
      </c>
      <c r="AD106" s="18">
        <f t="shared" si="28"/>
        <v>4.7049794705254611</v>
      </c>
      <c r="AE106" s="12">
        <v>1817.8109999999999</v>
      </c>
      <c r="AF106" s="12">
        <v>1629.279</v>
      </c>
      <c r="AG106" s="8">
        <f t="shared" si="29"/>
        <v>0.11571498804072226</v>
      </c>
      <c r="AH106">
        <f t="shared" si="30"/>
        <v>4.6918000357908074</v>
      </c>
      <c r="AI106">
        <f t="shared" si="31"/>
        <v>9.2784774712517244</v>
      </c>
    </row>
    <row r="107" spans="1:35" x14ac:dyDescent="0.3">
      <c r="A107" t="s">
        <v>70</v>
      </c>
      <c r="B107" s="11">
        <v>2022</v>
      </c>
      <c r="C107" s="12">
        <v>63.438000000000002</v>
      </c>
      <c r="D107" s="12">
        <v>302.09699999999998</v>
      </c>
      <c r="E107" s="12">
        <v>449.767</v>
      </c>
      <c r="F107" s="12">
        <v>285.291</v>
      </c>
      <c r="G107" s="12">
        <v>751.86400000000003</v>
      </c>
      <c r="H107" s="12">
        <v>315.85599999999999</v>
      </c>
      <c r="I107" s="12">
        <v>436.00900000000001</v>
      </c>
      <c r="J107" s="12">
        <v>271.3</v>
      </c>
      <c r="K107" s="4">
        <f t="shared" si="17"/>
        <v>3.1565074996312901</v>
      </c>
      <c r="L107" s="5">
        <v>3.1565074996312899E-2</v>
      </c>
      <c r="M107" s="19">
        <f t="shared" si="18"/>
        <v>8.1235144676734308</v>
      </c>
      <c r="N107" s="5">
        <v>8.1235144676734303E-2</v>
      </c>
      <c r="O107" s="19">
        <f t="shared" si="19"/>
        <v>8.01</v>
      </c>
      <c r="P107" s="8">
        <v>8.0100000000000005E-2</v>
      </c>
      <c r="Q107" s="19">
        <f t="shared" si="20"/>
        <v>23.271212500000001</v>
      </c>
      <c r="R107" s="12">
        <v>23271.212500000001</v>
      </c>
      <c r="S107" s="4">
        <f t="shared" si="21"/>
        <v>3.4011973816621555</v>
      </c>
      <c r="T107" s="13">
        <v>1993</v>
      </c>
      <c r="U107" s="14">
        <v>134.21</v>
      </c>
      <c r="V107" s="14">
        <v>177.31</v>
      </c>
      <c r="W107" s="4">
        <f t="shared" si="22"/>
        <v>17.614513730895045</v>
      </c>
      <c r="X107" s="18">
        <f t="shared" si="23"/>
        <v>14.549699662162938</v>
      </c>
      <c r="Y107" s="18">
        <f t="shared" si="24"/>
        <v>8.4374301735420243</v>
      </c>
      <c r="Z107" s="18">
        <f t="shared" si="25"/>
        <v>0.7244254132368827</v>
      </c>
      <c r="AA107" s="12">
        <f t="shared" si="26"/>
        <v>1.1135164025064503</v>
      </c>
      <c r="AB107">
        <f t="shared" si="27"/>
        <v>6.0498260294496786</v>
      </c>
      <c r="AC107" s="18">
        <f t="shared" si="16"/>
        <v>0.37944495281061469</v>
      </c>
      <c r="AD107" s="18">
        <f t="shared" si="28"/>
        <v>4.7049794705254611</v>
      </c>
      <c r="AE107" s="12">
        <v>884.08299999999997</v>
      </c>
      <c r="AF107" s="12">
        <v>929.90700000000004</v>
      </c>
      <c r="AG107" s="8">
        <f t="shared" si="29"/>
        <v>-4.9278046084178385E-2</v>
      </c>
      <c r="AH107">
        <f t="shared" si="30"/>
        <v>6.2686560278289116</v>
      </c>
      <c r="AI107">
        <f t="shared" si="31"/>
        <v>14.37461815354261</v>
      </c>
    </row>
    <row r="108" spans="1:35" x14ac:dyDescent="0.3">
      <c r="A108" t="s">
        <v>71</v>
      </c>
      <c r="B108" s="11">
        <v>2022</v>
      </c>
      <c r="C108" s="12">
        <v>226.886</v>
      </c>
      <c r="D108" s="12">
        <v>1175.4880000000001</v>
      </c>
      <c r="E108" s="12">
        <v>850.24099999999999</v>
      </c>
      <c r="F108" s="12">
        <v>720.60400000000004</v>
      </c>
      <c r="G108" s="12">
        <v>2025.729</v>
      </c>
      <c r="H108" s="12">
        <v>674.471</v>
      </c>
      <c r="I108" s="12">
        <v>1351.258</v>
      </c>
      <c r="J108" s="12">
        <v>642.83000000000004</v>
      </c>
      <c r="K108" s="4">
        <f t="shared" si="17"/>
        <v>3.1565074996312901</v>
      </c>
      <c r="L108" s="5">
        <v>3.1565074996312899E-2</v>
      </c>
      <c r="M108" s="19">
        <f t="shared" si="18"/>
        <v>8.1235144676734308</v>
      </c>
      <c r="N108" s="5">
        <v>8.1235144676734303E-2</v>
      </c>
      <c r="O108" s="19">
        <f t="shared" si="19"/>
        <v>8.01</v>
      </c>
      <c r="P108" s="8">
        <v>8.0100000000000005E-2</v>
      </c>
      <c r="Q108" s="19">
        <f t="shared" si="20"/>
        <v>23.271212500000001</v>
      </c>
      <c r="R108" s="12">
        <v>23271.212500000001</v>
      </c>
      <c r="S108" s="4">
        <f t="shared" si="21"/>
        <v>4.0073331852324712</v>
      </c>
      <c r="T108" s="13">
        <v>1968</v>
      </c>
      <c r="U108" s="14">
        <v>134.21</v>
      </c>
      <c r="V108" s="14">
        <v>177.31</v>
      </c>
      <c r="W108" s="4">
        <f t="shared" si="22"/>
        <v>17.614513730895045</v>
      </c>
      <c r="X108" s="18">
        <f t="shared" si="23"/>
        <v>16.790723903207233</v>
      </c>
      <c r="Y108" s="18">
        <f t="shared" si="24"/>
        <v>11.2002148362392</v>
      </c>
      <c r="Z108" s="18">
        <f t="shared" si="25"/>
        <v>0.49914302079987682</v>
      </c>
      <c r="AA108" s="12">
        <f t="shared" si="26"/>
        <v>1.8286140970396527</v>
      </c>
      <c r="AB108">
        <f t="shared" si="27"/>
        <v>7.0409554876753813</v>
      </c>
      <c r="AC108" s="18">
        <f t="shared" si="16"/>
        <v>0.35572576588477534</v>
      </c>
      <c r="AD108" s="18">
        <f t="shared" si="28"/>
        <v>4.7049794705254611</v>
      </c>
      <c r="AE108" s="12">
        <v>2030.6679999999999</v>
      </c>
      <c r="AF108" s="12">
        <v>2082.5929999999998</v>
      </c>
      <c r="AG108" s="8">
        <f t="shared" si="29"/>
        <v>-2.493286014117975E-2</v>
      </c>
      <c r="AH108">
        <f t="shared" si="30"/>
        <v>11.678871031942188</v>
      </c>
      <c r="AI108">
        <f t="shared" si="31"/>
        <v>17.294595491605683</v>
      </c>
    </row>
    <row r="109" spans="1:35" x14ac:dyDescent="0.3">
      <c r="A109" t="s">
        <v>72</v>
      </c>
      <c r="B109" s="11">
        <v>2022</v>
      </c>
      <c r="C109" s="12">
        <v>794.30200000000002</v>
      </c>
      <c r="D109" s="12">
        <v>10114.92</v>
      </c>
      <c r="E109" s="12">
        <v>5966.6779999999999</v>
      </c>
      <c r="F109" s="12">
        <v>3827.2660000000001</v>
      </c>
      <c r="G109" s="12">
        <v>16081.598</v>
      </c>
      <c r="H109" s="12">
        <v>8203.2139999999999</v>
      </c>
      <c r="I109" s="12">
        <v>7878.384</v>
      </c>
      <c r="J109" s="12">
        <v>7812.64</v>
      </c>
      <c r="K109" s="4">
        <f t="shared" si="17"/>
        <v>3.1565074996312901</v>
      </c>
      <c r="L109" s="5">
        <v>3.1565074996312899E-2</v>
      </c>
      <c r="M109" s="19">
        <f t="shared" si="18"/>
        <v>8.1235144676734308</v>
      </c>
      <c r="N109" s="5">
        <v>8.1235144676734303E-2</v>
      </c>
      <c r="O109" s="19">
        <f t="shared" si="19"/>
        <v>8.01</v>
      </c>
      <c r="P109" s="8">
        <v>8.0100000000000005E-2</v>
      </c>
      <c r="Q109" s="19">
        <f t="shared" si="20"/>
        <v>23.271212500000001</v>
      </c>
      <c r="R109" s="12">
        <v>23271.212500000001</v>
      </c>
      <c r="S109" s="4">
        <f t="shared" si="21"/>
        <v>3.2188758248682006</v>
      </c>
      <c r="T109" s="13">
        <v>1998</v>
      </c>
      <c r="U109" s="14">
        <v>134.21</v>
      </c>
      <c r="V109" s="14">
        <v>177.31</v>
      </c>
      <c r="W109" s="4">
        <f t="shared" si="22"/>
        <v>17.614513730895045</v>
      </c>
      <c r="X109" s="18">
        <f t="shared" si="23"/>
        <v>10.082042205609678</v>
      </c>
      <c r="Y109" s="18">
        <f t="shared" si="24"/>
        <v>4.9391982065463891</v>
      </c>
      <c r="Z109" s="18">
        <f t="shared" si="25"/>
        <v>1.0412305366176617</v>
      </c>
      <c r="AA109" s="12">
        <f t="shared" si="26"/>
        <v>1.2946865592168588</v>
      </c>
      <c r="AB109">
        <f t="shared" si="27"/>
        <v>9.1127014888239266</v>
      </c>
      <c r="AC109" s="18">
        <f t="shared" si="16"/>
        <v>0.23799040368998156</v>
      </c>
      <c r="AD109" s="18">
        <f t="shared" si="28"/>
        <v>4.7049794705254611</v>
      </c>
      <c r="AE109" s="12">
        <v>14094.611000000001</v>
      </c>
      <c r="AF109" s="12">
        <v>9462.8880000000008</v>
      </c>
      <c r="AG109" s="8">
        <f t="shared" si="29"/>
        <v>0.48946188520882838</v>
      </c>
      <c r="AH109">
        <f t="shared" si="30"/>
        <v>3.399616384586134</v>
      </c>
      <c r="AI109">
        <f t="shared" si="31"/>
        <v>6.7385002006687902</v>
      </c>
    </row>
    <row r="110" spans="1:35" x14ac:dyDescent="0.3">
      <c r="A110" t="s">
        <v>73</v>
      </c>
      <c r="B110" s="11">
        <v>2022</v>
      </c>
      <c r="C110" s="12">
        <v>1810.692</v>
      </c>
      <c r="D110" s="12">
        <v>11966.358</v>
      </c>
      <c r="E110" s="12">
        <v>1370.7670000000001</v>
      </c>
      <c r="F110" s="12">
        <v>882.43299999999999</v>
      </c>
      <c r="G110" s="12">
        <v>13337.125</v>
      </c>
      <c r="H110" s="12">
        <v>4893.03</v>
      </c>
      <c r="I110" s="12">
        <v>8444.0949999999993</v>
      </c>
      <c r="J110" s="12">
        <v>4883.0600000000004</v>
      </c>
      <c r="K110" s="4">
        <f t="shared" si="17"/>
        <v>3.1565074996312901</v>
      </c>
      <c r="L110" s="5">
        <v>3.1565074996312899E-2</v>
      </c>
      <c r="M110" s="19">
        <f t="shared" si="18"/>
        <v>8.1235144676734308</v>
      </c>
      <c r="N110" s="5">
        <v>8.1235144676734303E-2</v>
      </c>
      <c r="O110" s="19">
        <f t="shared" si="19"/>
        <v>8.01</v>
      </c>
      <c r="P110" s="8">
        <v>8.0100000000000005E-2</v>
      </c>
      <c r="Q110" s="19">
        <f t="shared" si="20"/>
        <v>23.271212500000001</v>
      </c>
      <c r="R110" s="12">
        <v>23271.212500000001</v>
      </c>
      <c r="S110" s="4">
        <f t="shared" si="21"/>
        <v>3.5553480614894135</v>
      </c>
      <c r="T110" s="13">
        <v>1988</v>
      </c>
      <c r="U110" s="14">
        <v>134.21</v>
      </c>
      <c r="V110" s="14">
        <v>177.31</v>
      </c>
      <c r="W110" s="4">
        <f t="shared" si="22"/>
        <v>17.614513730895045</v>
      </c>
      <c r="X110" s="18">
        <f t="shared" si="23"/>
        <v>21.443292620464362</v>
      </c>
      <c r="Y110" s="18">
        <f t="shared" si="24"/>
        <v>13.576329231374828</v>
      </c>
      <c r="Z110" s="18">
        <f t="shared" si="25"/>
        <v>0.57946174219972657</v>
      </c>
      <c r="AA110" s="12">
        <f t="shared" si="26"/>
        <v>2.4505859031017434</v>
      </c>
      <c r="AB110">
        <f t="shared" si="27"/>
        <v>8.9255773519202517</v>
      </c>
      <c r="AC110" s="18">
        <f t="shared" si="16"/>
        <v>6.616365970927017E-2</v>
      </c>
      <c r="AD110" s="18">
        <f t="shared" si="28"/>
        <v>4.7049794705254611</v>
      </c>
      <c r="AE110" s="12">
        <v>34211.129000000001</v>
      </c>
      <c r="AF110" s="12">
        <v>19735.646000000001</v>
      </c>
      <c r="AG110" s="8">
        <f t="shared" si="29"/>
        <v>0.73346892217260073</v>
      </c>
      <c r="AH110">
        <f t="shared" si="30"/>
        <v>9.6905579866761684</v>
      </c>
      <c r="AI110">
        <f t="shared" si="31"/>
        <v>17.114662226238949</v>
      </c>
    </row>
    <row r="111" spans="1:35" x14ac:dyDescent="0.3">
      <c r="A111" t="s">
        <v>74</v>
      </c>
      <c r="B111" s="11">
        <v>2022</v>
      </c>
      <c r="C111" s="12">
        <v>485.827</v>
      </c>
      <c r="D111" s="12">
        <v>6287.0079999999998</v>
      </c>
      <c r="E111" s="12">
        <v>429.47500000000002</v>
      </c>
      <c r="F111" s="12">
        <v>301.05900000000003</v>
      </c>
      <c r="G111" s="12">
        <v>6716.4830000000002</v>
      </c>
      <c r="H111" s="12">
        <v>4094.788</v>
      </c>
      <c r="I111" s="12">
        <v>2621.6950000000002</v>
      </c>
      <c r="J111" s="12">
        <v>4093.95</v>
      </c>
      <c r="K111" s="4">
        <f t="shared" si="17"/>
        <v>3.1565074996312901</v>
      </c>
      <c r="L111" s="5">
        <v>3.1565074996312899E-2</v>
      </c>
      <c r="M111" s="19">
        <f t="shared" si="18"/>
        <v>8.1235144676734308</v>
      </c>
      <c r="N111" s="5">
        <v>8.1235144676734303E-2</v>
      </c>
      <c r="O111" s="19">
        <f t="shared" si="19"/>
        <v>8.01</v>
      </c>
      <c r="P111" s="8">
        <v>8.0100000000000005E-2</v>
      </c>
      <c r="Q111" s="19">
        <f t="shared" si="20"/>
        <v>23.271212500000001</v>
      </c>
      <c r="R111" s="12">
        <v>23271.212500000001</v>
      </c>
      <c r="S111" s="4">
        <f t="shared" si="21"/>
        <v>2.9444389791664403</v>
      </c>
      <c r="T111" s="13">
        <v>2004</v>
      </c>
      <c r="U111" s="14">
        <v>134.21</v>
      </c>
      <c r="V111" s="14">
        <v>177.31</v>
      </c>
      <c r="W111" s="4">
        <f t="shared" si="22"/>
        <v>17.614513730895045</v>
      </c>
      <c r="X111" s="18">
        <f t="shared" si="23"/>
        <v>18.531026683119126</v>
      </c>
      <c r="Y111" s="18">
        <f t="shared" si="24"/>
        <v>7.2333541229837097</v>
      </c>
      <c r="Z111" s="18">
        <f t="shared" si="25"/>
        <v>1.5618857266005388</v>
      </c>
      <c r="AA111" s="12">
        <f t="shared" si="26"/>
        <v>1.5356826536718817</v>
      </c>
      <c r="AB111">
        <f t="shared" si="27"/>
        <v>8.2395905063388835</v>
      </c>
      <c r="AC111" s="18">
        <f t="shared" si="16"/>
        <v>4.4823905606550335E-2</v>
      </c>
      <c r="AD111" s="18">
        <f t="shared" si="28"/>
        <v>4.7049794705254611</v>
      </c>
      <c r="AE111" s="12">
        <v>6927.5640000000003</v>
      </c>
      <c r="AF111" s="12">
        <v>5719.8320000000003</v>
      </c>
      <c r="AG111" s="8">
        <f t="shared" si="29"/>
        <v>0.21114815959629582</v>
      </c>
      <c r="AH111">
        <f t="shared" si="30"/>
        <v>7.3853869695975591</v>
      </c>
      <c r="AI111">
        <f t="shared" si="31"/>
        <v>29.088059157499398</v>
      </c>
    </row>
    <row r="112" spans="1:35" x14ac:dyDescent="0.3">
      <c r="A112" t="s">
        <v>75</v>
      </c>
      <c r="B112" s="11">
        <v>2022</v>
      </c>
      <c r="C112" s="12">
        <v>5499.7979999999998</v>
      </c>
      <c r="D112" s="12">
        <v>26860.224999999999</v>
      </c>
      <c r="E112" s="12">
        <v>7604.8509999999997</v>
      </c>
      <c r="F112" s="12">
        <v>4454.982</v>
      </c>
      <c r="G112" s="12">
        <v>34465.076000000001</v>
      </c>
      <c r="H112" s="12">
        <v>9874.23</v>
      </c>
      <c r="I112" s="12">
        <v>24590.846000000001</v>
      </c>
      <c r="J112" s="12">
        <v>9213.86</v>
      </c>
      <c r="K112" s="4">
        <f t="shared" si="17"/>
        <v>3.1565074996312901</v>
      </c>
      <c r="L112" s="5">
        <v>3.1565074996312899E-2</v>
      </c>
      <c r="M112" s="19">
        <f t="shared" si="18"/>
        <v>8.1235144676734308</v>
      </c>
      <c r="N112" s="5">
        <v>8.1235144676734303E-2</v>
      </c>
      <c r="O112" s="19">
        <f t="shared" si="19"/>
        <v>8.01</v>
      </c>
      <c r="P112" s="8">
        <v>8.0100000000000005E-2</v>
      </c>
      <c r="Q112" s="19">
        <f t="shared" si="20"/>
        <v>23.271212500000001</v>
      </c>
      <c r="R112" s="12">
        <v>23271.212500000001</v>
      </c>
      <c r="S112" s="4">
        <f t="shared" si="21"/>
        <v>2.9957322735539909</v>
      </c>
      <c r="T112" s="13">
        <v>2003</v>
      </c>
      <c r="U112" s="14">
        <v>134.21</v>
      </c>
      <c r="V112" s="14">
        <v>177.31</v>
      </c>
      <c r="W112" s="4">
        <f t="shared" si="22"/>
        <v>17.614513730895045</v>
      </c>
      <c r="X112" s="18">
        <f t="shared" si="23"/>
        <v>22.365224848303306</v>
      </c>
      <c r="Y112" s="18">
        <f t="shared" si="24"/>
        <v>15.957597192009674</v>
      </c>
      <c r="Z112" s="18">
        <f t="shared" si="25"/>
        <v>0.40154088232669988</v>
      </c>
      <c r="AA112" s="12">
        <f t="shared" si="26"/>
        <v>2.9151978649556209</v>
      </c>
      <c r="AB112">
        <f t="shared" si="27"/>
        <v>9.8749723733721595</v>
      </c>
      <c r="AC112" s="18">
        <f t="shared" si="16"/>
        <v>0.12926076240191664</v>
      </c>
      <c r="AD112" s="18">
        <f t="shared" si="28"/>
        <v>4.7049794705254611</v>
      </c>
      <c r="AE112" s="12">
        <v>35235.898999999998</v>
      </c>
      <c r="AF112" s="12">
        <v>26578.007000000001</v>
      </c>
      <c r="AG112" s="8">
        <f t="shared" si="29"/>
        <v>0.32575399652803144</v>
      </c>
      <c r="AH112">
        <f t="shared" si="30"/>
        <v>12.888453789389215</v>
      </c>
      <c r="AI112">
        <f t="shared" si="31"/>
        <v>17.390321820264194</v>
      </c>
    </row>
    <row r="113" spans="1:35" x14ac:dyDescent="0.3">
      <c r="A113" t="s">
        <v>76</v>
      </c>
      <c r="B113" s="11">
        <v>2022</v>
      </c>
      <c r="C113" s="12">
        <v>817.62300000000005</v>
      </c>
      <c r="D113" s="12">
        <v>18697.322</v>
      </c>
      <c r="E113" s="12">
        <v>10343.904</v>
      </c>
      <c r="F113" s="12">
        <v>4349.7579999999998</v>
      </c>
      <c r="G113" s="12">
        <v>29041.225999999999</v>
      </c>
      <c r="H113" s="12">
        <v>18864.048999999999</v>
      </c>
      <c r="I113" s="12">
        <v>10177.178</v>
      </c>
      <c r="J113" s="12">
        <v>16227.01</v>
      </c>
      <c r="K113" s="4">
        <f t="shared" si="17"/>
        <v>3.1565074996312901</v>
      </c>
      <c r="L113" s="5">
        <v>3.1565074996312899E-2</v>
      </c>
      <c r="M113" s="19">
        <f t="shared" si="18"/>
        <v>8.1235144676734308</v>
      </c>
      <c r="N113" s="5">
        <v>8.1235144676734303E-2</v>
      </c>
      <c r="O113" s="19">
        <f t="shared" si="19"/>
        <v>8.01</v>
      </c>
      <c r="P113" s="8">
        <v>8.0100000000000005E-2</v>
      </c>
      <c r="Q113" s="19">
        <f t="shared" si="20"/>
        <v>23.271212500000001</v>
      </c>
      <c r="R113" s="12">
        <v>23271.212500000001</v>
      </c>
      <c r="S113" s="4">
        <f t="shared" si="21"/>
        <v>3.3322045101752038</v>
      </c>
      <c r="T113" s="13">
        <v>1995</v>
      </c>
      <c r="U113" s="14">
        <v>134.21</v>
      </c>
      <c r="V113" s="14">
        <v>177.31</v>
      </c>
      <c r="W113" s="4">
        <f t="shared" si="22"/>
        <v>17.614513730895045</v>
      </c>
      <c r="X113" s="18">
        <f t="shared" si="23"/>
        <v>8.0338871934833023</v>
      </c>
      <c r="Y113" s="18">
        <f t="shared" si="24"/>
        <v>2.8153873393637037</v>
      </c>
      <c r="Z113" s="18">
        <f t="shared" si="25"/>
        <v>1.8535638268290089</v>
      </c>
      <c r="AA113" s="12">
        <f t="shared" si="26"/>
        <v>1.152234576795109</v>
      </c>
      <c r="AB113">
        <f t="shared" si="27"/>
        <v>9.7037422585976412</v>
      </c>
      <c r="AC113" s="18">
        <f t="shared" si="16"/>
        <v>0.14977873179321011</v>
      </c>
      <c r="AD113" s="18">
        <f t="shared" si="28"/>
        <v>4.7049794705254611</v>
      </c>
      <c r="AE113" s="12">
        <v>21304.458999999999</v>
      </c>
      <c r="AF113" s="12">
        <v>9322.634</v>
      </c>
      <c r="AG113" s="8">
        <f t="shared" si="29"/>
        <v>1.2852403086938733</v>
      </c>
      <c r="AH113">
        <f t="shared" si="30"/>
        <v>1.8755361448261989</v>
      </c>
      <c r="AI113">
        <f t="shared" si="31"/>
        <v>4.6681844930060379</v>
      </c>
    </row>
    <row r="114" spans="1:35" x14ac:dyDescent="0.3">
      <c r="A114" t="s">
        <v>77</v>
      </c>
      <c r="B114" s="11">
        <v>2022</v>
      </c>
      <c r="C114" s="12">
        <v>184.73500000000001</v>
      </c>
      <c r="D114" s="12">
        <v>560.69399999999996</v>
      </c>
      <c r="E114" s="12">
        <v>417.80200000000002</v>
      </c>
      <c r="F114" s="12">
        <v>351.34500000000003</v>
      </c>
      <c r="G114" s="12">
        <v>978.49599999999998</v>
      </c>
      <c r="H114" s="12">
        <v>371.80399999999997</v>
      </c>
      <c r="I114" s="12">
        <v>606.69200000000001</v>
      </c>
      <c r="J114" s="12">
        <v>346.11</v>
      </c>
      <c r="K114" s="4">
        <f t="shared" si="17"/>
        <v>3.1565074996312901</v>
      </c>
      <c r="L114" s="5">
        <v>3.1565074996312899E-2</v>
      </c>
      <c r="M114" s="19">
        <f t="shared" si="18"/>
        <v>8.1235144676734308</v>
      </c>
      <c r="N114" s="5">
        <v>8.1235144676734303E-2</v>
      </c>
      <c r="O114" s="19">
        <f t="shared" si="19"/>
        <v>8.01</v>
      </c>
      <c r="P114" s="8">
        <v>8.0100000000000005E-2</v>
      </c>
      <c r="Q114" s="19">
        <f t="shared" si="20"/>
        <v>23.271212500000001</v>
      </c>
      <c r="R114" s="12">
        <v>23271.212500000001</v>
      </c>
      <c r="S114" s="4">
        <f t="shared" si="21"/>
        <v>2.7080502011022101</v>
      </c>
      <c r="T114" s="13">
        <v>2008</v>
      </c>
      <c r="U114" s="14">
        <v>134.21</v>
      </c>
      <c r="V114" s="14">
        <v>177.31</v>
      </c>
      <c r="W114" s="4">
        <f t="shared" si="22"/>
        <v>17.614513730895045</v>
      </c>
      <c r="X114" s="18">
        <f t="shared" si="23"/>
        <v>30.44955265604294</v>
      </c>
      <c r="Y114" s="18">
        <f t="shared" si="24"/>
        <v>18.879484433252667</v>
      </c>
      <c r="Z114" s="18">
        <f t="shared" si="25"/>
        <v>0.61283814522030944</v>
      </c>
      <c r="AA114" s="12">
        <f t="shared" si="26"/>
        <v>1.6199878651295829</v>
      </c>
      <c r="AB114">
        <f t="shared" si="27"/>
        <v>6.3132872718573427</v>
      </c>
      <c r="AC114" s="18">
        <f t="shared" si="16"/>
        <v>0.35906636307148931</v>
      </c>
      <c r="AD114" s="18">
        <f t="shared" si="28"/>
        <v>4.7049794705254611</v>
      </c>
      <c r="AE114" s="12">
        <v>1387.3520000000001</v>
      </c>
      <c r="AF114" s="12">
        <v>1191.309</v>
      </c>
      <c r="AG114" s="8">
        <f t="shared" si="29"/>
        <v>0.16456099970704505</v>
      </c>
      <c r="AH114">
        <f t="shared" si="30"/>
        <v>16.934088003602611</v>
      </c>
      <c r="AI114">
        <f t="shared" si="31"/>
        <v>28.639364439968666</v>
      </c>
    </row>
    <row r="115" spans="1:35" x14ac:dyDescent="0.3">
      <c r="A115" t="s">
        <v>78</v>
      </c>
      <c r="B115" s="11">
        <v>2022</v>
      </c>
      <c r="C115" s="12">
        <v>27.741</v>
      </c>
      <c r="D115" s="12">
        <v>530.07500000000005</v>
      </c>
      <c r="E115" s="12">
        <v>714.95100000000002</v>
      </c>
      <c r="F115" s="12">
        <v>45.039000000000001</v>
      </c>
      <c r="G115" s="12">
        <v>1245.0260000000001</v>
      </c>
      <c r="H115" s="12">
        <v>805.69299999999998</v>
      </c>
      <c r="I115" s="12">
        <v>439.33300000000003</v>
      </c>
      <c r="J115" s="12">
        <v>520.67999999999995</v>
      </c>
      <c r="K115" s="4">
        <f t="shared" si="17"/>
        <v>3.1565074996312901</v>
      </c>
      <c r="L115" s="5">
        <v>3.1565074996312899E-2</v>
      </c>
      <c r="M115" s="19">
        <f t="shared" si="18"/>
        <v>8.1235144676734308</v>
      </c>
      <c r="N115" s="5">
        <v>8.1235144676734303E-2</v>
      </c>
      <c r="O115" s="19">
        <f t="shared" si="19"/>
        <v>8.01</v>
      </c>
      <c r="P115" s="8">
        <v>8.0100000000000005E-2</v>
      </c>
      <c r="Q115" s="19">
        <f t="shared" si="20"/>
        <v>23.271212500000001</v>
      </c>
      <c r="R115" s="12">
        <v>23271.212500000001</v>
      </c>
      <c r="S115" s="4">
        <f t="shared" si="21"/>
        <v>4.1431347263915326</v>
      </c>
      <c r="T115" s="13">
        <v>1960</v>
      </c>
      <c r="U115" s="14">
        <v>134.21</v>
      </c>
      <c r="V115" s="14">
        <v>177.31</v>
      </c>
      <c r="W115" s="4">
        <f t="shared" si="22"/>
        <v>17.614513730895045</v>
      </c>
      <c r="X115" s="18">
        <f t="shared" si="23"/>
        <v>6.3143446998062975</v>
      </c>
      <c r="Y115" s="18">
        <f t="shared" si="24"/>
        <v>2.228146239516283</v>
      </c>
      <c r="Z115" s="18">
        <f t="shared" si="25"/>
        <v>1.8339004809563586</v>
      </c>
      <c r="AA115" s="12">
        <f t="shared" si="26"/>
        <v>1.0180437120688333</v>
      </c>
      <c r="AB115">
        <f t="shared" si="27"/>
        <v>6.5541822651340809</v>
      </c>
      <c r="AC115" s="18">
        <f t="shared" si="16"/>
        <v>3.6175148149516556E-2</v>
      </c>
      <c r="AD115" s="18">
        <f t="shared" si="28"/>
        <v>4.7049794705254611</v>
      </c>
      <c r="AE115" s="12">
        <v>959.54100000000005</v>
      </c>
      <c r="AF115" s="12">
        <v>994.86</v>
      </c>
      <c r="AG115" s="8">
        <f t="shared" si="29"/>
        <v>-3.5501477594837426E-2</v>
      </c>
      <c r="AH115">
        <f t="shared" si="30"/>
        <v>3.2415363481901385</v>
      </c>
      <c r="AI115">
        <f t="shared" si="31"/>
        <v>9.2569690216901339</v>
      </c>
    </row>
    <row r="116" spans="1:35" x14ac:dyDescent="0.3">
      <c r="A116" t="s">
        <v>79</v>
      </c>
      <c r="B116" s="11">
        <v>2022</v>
      </c>
      <c r="C116" s="12">
        <v>50.664999999999999</v>
      </c>
      <c r="D116" s="12">
        <v>327.58</v>
      </c>
      <c r="E116" s="12">
        <v>199.37799999999999</v>
      </c>
      <c r="F116" s="12">
        <v>86.350999999999999</v>
      </c>
      <c r="G116" s="12">
        <v>526.95799999999997</v>
      </c>
      <c r="H116" s="12">
        <v>147.75800000000001</v>
      </c>
      <c r="I116" s="12">
        <v>379.20100000000002</v>
      </c>
      <c r="J116" s="12">
        <v>147.76</v>
      </c>
      <c r="K116" s="4">
        <f t="shared" si="17"/>
        <v>3.1565074996312901</v>
      </c>
      <c r="L116" s="5">
        <v>3.1565074996312899E-2</v>
      </c>
      <c r="M116" s="19">
        <f t="shared" si="18"/>
        <v>8.1235144676734308</v>
      </c>
      <c r="N116" s="5">
        <v>8.1235144676734303E-2</v>
      </c>
      <c r="O116" s="19">
        <f t="shared" si="19"/>
        <v>8.01</v>
      </c>
      <c r="P116" s="8">
        <v>8.0100000000000005E-2</v>
      </c>
      <c r="Q116" s="19">
        <f t="shared" si="20"/>
        <v>23.271212500000001</v>
      </c>
      <c r="R116" s="12">
        <v>23271.212500000001</v>
      </c>
      <c r="S116" s="4">
        <f t="shared" si="21"/>
        <v>3.8501476017100584</v>
      </c>
      <c r="T116" s="13">
        <v>1976</v>
      </c>
      <c r="U116" s="14">
        <v>134.21</v>
      </c>
      <c r="V116" s="14">
        <v>177.31</v>
      </c>
      <c r="W116" s="4">
        <f t="shared" si="22"/>
        <v>17.614513730895045</v>
      </c>
      <c r="X116" s="18">
        <f t="shared" si="23"/>
        <v>13.360987972078131</v>
      </c>
      <c r="Y116" s="18">
        <f t="shared" si="24"/>
        <v>9.6146182428201108</v>
      </c>
      <c r="Z116" s="18">
        <f t="shared" si="25"/>
        <v>0.38965614542155741</v>
      </c>
      <c r="AA116" s="12">
        <f t="shared" si="26"/>
        <v>2.2169734704926909</v>
      </c>
      <c r="AB116">
        <f t="shared" si="27"/>
        <v>5.694391421889943</v>
      </c>
      <c r="AC116" s="18">
        <f t="shared" si="16"/>
        <v>0.16386694954816133</v>
      </c>
      <c r="AD116" s="18">
        <f t="shared" si="28"/>
        <v>4.7049794705254611</v>
      </c>
      <c r="AE116" s="12">
        <v>315.30099999999999</v>
      </c>
      <c r="AF116" s="12">
        <v>325.97300000000001</v>
      </c>
      <c r="AG116" s="8">
        <f t="shared" si="29"/>
        <v>-3.2738907823654184E-2</v>
      </c>
      <c r="AH116">
        <f t="shared" si="30"/>
        <v>10.58390613336651</v>
      </c>
      <c r="AI116">
        <f t="shared" si="31"/>
        <v>14.572398971177448</v>
      </c>
    </row>
    <row r="117" spans="1:35" x14ac:dyDescent="0.3">
      <c r="A117" t="s">
        <v>80</v>
      </c>
      <c r="B117" s="11">
        <v>2022</v>
      </c>
      <c r="C117" s="12">
        <v>242.274</v>
      </c>
      <c r="D117" s="12">
        <v>1199.951</v>
      </c>
      <c r="E117" s="12">
        <v>925.08199999999999</v>
      </c>
      <c r="F117" s="12">
        <v>730.56700000000001</v>
      </c>
      <c r="G117" s="12">
        <v>2125.0329999999999</v>
      </c>
      <c r="H117" s="12">
        <v>583.94299999999998</v>
      </c>
      <c r="I117" s="12">
        <v>1541.09</v>
      </c>
      <c r="J117" s="12">
        <v>583.66999999999996</v>
      </c>
      <c r="K117" s="4">
        <f t="shared" si="17"/>
        <v>3.1565074996312901</v>
      </c>
      <c r="L117" s="5">
        <v>3.1565074996312899E-2</v>
      </c>
      <c r="M117" s="19">
        <f t="shared" si="18"/>
        <v>8.1235144676734308</v>
      </c>
      <c r="N117" s="5">
        <v>8.1235144676734303E-2</v>
      </c>
      <c r="O117" s="19">
        <f t="shared" si="19"/>
        <v>8.01</v>
      </c>
      <c r="P117" s="8">
        <v>8.0100000000000005E-2</v>
      </c>
      <c r="Q117" s="19">
        <f t="shared" si="20"/>
        <v>23.271212500000001</v>
      </c>
      <c r="R117" s="12">
        <v>23271.212500000001</v>
      </c>
      <c r="S117" s="4">
        <f t="shared" si="21"/>
        <v>3.1354942159291497</v>
      </c>
      <c r="T117" s="13">
        <v>2000</v>
      </c>
      <c r="U117" s="14">
        <v>134.21</v>
      </c>
      <c r="V117" s="14">
        <v>177.31</v>
      </c>
      <c r="W117" s="4">
        <f t="shared" si="22"/>
        <v>17.614513730895045</v>
      </c>
      <c r="X117" s="18">
        <f t="shared" si="23"/>
        <v>15.720950755634</v>
      </c>
      <c r="Y117" s="18">
        <f t="shared" si="24"/>
        <v>11.400952361680972</v>
      </c>
      <c r="Z117" s="18">
        <f t="shared" si="25"/>
        <v>0.37891557274396692</v>
      </c>
      <c r="AA117" s="12">
        <f t="shared" si="26"/>
        <v>2.0558723251152196</v>
      </c>
      <c r="AB117">
        <f t="shared" si="27"/>
        <v>7.0888131835688961</v>
      </c>
      <c r="AC117" s="18">
        <f t="shared" si="16"/>
        <v>0.34379089642372612</v>
      </c>
      <c r="AD117" s="18">
        <f t="shared" si="28"/>
        <v>4.7049794705254611</v>
      </c>
      <c r="AE117" s="12">
        <v>2116.7809999999999</v>
      </c>
      <c r="AF117" s="12">
        <v>2043.3710000000001</v>
      </c>
      <c r="AG117" s="8">
        <f t="shared" si="29"/>
        <v>3.5925928282235509E-2</v>
      </c>
      <c r="AH117">
        <f t="shared" si="30"/>
        <v>14.127865093296265</v>
      </c>
      <c r="AI117">
        <f t="shared" si="31"/>
        <v>22.11926515874195</v>
      </c>
    </row>
    <row r="118" spans="1:35" x14ac:dyDescent="0.3">
      <c r="A118" t="s">
        <v>81</v>
      </c>
      <c r="B118" s="11">
        <v>2022</v>
      </c>
      <c r="C118" s="12">
        <v>586.04300000000001</v>
      </c>
      <c r="D118" s="12">
        <v>3465.3069999999998</v>
      </c>
      <c r="E118" s="12">
        <v>2681.4189999999999</v>
      </c>
      <c r="F118" s="12">
        <v>737.68600000000004</v>
      </c>
      <c r="G118" s="12">
        <v>6146.7250000000004</v>
      </c>
      <c r="H118" s="12">
        <v>3691.056</v>
      </c>
      <c r="I118" s="12">
        <v>2455.6689999999999</v>
      </c>
      <c r="J118" s="12">
        <v>3232.12</v>
      </c>
      <c r="K118" s="4">
        <f t="shared" si="17"/>
        <v>3.1565074996312901</v>
      </c>
      <c r="L118" s="5">
        <v>3.1565074996312899E-2</v>
      </c>
      <c r="M118" s="19">
        <f t="shared" si="18"/>
        <v>8.1235144676734308</v>
      </c>
      <c r="N118" s="5">
        <v>8.1235144676734303E-2</v>
      </c>
      <c r="O118" s="19">
        <f t="shared" si="19"/>
        <v>8.01</v>
      </c>
      <c r="P118" s="8">
        <v>8.0100000000000005E-2</v>
      </c>
      <c r="Q118" s="19">
        <f t="shared" si="20"/>
        <v>23.271212500000001</v>
      </c>
      <c r="R118" s="12">
        <v>23271.212500000001</v>
      </c>
      <c r="S118" s="4">
        <f t="shared" si="21"/>
        <v>3.713572066704308</v>
      </c>
      <c r="T118" s="13">
        <v>1982</v>
      </c>
      <c r="U118" s="14">
        <v>134.21</v>
      </c>
      <c r="V118" s="14">
        <v>177.31</v>
      </c>
      <c r="W118" s="4">
        <f t="shared" si="22"/>
        <v>17.614513730895045</v>
      </c>
      <c r="X118" s="18">
        <f t="shared" si="23"/>
        <v>23.864901988012228</v>
      </c>
      <c r="Y118" s="18">
        <f t="shared" si="24"/>
        <v>9.5342316436801706</v>
      </c>
      <c r="Z118" s="18">
        <f t="shared" si="25"/>
        <v>1.503075536646022</v>
      </c>
      <c r="AA118" s="12">
        <f t="shared" si="26"/>
        <v>1.0721467643528086</v>
      </c>
      <c r="AB118">
        <f t="shared" si="27"/>
        <v>8.1509452715552495</v>
      </c>
      <c r="AC118" s="18">
        <f t="shared" si="16"/>
        <v>0.12001285237260492</v>
      </c>
      <c r="AD118" s="18">
        <f t="shared" si="28"/>
        <v>4.7049794705254611</v>
      </c>
      <c r="AE118" s="12">
        <v>21322.513999999999</v>
      </c>
      <c r="AF118" s="12">
        <v>14192.876</v>
      </c>
      <c r="AG118" s="8">
        <f t="shared" si="29"/>
        <v>0.50233920172345614</v>
      </c>
      <c r="AH118">
        <f t="shared" si="30"/>
        <v>4.7714726315813243</v>
      </c>
      <c r="AI118">
        <f t="shared" si="31"/>
        <v>11.300991869536109</v>
      </c>
    </row>
    <row r="119" spans="1:35" x14ac:dyDescent="0.3">
      <c r="A119" t="s">
        <v>82</v>
      </c>
      <c r="B119" s="11">
        <v>2022</v>
      </c>
      <c r="C119" s="12">
        <v>281.06900000000002</v>
      </c>
      <c r="D119" s="12">
        <v>2166.7359999999999</v>
      </c>
      <c r="E119" s="12">
        <v>1310.3309999999999</v>
      </c>
      <c r="F119" s="12">
        <v>1037.018</v>
      </c>
      <c r="G119" s="12">
        <v>3477.067</v>
      </c>
      <c r="H119" s="12">
        <v>1498.2090000000001</v>
      </c>
      <c r="I119" s="12">
        <v>1978.857</v>
      </c>
      <c r="J119" s="12">
        <v>1311.89</v>
      </c>
      <c r="K119" s="4">
        <f t="shared" si="17"/>
        <v>3.1565074996312901</v>
      </c>
      <c r="L119" s="5">
        <v>3.1565074996312899E-2</v>
      </c>
      <c r="M119" s="19">
        <f t="shared" si="18"/>
        <v>8.1235144676734308</v>
      </c>
      <c r="N119" s="5">
        <v>8.1235144676734303E-2</v>
      </c>
      <c r="O119" s="19">
        <f t="shared" si="19"/>
        <v>8.01</v>
      </c>
      <c r="P119" s="8">
        <v>8.0100000000000005E-2</v>
      </c>
      <c r="Q119" s="19">
        <f t="shared" si="20"/>
        <v>23.271212500000001</v>
      </c>
      <c r="R119" s="12">
        <v>23271.212500000001</v>
      </c>
      <c r="S119" s="4">
        <f t="shared" si="21"/>
        <v>3.8501476017100584</v>
      </c>
      <c r="T119" s="13">
        <v>1976</v>
      </c>
      <c r="U119" s="14">
        <v>134.21</v>
      </c>
      <c r="V119" s="14">
        <v>177.31</v>
      </c>
      <c r="W119" s="4">
        <f t="shared" si="22"/>
        <v>17.614513730895045</v>
      </c>
      <c r="X119" s="18">
        <f t="shared" si="23"/>
        <v>14.203603393271976</v>
      </c>
      <c r="Y119" s="18">
        <f t="shared" si="24"/>
        <v>8.0835083131846464</v>
      </c>
      <c r="Z119" s="18">
        <f t="shared" si="25"/>
        <v>0.75710827007712034</v>
      </c>
      <c r="AA119" s="12">
        <f t="shared" si="26"/>
        <v>1.6516140834978541</v>
      </c>
      <c r="AB119">
        <f t="shared" si="27"/>
        <v>7.5812149742265902</v>
      </c>
      <c r="AC119" s="18">
        <f t="shared" si="16"/>
        <v>0.29824504388324991</v>
      </c>
      <c r="AD119" s="18">
        <f t="shared" si="28"/>
        <v>4.7049794705254611</v>
      </c>
      <c r="AE119" s="12">
        <v>4340.75</v>
      </c>
      <c r="AF119" s="12">
        <v>3537.498</v>
      </c>
      <c r="AG119" s="8">
        <f t="shared" si="29"/>
        <v>0.22706783155778462</v>
      </c>
      <c r="AH119">
        <f t="shared" si="30"/>
        <v>3.9834560367968974</v>
      </c>
      <c r="AI119">
        <f t="shared" si="31"/>
        <v>8.4083147257738347</v>
      </c>
    </row>
    <row r="120" spans="1:35" x14ac:dyDescent="0.3">
      <c r="A120" t="s">
        <v>83</v>
      </c>
      <c r="B120" s="11">
        <v>2022</v>
      </c>
      <c r="C120" s="12">
        <v>400.93700000000001</v>
      </c>
      <c r="D120" s="12">
        <v>2133.2130000000002</v>
      </c>
      <c r="E120" s="12">
        <v>735.82299999999998</v>
      </c>
      <c r="F120" s="12">
        <v>478.35</v>
      </c>
      <c r="G120" s="12">
        <v>2869.0360000000001</v>
      </c>
      <c r="H120" s="12">
        <v>911.16399999999999</v>
      </c>
      <c r="I120" s="12">
        <v>1957.8720000000001</v>
      </c>
      <c r="J120" s="12">
        <v>831.26</v>
      </c>
      <c r="K120" s="4">
        <f t="shared" si="17"/>
        <v>3.1565074996312901</v>
      </c>
      <c r="L120" s="5">
        <v>3.1565074996312899E-2</v>
      </c>
      <c r="M120" s="19">
        <f t="shared" si="18"/>
        <v>8.1235144676734308</v>
      </c>
      <c r="N120" s="5">
        <v>8.1235144676734303E-2</v>
      </c>
      <c r="O120" s="19">
        <f t="shared" si="19"/>
        <v>8.01</v>
      </c>
      <c r="P120" s="8">
        <v>8.0100000000000005E-2</v>
      </c>
      <c r="Q120" s="19">
        <f t="shared" si="20"/>
        <v>23.271212500000001</v>
      </c>
      <c r="R120" s="12">
        <v>23271.212500000001</v>
      </c>
      <c r="S120" s="4">
        <f t="shared" si="21"/>
        <v>3.7376696182833684</v>
      </c>
      <c r="T120" s="13">
        <v>1981</v>
      </c>
      <c r="U120" s="14">
        <v>134.21</v>
      </c>
      <c r="V120" s="14">
        <v>177.31</v>
      </c>
      <c r="W120" s="4">
        <f t="shared" si="22"/>
        <v>17.614513730895045</v>
      </c>
      <c r="X120" s="18">
        <f t="shared" si="23"/>
        <v>20.478202865151552</v>
      </c>
      <c r="Y120" s="18">
        <f t="shared" si="24"/>
        <v>13.974624229183599</v>
      </c>
      <c r="Z120" s="18">
        <f t="shared" si="25"/>
        <v>0.46538486683501268</v>
      </c>
      <c r="AA120" s="12">
        <f t="shared" si="26"/>
        <v>2.5662404061304529</v>
      </c>
      <c r="AB120">
        <f t="shared" si="27"/>
        <v>7.3890019367479409</v>
      </c>
      <c r="AC120" s="18">
        <f t="shared" si="16"/>
        <v>0.16672847604561253</v>
      </c>
      <c r="AD120" s="18">
        <f t="shared" si="28"/>
        <v>4.7049794705254611</v>
      </c>
      <c r="AE120" s="12">
        <v>3550.4059999999999</v>
      </c>
      <c r="AF120" s="12">
        <v>2686.8510000000001</v>
      </c>
      <c r="AG120" s="8">
        <f t="shared" si="29"/>
        <v>0.32140040515830604</v>
      </c>
      <c r="AH120">
        <f t="shared" si="30"/>
        <v>11.311990038178534</v>
      </c>
      <c r="AI120">
        <f t="shared" si="31"/>
        <v>15.157226916625858</v>
      </c>
    </row>
    <row r="121" spans="1:35" x14ac:dyDescent="0.3">
      <c r="A121" t="s">
        <v>84</v>
      </c>
      <c r="B121" s="11">
        <v>2022</v>
      </c>
      <c r="C121" s="12">
        <v>48.411999999999999</v>
      </c>
      <c r="D121" s="12">
        <v>2998.0039999999999</v>
      </c>
      <c r="E121" s="12">
        <v>508.41699999999997</v>
      </c>
      <c r="F121" s="12">
        <v>308.67399999999998</v>
      </c>
      <c r="G121" s="12">
        <v>3506.4209999999998</v>
      </c>
      <c r="H121" s="12">
        <v>3070.8809999999999</v>
      </c>
      <c r="I121" s="12">
        <v>435.541</v>
      </c>
      <c r="J121" s="12">
        <v>2947.61</v>
      </c>
      <c r="K121" s="4">
        <f t="shared" si="17"/>
        <v>3.1565074996312901</v>
      </c>
      <c r="L121" s="5">
        <v>3.1565074996312899E-2</v>
      </c>
      <c r="M121" s="19">
        <f t="shared" si="18"/>
        <v>8.1235144676734308</v>
      </c>
      <c r="N121" s="5">
        <v>8.1235144676734303E-2</v>
      </c>
      <c r="O121" s="19">
        <f t="shared" si="19"/>
        <v>8.01</v>
      </c>
      <c r="P121" s="8">
        <v>8.0100000000000005E-2</v>
      </c>
      <c r="Q121" s="19">
        <f t="shared" si="20"/>
        <v>23.271212500000001</v>
      </c>
      <c r="R121" s="12">
        <v>23271.212500000001</v>
      </c>
      <c r="S121" s="4">
        <f t="shared" si="21"/>
        <v>3.8501476017100584</v>
      </c>
      <c r="T121" s="13">
        <v>1976</v>
      </c>
      <c r="U121" s="14">
        <v>134.21</v>
      </c>
      <c r="V121" s="14">
        <v>177.31</v>
      </c>
      <c r="W121" s="4">
        <f t="shared" si="22"/>
        <v>17.614513730895045</v>
      </c>
      <c r="X121" s="18">
        <f t="shared" si="23"/>
        <v>11.115371457566567</v>
      </c>
      <c r="Y121" s="18">
        <f t="shared" si="24"/>
        <v>1.3806670676453283</v>
      </c>
      <c r="Z121" s="18">
        <f t="shared" si="25"/>
        <v>7.050727715645599</v>
      </c>
      <c r="AA121" s="12">
        <f t="shared" si="26"/>
        <v>1.0170965629781414</v>
      </c>
      <c r="AB121">
        <f t="shared" si="27"/>
        <v>7.5896217110544564</v>
      </c>
      <c r="AC121" s="18">
        <f t="shared" si="16"/>
        <v>8.8031072138799071E-2</v>
      </c>
      <c r="AD121" s="18">
        <f t="shared" si="28"/>
        <v>4.7049794705254611</v>
      </c>
      <c r="AE121" s="12">
        <v>3043.357</v>
      </c>
      <c r="AF121" s="12">
        <v>2523.2530000000002</v>
      </c>
      <c r="AG121" s="8">
        <f t="shared" si="29"/>
        <v>0.20612439577006339</v>
      </c>
      <c r="AH121">
        <f t="shared" si="30"/>
        <v>1.3254737370989411</v>
      </c>
      <c r="AI121">
        <f t="shared" si="31"/>
        <v>9.0157931674825527</v>
      </c>
    </row>
    <row r="122" spans="1:35" x14ac:dyDescent="0.3">
      <c r="A122" t="s">
        <v>85</v>
      </c>
      <c r="B122" s="11">
        <v>2022</v>
      </c>
      <c r="C122" s="12">
        <v>55.225000000000001</v>
      </c>
      <c r="D122" s="12">
        <v>1370.355</v>
      </c>
      <c r="E122" s="12">
        <v>442.92599999999999</v>
      </c>
      <c r="F122" s="12">
        <v>358.637</v>
      </c>
      <c r="G122" s="12">
        <v>1813.28</v>
      </c>
      <c r="H122" s="12">
        <v>1191.2840000000001</v>
      </c>
      <c r="I122" s="12">
        <v>621.99599999999998</v>
      </c>
      <c r="J122" s="12">
        <v>1135.04</v>
      </c>
      <c r="K122" s="4">
        <f t="shared" si="17"/>
        <v>3.1565074996312901</v>
      </c>
      <c r="L122" s="5">
        <v>3.1565074996312899E-2</v>
      </c>
      <c r="M122" s="19">
        <f t="shared" si="18"/>
        <v>8.1235144676734308</v>
      </c>
      <c r="N122" s="5">
        <v>8.1235144676734303E-2</v>
      </c>
      <c r="O122" s="19">
        <f t="shared" si="19"/>
        <v>8.01</v>
      </c>
      <c r="P122" s="8">
        <v>8.0100000000000005E-2</v>
      </c>
      <c r="Q122" s="19">
        <f t="shared" si="20"/>
        <v>23.271212500000001</v>
      </c>
      <c r="R122" s="12">
        <v>23271.212500000001</v>
      </c>
      <c r="S122" s="4">
        <f t="shared" si="21"/>
        <v>4.1431347263915326</v>
      </c>
      <c r="T122" s="13">
        <v>1960</v>
      </c>
      <c r="U122" s="14">
        <v>134.21</v>
      </c>
      <c r="V122" s="14">
        <v>177.31</v>
      </c>
      <c r="W122" s="4">
        <f t="shared" si="22"/>
        <v>17.614513730895045</v>
      </c>
      <c r="X122" s="18">
        <f t="shared" si="23"/>
        <v>8.8786744609290089</v>
      </c>
      <c r="Y122" s="18">
        <f t="shared" si="24"/>
        <v>3.0455858995852818</v>
      </c>
      <c r="Z122" s="18">
        <f t="shared" si="25"/>
        <v>1.9152599052083938</v>
      </c>
      <c r="AA122" s="12">
        <f t="shared" si="26"/>
        <v>1.2073186848040598</v>
      </c>
      <c r="AB122">
        <f t="shared" si="27"/>
        <v>6.9301632119038326</v>
      </c>
      <c r="AC122" s="18">
        <f t="shared" si="16"/>
        <v>0.19778357451689757</v>
      </c>
      <c r="AD122" s="18">
        <f t="shared" si="28"/>
        <v>4.7049794705254611</v>
      </c>
      <c r="AE122" s="12">
        <v>1960.1969999999999</v>
      </c>
      <c r="AF122" s="12">
        <v>1478.154</v>
      </c>
      <c r="AG122" s="8">
        <f t="shared" si="29"/>
        <v>0.32611148770696413</v>
      </c>
      <c r="AH122">
        <f t="shared" si="30"/>
        <v>6.3166348861221122</v>
      </c>
      <c r="AI122">
        <f t="shared" si="31"/>
        <v>13.956898537600583</v>
      </c>
    </row>
    <row r="123" spans="1:35" x14ac:dyDescent="0.3">
      <c r="A123" t="s">
        <v>86</v>
      </c>
      <c r="B123" s="11">
        <v>2022</v>
      </c>
      <c r="C123" s="12">
        <v>319.10700000000003</v>
      </c>
      <c r="D123" s="12">
        <v>1770.2460000000001</v>
      </c>
      <c r="E123" s="12">
        <v>336.00400000000002</v>
      </c>
      <c r="F123" s="12">
        <v>313.822</v>
      </c>
      <c r="G123" s="12">
        <v>2106.25</v>
      </c>
      <c r="H123" s="12">
        <v>443.41800000000001</v>
      </c>
      <c r="I123" s="12">
        <v>1662.8320000000001</v>
      </c>
      <c r="J123" s="12">
        <v>438.5</v>
      </c>
      <c r="K123" s="4">
        <f t="shared" si="17"/>
        <v>3.1565074996312901</v>
      </c>
      <c r="L123" s="5">
        <v>3.1565074996312899E-2</v>
      </c>
      <c r="M123" s="19">
        <f t="shared" si="18"/>
        <v>8.1235144676734308</v>
      </c>
      <c r="N123" s="5">
        <v>8.1235144676734303E-2</v>
      </c>
      <c r="O123" s="19">
        <f t="shared" si="19"/>
        <v>8.01</v>
      </c>
      <c r="P123" s="8">
        <v>8.0100000000000005E-2</v>
      </c>
      <c r="Q123" s="19">
        <f t="shared" si="20"/>
        <v>23.271212500000001</v>
      </c>
      <c r="R123" s="12">
        <v>23271.212500000001</v>
      </c>
      <c r="S123" s="4">
        <f t="shared" si="21"/>
        <v>3.9889840465642745</v>
      </c>
      <c r="T123" s="13">
        <v>1969</v>
      </c>
      <c r="U123" s="14">
        <v>134.21</v>
      </c>
      <c r="V123" s="14">
        <v>177.31</v>
      </c>
      <c r="W123" s="4">
        <f t="shared" si="22"/>
        <v>17.614513730895045</v>
      </c>
      <c r="X123" s="18">
        <f t="shared" si="23"/>
        <v>19.190573671904318</v>
      </c>
      <c r="Y123" s="18">
        <f t="shared" si="24"/>
        <v>15.150480712166173</v>
      </c>
      <c r="Z123" s="18">
        <f t="shared" si="25"/>
        <v>0.26666434131650102</v>
      </c>
      <c r="AA123" s="12">
        <f t="shared" si="26"/>
        <v>4.0370490307867737</v>
      </c>
      <c r="AB123">
        <f t="shared" si="27"/>
        <v>7.0799349670198657</v>
      </c>
      <c r="AC123" s="18">
        <f t="shared" si="16"/>
        <v>0.14899560830860534</v>
      </c>
      <c r="AD123" s="18">
        <f t="shared" si="28"/>
        <v>4.7049794705254611</v>
      </c>
      <c r="AE123" s="12">
        <v>2212.2930000000001</v>
      </c>
      <c r="AF123" s="12">
        <v>2219.0819999999999</v>
      </c>
      <c r="AG123" s="8">
        <f t="shared" si="29"/>
        <v>-3.0593732002691925E-3</v>
      </c>
      <c r="AH123">
        <f t="shared" si="30"/>
        <v>22.025948073014806</v>
      </c>
      <c r="AI123">
        <f t="shared" si="31"/>
        <v>33.943370685414784</v>
      </c>
    </row>
    <row r="124" spans="1:35" x14ac:dyDescent="0.3">
      <c r="A124" t="s">
        <v>87</v>
      </c>
      <c r="B124" s="11">
        <v>2022</v>
      </c>
      <c r="C124" s="12">
        <v>2012.92</v>
      </c>
      <c r="D124" s="12">
        <v>7640.3620000000001</v>
      </c>
      <c r="E124" s="12">
        <v>3942.9279999999999</v>
      </c>
      <c r="F124" s="12">
        <v>2823.5059999999999</v>
      </c>
      <c r="G124" s="12">
        <v>11583.29</v>
      </c>
      <c r="H124" s="12">
        <v>3888.902</v>
      </c>
      <c r="I124" s="12">
        <v>7694.3879999999999</v>
      </c>
      <c r="J124" s="12">
        <v>3698.13</v>
      </c>
      <c r="K124" s="4">
        <f t="shared" si="17"/>
        <v>3.1565074996312901</v>
      </c>
      <c r="L124" s="5">
        <v>3.1565074996312899E-2</v>
      </c>
      <c r="M124" s="19">
        <f t="shared" si="18"/>
        <v>8.1235144676734308</v>
      </c>
      <c r="N124" s="5">
        <v>8.1235144676734303E-2</v>
      </c>
      <c r="O124" s="19">
        <f t="shared" si="19"/>
        <v>8.01</v>
      </c>
      <c r="P124" s="8">
        <v>8.0100000000000005E-2</v>
      </c>
      <c r="Q124" s="19">
        <f t="shared" si="20"/>
        <v>23.271212500000001</v>
      </c>
      <c r="R124" s="12">
        <v>23271.212500000001</v>
      </c>
      <c r="S124" s="4">
        <f t="shared" si="21"/>
        <v>3.2580965380214821</v>
      </c>
      <c r="T124" s="13">
        <v>1997</v>
      </c>
      <c r="U124" s="14">
        <v>134.21</v>
      </c>
      <c r="V124" s="14">
        <v>177.31</v>
      </c>
      <c r="W124" s="4">
        <f t="shared" si="22"/>
        <v>17.614513730895045</v>
      </c>
      <c r="X124" s="18">
        <f t="shared" si="23"/>
        <v>26.160885050247014</v>
      </c>
      <c r="Y124" s="18">
        <f t="shared" si="24"/>
        <v>17.37779162914854</v>
      </c>
      <c r="Z124" s="18">
        <f t="shared" si="25"/>
        <v>0.50542057405995122</v>
      </c>
      <c r="AA124" s="12">
        <f t="shared" si="26"/>
        <v>2.0660068737442976</v>
      </c>
      <c r="AB124">
        <f t="shared" si="27"/>
        <v>8.7845893942298314</v>
      </c>
      <c r="AC124" s="18">
        <f t="shared" si="16"/>
        <v>0.24375682556510281</v>
      </c>
      <c r="AD124" s="18">
        <f t="shared" si="28"/>
        <v>4.7049794705254611</v>
      </c>
      <c r="AE124" s="12">
        <v>13463.915999999999</v>
      </c>
      <c r="AF124" s="12">
        <v>9060.3289999999997</v>
      </c>
      <c r="AG124" s="8">
        <f t="shared" si="29"/>
        <v>0.48602948082790365</v>
      </c>
      <c r="AH124">
        <f t="shared" si="30"/>
        <v>12.664239386735094</v>
      </c>
      <c r="AI124">
        <f t="shared" si="31"/>
        <v>18.806315282474408</v>
      </c>
    </row>
    <row r="125" spans="1:35" x14ac:dyDescent="0.3">
      <c r="A125" t="s">
        <v>88</v>
      </c>
      <c r="B125" s="11">
        <v>2022</v>
      </c>
      <c r="C125" s="12">
        <v>8577.5750000000007</v>
      </c>
      <c r="D125" s="12">
        <v>31560.382000000001</v>
      </c>
      <c r="E125" s="12">
        <v>16922.281999999999</v>
      </c>
      <c r="F125" s="12">
        <v>11903.208000000001</v>
      </c>
      <c r="G125" s="12">
        <v>48482.663999999997</v>
      </c>
      <c r="H125" s="12">
        <v>15666.146000000001</v>
      </c>
      <c r="I125" s="12">
        <v>32816.517999999996</v>
      </c>
      <c r="J125" s="12">
        <v>15308.42</v>
      </c>
      <c r="K125" s="4">
        <f t="shared" si="17"/>
        <v>3.1565074996312901</v>
      </c>
      <c r="L125" s="5">
        <v>3.1565074996312899E-2</v>
      </c>
      <c r="M125" s="19">
        <f t="shared" si="18"/>
        <v>8.1235144676734308</v>
      </c>
      <c r="N125" s="5">
        <v>8.1235144676734303E-2</v>
      </c>
      <c r="O125" s="19">
        <f t="shared" si="19"/>
        <v>8.01</v>
      </c>
      <c r="P125" s="8">
        <v>8.0100000000000005E-2</v>
      </c>
      <c r="Q125" s="19">
        <f t="shared" si="20"/>
        <v>23.271212500000001</v>
      </c>
      <c r="R125" s="12">
        <v>23271.212500000001</v>
      </c>
      <c r="S125" s="4">
        <f t="shared" si="21"/>
        <v>3.8501476017100584</v>
      </c>
      <c r="T125" s="13">
        <v>1976</v>
      </c>
      <c r="U125" s="14">
        <v>134.21</v>
      </c>
      <c r="V125" s="14">
        <v>177.31</v>
      </c>
      <c r="W125" s="4">
        <f t="shared" si="22"/>
        <v>17.614513730895045</v>
      </c>
      <c r="X125" s="18">
        <f t="shared" si="23"/>
        <v>26.137980269570349</v>
      </c>
      <c r="Y125" s="18">
        <f t="shared" si="24"/>
        <v>17.692045552612377</v>
      </c>
      <c r="Z125" s="18">
        <f t="shared" si="25"/>
        <v>0.47738599201780035</v>
      </c>
      <c r="AA125" s="12">
        <f t="shared" si="26"/>
        <v>2.0616354921017321</v>
      </c>
      <c r="AB125">
        <f t="shared" si="27"/>
        <v>10.216232142647717</v>
      </c>
      <c r="AC125" s="18">
        <f t="shared" si="16"/>
        <v>0.24551472666600996</v>
      </c>
      <c r="AD125" s="18">
        <f t="shared" si="28"/>
        <v>4.7049794705254611</v>
      </c>
      <c r="AE125" s="12">
        <v>60074.73</v>
      </c>
      <c r="AF125" s="12">
        <v>61012.074000000001</v>
      </c>
      <c r="AG125" s="8">
        <f t="shared" si="29"/>
        <v>-1.5363254165068988E-2</v>
      </c>
      <c r="AH125">
        <f t="shared" si="30"/>
        <v>19.936352764753543</v>
      </c>
      <c r="AI125">
        <f t="shared" si="31"/>
        <v>29.658304573313213</v>
      </c>
    </row>
    <row r="126" spans="1:35" x14ac:dyDescent="0.3">
      <c r="A126" s="2" t="s">
        <v>27</v>
      </c>
      <c r="B126" s="3">
        <v>2021</v>
      </c>
      <c r="C126" s="4">
        <v>0.22600000000000001</v>
      </c>
      <c r="D126" s="4">
        <v>163.042</v>
      </c>
      <c r="E126" s="4">
        <v>38.045000000000002</v>
      </c>
      <c r="F126" s="4">
        <v>26.236999999999998</v>
      </c>
      <c r="G126" s="4">
        <v>201.08799999999999</v>
      </c>
      <c r="H126" s="4">
        <v>6.7610000000000001</v>
      </c>
      <c r="I126" s="4">
        <v>194.32599999999999</v>
      </c>
      <c r="J126" s="4">
        <v>5.54</v>
      </c>
      <c r="K126" s="4">
        <f t="shared" si="17"/>
        <v>1.8347155481044399</v>
      </c>
      <c r="L126" s="5">
        <v>1.8347155481044399E-2</v>
      </c>
      <c r="M126" s="19">
        <f t="shared" si="18"/>
        <v>2.5537285264813079</v>
      </c>
      <c r="N126" s="5">
        <v>2.5537285264813078E-2</v>
      </c>
      <c r="O126" s="19">
        <f t="shared" si="19"/>
        <v>7.8100000000000005</v>
      </c>
      <c r="P126" s="5">
        <v>7.8100000000000003E-2</v>
      </c>
      <c r="Q126" s="19">
        <f t="shared" si="20"/>
        <v>23.159782592592602</v>
      </c>
      <c r="R126" s="4">
        <v>23159.782592592601</v>
      </c>
      <c r="S126" s="4">
        <f t="shared" si="21"/>
        <v>3.7612001156935624</v>
      </c>
      <c r="T126" s="6">
        <v>1979</v>
      </c>
      <c r="U126" s="7">
        <v>124.27</v>
      </c>
      <c r="V126" s="7">
        <v>171.88</v>
      </c>
      <c r="W126" s="4">
        <f t="shared" si="22"/>
        <v>16.744625219813141</v>
      </c>
      <c r="X126" s="18">
        <f t="shared" si="23"/>
        <v>0.11629941438613466</v>
      </c>
      <c r="Y126" s="18">
        <f t="shared" si="24"/>
        <v>0.11238860598345003</v>
      </c>
      <c r="Z126" s="18">
        <f t="shared" si="25"/>
        <v>3.4792050471887451E-2</v>
      </c>
      <c r="AA126" s="12">
        <f t="shared" si="26"/>
        <v>29.429963898916967</v>
      </c>
      <c r="AB126">
        <f t="shared" si="27"/>
        <v>4.7621162502743983</v>
      </c>
      <c r="AC126" s="18">
        <f t="shared" si="16"/>
        <v>0.13047521483131763</v>
      </c>
      <c r="AD126" s="18">
        <f t="shared" si="28"/>
        <v>5.8676301296024747</v>
      </c>
      <c r="AE126" s="12">
        <v>134.11000000000001</v>
      </c>
      <c r="AF126" s="12">
        <v>122.651</v>
      </c>
      <c r="AG126" s="8">
        <f t="shared" si="29"/>
        <v>9.3427693210817828E-2</v>
      </c>
      <c r="AH126">
        <f t="shared" si="30"/>
        <v>-5.6764333385510799</v>
      </c>
      <c r="AI126">
        <f t="shared" si="31"/>
        <v>-6.1653469070226325</v>
      </c>
    </row>
    <row r="127" spans="1:35" x14ac:dyDescent="0.3">
      <c r="A127" t="s">
        <v>28</v>
      </c>
      <c r="B127" s="11">
        <v>2021</v>
      </c>
      <c r="C127" s="12">
        <v>28.814</v>
      </c>
      <c r="D127" s="12">
        <v>343.22300000000001</v>
      </c>
      <c r="E127" s="12">
        <v>633.38900000000001</v>
      </c>
      <c r="F127" s="12">
        <v>434.928</v>
      </c>
      <c r="G127" s="12">
        <v>976.61199999999997</v>
      </c>
      <c r="H127" s="12">
        <v>307.87599999999998</v>
      </c>
      <c r="I127" s="12">
        <v>668.73699999999997</v>
      </c>
      <c r="J127" s="12">
        <v>115.7</v>
      </c>
      <c r="K127" s="4">
        <f t="shared" si="17"/>
        <v>1.8347155481044399</v>
      </c>
      <c r="L127" s="5">
        <v>1.8347155481044399E-2</v>
      </c>
      <c r="M127" s="19">
        <f t="shared" si="18"/>
        <v>2.5537285264813079</v>
      </c>
      <c r="N127" s="5">
        <v>2.5537285264813078E-2</v>
      </c>
      <c r="O127" s="19">
        <f t="shared" si="19"/>
        <v>7.8100000000000005</v>
      </c>
      <c r="P127" s="8">
        <v>7.8100000000000003E-2</v>
      </c>
      <c r="Q127" s="19">
        <f t="shared" si="20"/>
        <v>23.159782592592602</v>
      </c>
      <c r="R127" s="12">
        <v>23159.782592592601</v>
      </c>
      <c r="S127" s="4">
        <f t="shared" si="21"/>
        <v>3.2958368660043291</v>
      </c>
      <c r="T127" s="13">
        <v>1995</v>
      </c>
      <c r="U127" s="14">
        <v>124.27</v>
      </c>
      <c r="V127" s="14">
        <v>171.88</v>
      </c>
      <c r="W127" s="4">
        <f t="shared" si="22"/>
        <v>16.744625219813141</v>
      </c>
      <c r="X127" s="18">
        <f t="shared" si="23"/>
        <v>4.3087192722998724</v>
      </c>
      <c r="Y127" s="18">
        <f t="shared" si="24"/>
        <v>2.9504040499195177</v>
      </c>
      <c r="Z127" s="18">
        <f t="shared" si="25"/>
        <v>0.46038427662892883</v>
      </c>
      <c r="AA127" s="12">
        <f t="shared" si="26"/>
        <v>2.9664909248055316</v>
      </c>
      <c r="AB127">
        <f t="shared" si="27"/>
        <v>6.3424630661615247</v>
      </c>
      <c r="AC127" s="18">
        <f t="shared" si="16"/>
        <v>0.4453436984186146</v>
      </c>
      <c r="AD127" s="18">
        <f t="shared" si="28"/>
        <v>5.8676301296024747</v>
      </c>
      <c r="AE127" s="12">
        <v>473.17500000000001</v>
      </c>
      <c r="AF127" s="12">
        <v>287.09899999999999</v>
      </c>
      <c r="AG127" s="8">
        <f t="shared" si="29"/>
        <v>0.64812486285218696</v>
      </c>
      <c r="AH127">
        <f t="shared" si="30"/>
        <v>2.4209124898252004</v>
      </c>
      <c r="AI127">
        <f t="shared" si="31"/>
        <v>3.3035718488047552</v>
      </c>
    </row>
    <row r="128" spans="1:35" x14ac:dyDescent="0.3">
      <c r="A128" t="s">
        <v>29</v>
      </c>
      <c r="B128" s="11">
        <v>2021</v>
      </c>
      <c r="C128" s="12">
        <v>65.352000000000004</v>
      </c>
      <c r="D128" s="12">
        <v>1282.1099999999999</v>
      </c>
      <c r="E128" s="12">
        <v>310.84199999999998</v>
      </c>
      <c r="F128" s="12">
        <v>13.01</v>
      </c>
      <c r="G128" s="12">
        <v>1592.952</v>
      </c>
      <c r="H128" s="12">
        <v>666.548</v>
      </c>
      <c r="I128" s="12">
        <v>926.404</v>
      </c>
      <c r="J128" s="12">
        <v>666.16</v>
      </c>
      <c r="K128" s="4">
        <f t="shared" si="17"/>
        <v>1.8347155481044399</v>
      </c>
      <c r="L128" s="5">
        <v>1.8347155481044399E-2</v>
      </c>
      <c r="M128" s="19">
        <f t="shared" si="18"/>
        <v>2.5537285264813079</v>
      </c>
      <c r="N128" s="5">
        <v>2.5537285264813078E-2</v>
      </c>
      <c r="O128" s="19">
        <f t="shared" si="19"/>
        <v>7.8100000000000005</v>
      </c>
      <c r="P128" s="8">
        <v>7.8100000000000003E-2</v>
      </c>
      <c r="Q128" s="19">
        <f t="shared" si="20"/>
        <v>23.159782592592602</v>
      </c>
      <c r="R128" s="12">
        <v>23159.782592592601</v>
      </c>
      <c r="S128" s="4">
        <f t="shared" si="21"/>
        <v>3.8501476017100584</v>
      </c>
      <c r="T128" s="13">
        <v>1975</v>
      </c>
      <c r="U128" s="14">
        <v>124.27</v>
      </c>
      <c r="V128" s="14">
        <v>171.88</v>
      </c>
      <c r="W128" s="4">
        <f t="shared" si="22"/>
        <v>16.744625219813141</v>
      </c>
      <c r="X128" s="18">
        <f t="shared" si="23"/>
        <v>7.0543736857785593</v>
      </c>
      <c r="Y128" s="18">
        <f t="shared" si="24"/>
        <v>4.1025718289063322</v>
      </c>
      <c r="Z128" s="18">
        <f t="shared" si="25"/>
        <v>0.71950034758053727</v>
      </c>
      <c r="AA128" s="12">
        <f t="shared" si="26"/>
        <v>1.9246277170649693</v>
      </c>
      <c r="AB128">
        <f t="shared" si="27"/>
        <v>6.8317178047106308</v>
      </c>
      <c r="AC128" s="18">
        <f t="shared" si="16"/>
        <v>8.167226633319773E-3</v>
      </c>
      <c r="AD128" s="18">
        <f t="shared" si="28"/>
        <v>5.8676301296024747</v>
      </c>
      <c r="AE128" s="12">
        <v>1198.6990000000001</v>
      </c>
      <c r="AF128" s="12">
        <v>1103.9960000000001</v>
      </c>
      <c r="AG128" s="8">
        <f t="shared" si="29"/>
        <v>8.5782013702948162E-2</v>
      </c>
      <c r="AH128">
        <f t="shared" si="30"/>
        <v>4.0945358329572956</v>
      </c>
      <c r="AI128">
        <f t="shared" si="31"/>
        <v>11.00655660875838</v>
      </c>
    </row>
    <row r="129" spans="1:35" x14ac:dyDescent="0.3">
      <c r="A129" t="s">
        <v>30</v>
      </c>
      <c r="B129" s="11">
        <v>2021</v>
      </c>
      <c r="C129" s="12">
        <v>33.792999999999999</v>
      </c>
      <c r="D129" s="12">
        <v>295.33600000000001</v>
      </c>
      <c r="E129" s="12">
        <v>298.93799999999999</v>
      </c>
      <c r="F129" s="12">
        <v>62.64</v>
      </c>
      <c r="G129" s="12">
        <v>594.274</v>
      </c>
      <c r="H129" s="12">
        <v>175.678</v>
      </c>
      <c r="I129" s="12">
        <v>418.596</v>
      </c>
      <c r="J129" s="12">
        <v>171.51</v>
      </c>
      <c r="K129" s="4">
        <f t="shared" si="17"/>
        <v>1.8347155481044399</v>
      </c>
      <c r="L129" s="5">
        <v>1.8347155481044399E-2</v>
      </c>
      <c r="M129" s="19">
        <f t="shared" si="18"/>
        <v>2.5537285264813079</v>
      </c>
      <c r="N129" s="5">
        <v>2.5537285264813078E-2</v>
      </c>
      <c r="O129" s="19">
        <f t="shared" si="19"/>
        <v>7.8100000000000005</v>
      </c>
      <c r="P129" s="8">
        <v>7.8100000000000003E-2</v>
      </c>
      <c r="Q129" s="19">
        <f t="shared" si="20"/>
        <v>23.159782592592602</v>
      </c>
      <c r="R129" s="12">
        <v>23159.782592592601</v>
      </c>
      <c r="S129" s="4">
        <f t="shared" si="21"/>
        <v>3.8066624897703196</v>
      </c>
      <c r="T129" s="13">
        <v>1977</v>
      </c>
      <c r="U129" s="14">
        <v>124.27</v>
      </c>
      <c r="V129" s="14">
        <v>171.88</v>
      </c>
      <c r="W129" s="4">
        <f t="shared" si="22"/>
        <v>16.744625219813141</v>
      </c>
      <c r="X129" s="18">
        <f t="shared" si="23"/>
        <v>8.0729390629628561</v>
      </c>
      <c r="Y129" s="18">
        <f t="shared" si="24"/>
        <v>5.6864342037511308</v>
      </c>
      <c r="Z129" s="18">
        <f t="shared" si="25"/>
        <v>0.41968389568939979</v>
      </c>
      <c r="AA129" s="12">
        <f t="shared" si="26"/>
        <v>1.7219753950206986</v>
      </c>
      <c r="AB129">
        <f t="shared" si="27"/>
        <v>5.845714119548556</v>
      </c>
      <c r="AC129" s="18">
        <f t="shared" si="16"/>
        <v>0.10540592386676853</v>
      </c>
      <c r="AD129" s="18">
        <f t="shared" si="28"/>
        <v>5.8676301296024747</v>
      </c>
      <c r="AE129" s="12">
        <v>343.46199999999999</v>
      </c>
      <c r="AF129" s="12">
        <v>331.31400000000002</v>
      </c>
      <c r="AG129" s="8">
        <f t="shared" si="29"/>
        <v>3.6666123375408123E-2</v>
      </c>
      <c r="AH129">
        <f t="shared" si="30"/>
        <v>2.6280406492849591</v>
      </c>
      <c r="AI129">
        <f t="shared" si="31"/>
        <v>3.4790824066250612</v>
      </c>
    </row>
    <row r="130" spans="1:35" x14ac:dyDescent="0.3">
      <c r="A130" t="s">
        <v>31</v>
      </c>
      <c r="B130" s="11">
        <v>2021</v>
      </c>
      <c r="C130" s="12">
        <v>42.088000000000001</v>
      </c>
      <c r="D130" s="12">
        <v>1158.3620000000001</v>
      </c>
      <c r="E130" s="12">
        <v>299.81700000000001</v>
      </c>
      <c r="F130" s="12">
        <v>284.97500000000002</v>
      </c>
      <c r="G130" s="12">
        <v>1458.1790000000001</v>
      </c>
      <c r="H130" s="12">
        <v>751.72699999999998</v>
      </c>
      <c r="I130" s="12">
        <v>706.45299999999997</v>
      </c>
      <c r="J130" s="12">
        <v>751.73</v>
      </c>
      <c r="K130" s="4">
        <f t="shared" si="17"/>
        <v>1.8347155481044399</v>
      </c>
      <c r="L130" s="5">
        <v>1.8347155481044399E-2</v>
      </c>
      <c r="M130" s="19">
        <f t="shared" si="18"/>
        <v>2.5537285264813079</v>
      </c>
      <c r="N130" s="5">
        <v>2.5537285264813078E-2</v>
      </c>
      <c r="O130" s="19">
        <f t="shared" si="19"/>
        <v>7.8100000000000005</v>
      </c>
      <c r="P130" s="8">
        <v>7.8100000000000003E-2</v>
      </c>
      <c r="Q130" s="19">
        <f t="shared" si="20"/>
        <v>23.159782592592602</v>
      </c>
      <c r="R130" s="12">
        <v>23159.782592592601</v>
      </c>
      <c r="S130" s="4">
        <f t="shared" si="21"/>
        <v>2.9444389791664403</v>
      </c>
      <c r="T130" s="13">
        <v>2003</v>
      </c>
      <c r="U130" s="14">
        <v>124.27</v>
      </c>
      <c r="V130" s="14">
        <v>171.88</v>
      </c>
      <c r="W130" s="4">
        <f t="shared" si="22"/>
        <v>16.744625219813141</v>
      </c>
      <c r="X130" s="18">
        <f t="shared" si="23"/>
        <v>5.9576504027868804</v>
      </c>
      <c r="Y130" s="18">
        <f t="shared" si="24"/>
        <v>2.8863397429259372</v>
      </c>
      <c r="Z130" s="18">
        <f t="shared" si="25"/>
        <v>1.0640863581866027</v>
      </c>
      <c r="AA130" s="12">
        <f t="shared" si="26"/>
        <v>1.5409282588163304</v>
      </c>
      <c r="AB130">
        <f t="shared" si="27"/>
        <v>6.7433173030332352</v>
      </c>
      <c r="AC130" s="18">
        <f t="shared" ref="AC130:AC193" si="32">F130/G130</f>
        <v>0.19543211087253348</v>
      </c>
      <c r="AD130" s="18">
        <f t="shared" si="28"/>
        <v>5.8676301296024747</v>
      </c>
      <c r="AE130" s="12">
        <v>1224.0229999999999</v>
      </c>
      <c r="AF130" s="12">
        <v>959.13300000000004</v>
      </c>
      <c r="AG130" s="8">
        <f t="shared" si="29"/>
        <v>0.27617650523962772</v>
      </c>
      <c r="AH130">
        <f t="shared" si="30"/>
        <v>1.698239634790804</v>
      </c>
      <c r="AI130">
        <f t="shared" si="31"/>
        <v>4.0582610949514732</v>
      </c>
    </row>
    <row r="131" spans="1:35" x14ac:dyDescent="0.3">
      <c r="A131" t="s">
        <v>32</v>
      </c>
      <c r="B131" s="11">
        <v>2021</v>
      </c>
      <c r="C131" s="12">
        <v>100.486</v>
      </c>
      <c r="D131" s="12">
        <v>1605.9359999999999</v>
      </c>
      <c r="E131" s="12">
        <v>379.233</v>
      </c>
      <c r="F131" s="12">
        <v>224.756</v>
      </c>
      <c r="G131" s="12">
        <v>1985.1690000000001</v>
      </c>
      <c r="H131" s="12">
        <v>1401.2660000000001</v>
      </c>
      <c r="I131" s="12">
        <v>583.90200000000004</v>
      </c>
      <c r="J131" s="12">
        <v>1299.46</v>
      </c>
      <c r="K131" s="4">
        <f t="shared" ref="K131:K194" si="33">L131*100</f>
        <v>1.8347155481044399</v>
      </c>
      <c r="L131" s="5">
        <v>1.8347155481044399E-2</v>
      </c>
      <c r="M131" s="19">
        <f t="shared" ref="M131:M194" si="34">N131*100</f>
        <v>2.5537285264813079</v>
      </c>
      <c r="N131" s="5">
        <v>2.5537285264813078E-2</v>
      </c>
      <c r="O131" s="19">
        <f t="shared" ref="O131:O194" si="35">P131*100</f>
        <v>7.8100000000000005</v>
      </c>
      <c r="P131" s="8">
        <v>7.8100000000000003E-2</v>
      </c>
      <c r="Q131" s="19">
        <f t="shared" ref="Q131:Q194" si="36">R131/1000</f>
        <v>23.159782592592602</v>
      </c>
      <c r="R131" s="12">
        <v>23159.782592592601</v>
      </c>
      <c r="S131" s="4">
        <f t="shared" ref="S131:S194" si="37">LN(B131-T131+1)</f>
        <v>2.7725887222397811</v>
      </c>
      <c r="T131" s="13">
        <v>2006</v>
      </c>
      <c r="U131" s="14">
        <v>124.27</v>
      </c>
      <c r="V131" s="14">
        <v>171.88</v>
      </c>
      <c r="W131" s="4">
        <f t="shared" ref="W131:W194" si="38">R131*U131/(1000*V131)</f>
        <v>16.744625219813141</v>
      </c>
      <c r="X131" s="18">
        <f t="shared" ref="X131:X194" si="39">C131/I131*100</f>
        <v>17.20939472719737</v>
      </c>
      <c r="Y131" s="18">
        <f t="shared" ref="Y131:Y194" si="40">C131/G131*100</f>
        <v>5.0618360451931297</v>
      </c>
      <c r="Z131" s="18">
        <f t="shared" ref="Z131:Z194" si="41">H131/I131</f>
        <v>2.3998307935235705</v>
      </c>
      <c r="AA131" s="12">
        <f t="shared" ref="AA131:AA194" si="42">D131/J131</f>
        <v>1.2358487371677465</v>
      </c>
      <c r="AB131">
        <f t="shared" ref="AB131:AB194" si="43">LN(100*G131/V131)</f>
        <v>7.0518329551175514</v>
      </c>
      <c r="AC131" s="18">
        <f t="shared" si="32"/>
        <v>0.1132175648521612</v>
      </c>
      <c r="AD131" s="18">
        <f t="shared" ref="AD131:AD194" si="44">((100+O131)/(100+K131)-1)*100</f>
        <v>5.8676301296024747</v>
      </c>
      <c r="AE131" s="12">
        <v>1513.1510000000001</v>
      </c>
      <c r="AF131" s="12">
        <v>1339.2909999999999</v>
      </c>
      <c r="AG131" s="8">
        <f t="shared" ref="AG131:AG194" si="45">(AE131-AF131)/AF131</f>
        <v>0.12981495433031368</v>
      </c>
      <c r="AH131">
        <f t="shared" ref="AH131:AH194" si="46">C193*100/G193</f>
        <v>1.3298938838048611</v>
      </c>
      <c r="AI131">
        <f t="shared" ref="AI131:AI194" si="47">C193*100/I193</f>
        <v>5.7899674044875677</v>
      </c>
    </row>
    <row r="132" spans="1:35" x14ac:dyDescent="0.3">
      <c r="A132" t="s">
        <v>33</v>
      </c>
      <c r="B132" s="11">
        <v>2021</v>
      </c>
      <c r="C132" s="12">
        <v>44.712000000000003</v>
      </c>
      <c r="D132" s="12">
        <v>1301.4639999999999</v>
      </c>
      <c r="E132" s="12">
        <v>554.95299999999997</v>
      </c>
      <c r="F132" s="12">
        <v>283.74799999999999</v>
      </c>
      <c r="G132" s="12">
        <v>1856.4159999999999</v>
      </c>
      <c r="H132" s="12">
        <v>1373.7570000000001</v>
      </c>
      <c r="I132" s="12">
        <v>482.65899999999999</v>
      </c>
      <c r="J132" s="12">
        <v>1029.55</v>
      </c>
      <c r="K132" s="4">
        <f t="shared" si="33"/>
        <v>1.8347155481044399</v>
      </c>
      <c r="L132" s="5">
        <v>1.8347155481044399E-2</v>
      </c>
      <c r="M132" s="19">
        <f t="shared" si="34"/>
        <v>2.5537285264813079</v>
      </c>
      <c r="N132" s="5">
        <v>2.5537285264813078E-2</v>
      </c>
      <c r="O132" s="19">
        <f t="shared" si="35"/>
        <v>7.8100000000000005</v>
      </c>
      <c r="P132" s="8">
        <v>7.8100000000000003E-2</v>
      </c>
      <c r="Q132" s="19">
        <f t="shared" si="36"/>
        <v>23.159782592592602</v>
      </c>
      <c r="R132" s="12">
        <v>23159.782592592601</v>
      </c>
      <c r="S132" s="4">
        <f t="shared" si="37"/>
        <v>3.8286413964890951</v>
      </c>
      <c r="T132" s="13">
        <v>1976</v>
      </c>
      <c r="U132" s="14">
        <v>124.27</v>
      </c>
      <c r="V132" s="14">
        <v>171.88</v>
      </c>
      <c r="W132" s="4">
        <f t="shared" si="38"/>
        <v>16.744625219813141</v>
      </c>
      <c r="X132" s="18">
        <f t="shared" si="39"/>
        <v>9.2636830557391452</v>
      </c>
      <c r="Y132" s="18">
        <f t="shared" si="40"/>
        <v>2.4085118852670959</v>
      </c>
      <c r="Z132" s="18">
        <f t="shared" si="41"/>
        <v>2.8462268392384686</v>
      </c>
      <c r="AA132" s="12">
        <f t="shared" si="42"/>
        <v>1.2641095624301879</v>
      </c>
      <c r="AB132">
        <f t="shared" si="43"/>
        <v>6.9847766532433244</v>
      </c>
      <c r="AC132" s="18">
        <f t="shared" si="32"/>
        <v>0.15284720666057608</v>
      </c>
      <c r="AD132" s="18">
        <f t="shared" si="44"/>
        <v>5.8676301296024747</v>
      </c>
      <c r="AE132" s="12">
        <v>3931.4180000000001</v>
      </c>
      <c r="AF132" s="12">
        <v>1961.4</v>
      </c>
      <c r="AG132" s="8">
        <f t="shared" si="45"/>
        <v>1.004393800346691</v>
      </c>
      <c r="AH132">
        <f t="shared" si="46"/>
        <v>3.262958637289977</v>
      </c>
      <c r="AI132">
        <f t="shared" si="47"/>
        <v>5.6391902420798914</v>
      </c>
    </row>
    <row r="133" spans="1:35" x14ac:dyDescent="0.3">
      <c r="A133" t="s">
        <v>34</v>
      </c>
      <c r="B133" s="11">
        <v>2021</v>
      </c>
      <c r="C133" s="12">
        <v>128.739</v>
      </c>
      <c r="D133" s="12">
        <v>2916.5430000000001</v>
      </c>
      <c r="E133" s="12">
        <v>1970.6369999999999</v>
      </c>
      <c r="F133" s="12">
        <v>1046.1469999999999</v>
      </c>
      <c r="G133" s="12">
        <v>4887.18</v>
      </c>
      <c r="H133" s="12">
        <v>2551.5940000000001</v>
      </c>
      <c r="I133" s="12">
        <v>2335.5859999999998</v>
      </c>
      <c r="J133" s="12">
        <v>2336.52</v>
      </c>
      <c r="K133" s="4">
        <f t="shared" si="33"/>
        <v>1.8347155481044399</v>
      </c>
      <c r="L133" s="5">
        <v>1.8347155481044399E-2</v>
      </c>
      <c r="M133" s="19">
        <f t="shared" si="34"/>
        <v>2.5537285264813079</v>
      </c>
      <c r="N133" s="5">
        <v>2.5537285264813078E-2</v>
      </c>
      <c r="O133" s="19">
        <f t="shared" si="35"/>
        <v>7.8100000000000005</v>
      </c>
      <c r="P133" s="8">
        <v>7.8100000000000003E-2</v>
      </c>
      <c r="Q133" s="19">
        <f t="shared" si="36"/>
        <v>23.159782592592602</v>
      </c>
      <c r="R133" s="12">
        <v>23159.782592592601</v>
      </c>
      <c r="S133" s="4">
        <f t="shared" si="37"/>
        <v>3.3672958299864741</v>
      </c>
      <c r="T133" s="13">
        <v>1993</v>
      </c>
      <c r="U133" s="14">
        <v>124.27</v>
      </c>
      <c r="V133" s="14">
        <v>171.88</v>
      </c>
      <c r="W133" s="4">
        <f t="shared" si="38"/>
        <v>16.744625219813141</v>
      </c>
      <c r="X133" s="18">
        <f t="shared" si="39"/>
        <v>5.5120642100098225</v>
      </c>
      <c r="Y133" s="18">
        <f t="shared" si="40"/>
        <v>2.6342185063779109</v>
      </c>
      <c r="Z133" s="18">
        <f t="shared" si="41"/>
        <v>1.0924855689321653</v>
      </c>
      <c r="AA133" s="12">
        <f t="shared" si="42"/>
        <v>1.2482422577166041</v>
      </c>
      <c r="AB133">
        <f t="shared" si="43"/>
        <v>7.9527443560856783</v>
      </c>
      <c r="AC133" s="18">
        <f t="shared" si="32"/>
        <v>0.21405943713961834</v>
      </c>
      <c r="AD133" s="18">
        <f t="shared" si="44"/>
        <v>5.8676301296024747</v>
      </c>
      <c r="AE133" s="12">
        <v>3504.4259999999999</v>
      </c>
      <c r="AF133" s="12">
        <v>3477.498</v>
      </c>
      <c r="AG133" s="8">
        <f t="shared" si="45"/>
        <v>7.7434983427739955E-3</v>
      </c>
      <c r="AH133">
        <f t="shared" si="46"/>
        <v>4.1821815112699836</v>
      </c>
      <c r="AI133">
        <f t="shared" si="47"/>
        <v>8.6620502199253284</v>
      </c>
    </row>
    <row r="134" spans="1:35" x14ac:dyDescent="0.3">
      <c r="A134" t="s">
        <v>35</v>
      </c>
      <c r="B134" s="11">
        <v>2021</v>
      </c>
      <c r="C134" s="12">
        <v>703.88800000000003</v>
      </c>
      <c r="D134" s="12">
        <v>9278.48</v>
      </c>
      <c r="E134" s="12">
        <v>8890.634</v>
      </c>
      <c r="F134" s="12">
        <v>6713.54</v>
      </c>
      <c r="G134" s="12">
        <v>18169.114000000001</v>
      </c>
      <c r="H134" s="12">
        <v>10592.773999999999</v>
      </c>
      <c r="I134" s="12">
        <v>7576.34</v>
      </c>
      <c r="J134" s="12">
        <v>6531.47</v>
      </c>
      <c r="K134" s="4">
        <f t="shared" si="33"/>
        <v>1.8347155481044399</v>
      </c>
      <c r="L134" s="5">
        <v>1.8347155481044399E-2</v>
      </c>
      <c r="M134" s="19">
        <f t="shared" si="34"/>
        <v>2.5537285264813079</v>
      </c>
      <c r="N134" s="5">
        <v>2.5537285264813078E-2</v>
      </c>
      <c r="O134" s="19">
        <f t="shared" si="35"/>
        <v>7.8100000000000005</v>
      </c>
      <c r="P134" s="8">
        <v>7.8100000000000003E-2</v>
      </c>
      <c r="Q134" s="19">
        <f t="shared" si="36"/>
        <v>23.159782592592602</v>
      </c>
      <c r="R134" s="12">
        <v>23159.782592592601</v>
      </c>
      <c r="S134" s="4">
        <f t="shared" si="37"/>
        <v>3.2188758248682006</v>
      </c>
      <c r="T134" s="13">
        <v>1997</v>
      </c>
      <c r="U134" s="14">
        <v>124.27</v>
      </c>
      <c r="V134" s="14">
        <v>171.88</v>
      </c>
      <c r="W134" s="4">
        <f t="shared" si="38"/>
        <v>16.744625219813141</v>
      </c>
      <c r="X134" s="18">
        <f t="shared" si="39"/>
        <v>9.2906073381078471</v>
      </c>
      <c r="Y134" s="18">
        <f t="shared" si="40"/>
        <v>3.8740909435649971</v>
      </c>
      <c r="Z134" s="18">
        <f t="shared" si="41"/>
        <v>1.3981386790983508</v>
      </c>
      <c r="AA134" s="12">
        <f t="shared" si="42"/>
        <v>1.4205806656082014</v>
      </c>
      <c r="AB134">
        <f t="shared" si="43"/>
        <v>9.2658520255875221</v>
      </c>
      <c r="AC134" s="18">
        <f t="shared" si="32"/>
        <v>0.36950288274926335</v>
      </c>
      <c r="AD134" s="18">
        <f t="shared" si="44"/>
        <v>5.8676301296024747</v>
      </c>
      <c r="AE134" s="12">
        <v>11465.147999999999</v>
      </c>
      <c r="AF134" s="12">
        <v>12641.344999999999</v>
      </c>
      <c r="AG134" s="8">
        <f t="shared" si="45"/>
        <v>-9.3043659515660723E-2</v>
      </c>
      <c r="AH134">
        <f t="shared" si="46"/>
        <v>3.2511795926006815</v>
      </c>
      <c r="AI134">
        <f t="shared" si="47"/>
        <v>8.3286950192437281</v>
      </c>
    </row>
    <row r="135" spans="1:35" x14ac:dyDescent="0.3">
      <c r="A135" t="s">
        <v>36</v>
      </c>
      <c r="B135" s="11">
        <v>2021</v>
      </c>
      <c r="C135" s="12">
        <v>321.791</v>
      </c>
      <c r="D135" s="12">
        <v>4310.7290000000003</v>
      </c>
      <c r="E135" s="12">
        <v>1146.5170000000001</v>
      </c>
      <c r="F135" s="12">
        <v>541.16899999999998</v>
      </c>
      <c r="G135" s="12">
        <v>5457.2460000000001</v>
      </c>
      <c r="H135" s="12">
        <v>4002.4279999999999</v>
      </c>
      <c r="I135" s="12">
        <v>1454.818</v>
      </c>
      <c r="J135" s="12">
        <v>3851.38</v>
      </c>
      <c r="K135" s="4">
        <f t="shared" si="33"/>
        <v>1.8347155481044399</v>
      </c>
      <c r="L135" s="5">
        <v>1.8347155481044399E-2</v>
      </c>
      <c r="M135" s="19">
        <f t="shared" si="34"/>
        <v>2.5537285264813079</v>
      </c>
      <c r="N135" s="5">
        <v>2.5537285264813078E-2</v>
      </c>
      <c r="O135" s="19">
        <f t="shared" si="35"/>
        <v>7.8100000000000005</v>
      </c>
      <c r="P135" s="8">
        <v>7.8100000000000003E-2</v>
      </c>
      <c r="Q135" s="19">
        <f t="shared" si="36"/>
        <v>23.159782592592602</v>
      </c>
      <c r="R135" s="12">
        <v>23159.782592592601</v>
      </c>
      <c r="S135" s="4">
        <f t="shared" si="37"/>
        <v>1.6094379124341003</v>
      </c>
      <c r="T135" s="13">
        <v>2017</v>
      </c>
      <c r="U135" s="14">
        <v>124.27</v>
      </c>
      <c r="V135" s="14">
        <v>171.88</v>
      </c>
      <c r="W135" s="4">
        <f t="shared" si="38"/>
        <v>16.744625219813141</v>
      </c>
      <c r="X135" s="18">
        <f t="shared" si="39"/>
        <v>22.118986704866174</v>
      </c>
      <c r="Y135" s="18">
        <f t="shared" si="40"/>
        <v>5.8965822687853908</v>
      </c>
      <c r="Z135" s="18">
        <f t="shared" si="41"/>
        <v>2.7511537525656129</v>
      </c>
      <c r="AA135" s="12">
        <f t="shared" si="42"/>
        <v>1.119268677720713</v>
      </c>
      <c r="AB135">
        <f t="shared" si="43"/>
        <v>8.0630731729655984</v>
      </c>
      <c r="AC135" s="18">
        <f t="shared" si="32"/>
        <v>9.9165219966261361E-2</v>
      </c>
      <c r="AD135" s="18">
        <f t="shared" si="44"/>
        <v>5.8676301296024747</v>
      </c>
      <c r="AE135" s="12">
        <v>10434.950999999999</v>
      </c>
      <c r="AF135" s="12">
        <v>12845.638000000001</v>
      </c>
      <c r="AG135" s="8">
        <f t="shared" si="45"/>
        <v>-0.18766580531072116</v>
      </c>
      <c r="AH135">
        <f t="shared" si="46"/>
        <v>0.87358861786107189</v>
      </c>
      <c r="AI135">
        <f t="shared" si="47"/>
        <v>8.102541072299978</v>
      </c>
    </row>
    <row r="136" spans="1:35" x14ac:dyDescent="0.3">
      <c r="A136" t="s">
        <v>37</v>
      </c>
      <c r="B136" s="11">
        <v>2021</v>
      </c>
      <c r="C136" s="12">
        <v>22.4</v>
      </c>
      <c r="D136" s="12">
        <v>578.23099999999999</v>
      </c>
      <c r="E136" s="12">
        <v>1061.307</v>
      </c>
      <c r="F136" s="12">
        <v>607.03200000000004</v>
      </c>
      <c r="G136" s="12">
        <v>1639.538</v>
      </c>
      <c r="H136" s="12">
        <v>658.07399999999996</v>
      </c>
      <c r="I136" s="12">
        <v>981.46400000000006</v>
      </c>
      <c r="J136" s="12">
        <v>520.24</v>
      </c>
      <c r="K136" s="4">
        <f t="shared" si="33"/>
        <v>1.8347155481044399</v>
      </c>
      <c r="L136" s="5">
        <v>1.8347155481044399E-2</v>
      </c>
      <c r="M136" s="19">
        <f t="shared" si="34"/>
        <v>2.5537285264813079</v>
      </c>
      <c r="N136" s="5">
        <v>2.5537285264813078E-2</v>
      </c>
      <c r="O136" s="19">
        <f t="shared" si="35"/>
        <v>7.8100000000000005</v>
      </c>
      <c r="P136" s="8">
        <v>7.8100000000000003E-2</v>
      </c>
      <c r="Q136" s="19">
        <f t="shared" si="36"/>
        <v>23.159782592592602</v>
      </c>
      <c r="R136" s="12">
        <v>23159.782592592601</v>
      </c>
      <c r="S136" s="4">
        <f t="shared" si="37"/>
        <v>3.1354942159291497</v>
      </c>
      <c r="T136" s="13">
        <v>1999</v>
      </c>
      <c r="U136" s="14">
        <v>124.27</v>
      </c>
      <c r="V136" s="14">
        <v>171.88</v>
      </c>
      <c r="W136" s="4">
        <f t="shared" si="38"/>
        <v>16.744625219813141</v>
      </c>
      <c r="X136" s="18">
        <f t="shared" si="39"/>
        <v>2.2823048018062808</v>
      </c>
      <c r="Y136" s="18">
        <f t="shared" si="40"/>
        <v>1.3662385379295874</v>
      </c>
      <c r="Z136" s="18">
        <f t="shared" si="41"/>
        <v>0.6705024330999404</v>
      </c>
      <c r="AA136" s="12">
        <f t="shared" si="42"/>
        <v>1.1114697062894048</v>
      </c>
      <c r="AB136">
        <f t="shared" si="43"/>
        <v>6.8605434008955077</v>
      </c>
      <c r="AC136" s="18">
        <f t="shared" si="32"/>
        <v>0.3702457643555685</v>
      </c>
      <c r="AD136" s="18">
        <f t="shared" si="44"/>
        <v>5.8676301296024747</v>
      </c>
      <c r="AE136" s="12">
        <v>1102.529</v>
      </c>
      <c r="AF136" s="12">
        <v>1228.7629999999999</v>
      </c>
      <c r="AG136" s="8">
        <f t="shared" si="45"/>
        <v>-0.10273258553520893</v>
      </c>
      <c r="AH136">
        <f t="shared" si="46"/>
        <v>6.2611544797427516</v>
      </c>
      <c r="AI136">
        <f t="shared" si="47"/>
        <v>8.8175650393074161</v>
      </c>
    </row>
    <row r="137" spans="1:35" x14ac:dyDescent="0.3">
      <c r="A137" t="s">
        <v>38</v>
      </c>
      <c r="B137" s="11">
        <v>2021</v>
      </c>
      <c r="C137" s="12">
        <v>324.173</v>
      </c>
      <c r="D137" s="12">
        <v>4341.8760000000002</v>
      </c>
      <c r="E137" s="12">
        <v>2745.8539999999998</v>
      </c>
      <c r="F137" s="12">
        <v>2184.9290000000001</v>
      </c>
      <c r="G137" s="12">
        <v>7087.73</v>
      </c>
      <c r="H137" s="12">
        <v>2252.8510000000001</v>
      </c>
      <c r="I137" s="12">
        <v>4834.8779999999997</v>
      </c>
      <c r="J137" s="12">
        <v>2104.9899999999998</v>
      </c>
      <c r="K137" s="4">
        <f t="shared" si="33"/>
        <v>1.8347155481044399</v>
      </c>
      <c r="L137" s="5">
        <v>1.8347155481044399E-2</v>
      </c>
      <c r="M137" s="19">
        <f t="shared" si="34"/>
        <v>2.5537285264813079</v>
      </c>
      <c r="N137" s="5">
        <v>2.5537285264813078E-2</v>
      </c>
      <c r="O137" s="19">
        <f t="shared" si="35"/>
        <v>7.8100000000000005</v>
      </c>
      <c r="P137" s="8">
        <v>7.8100000000000003E-2</v>
      </c>
      <c r="Q137" s="19">
        <f t="shared" si="36"/>
        <v>23.159782592592602</v>
      </c>
      <c r="R137" s="12">
        <v>23159.782592592601</v>
      </c>
      <c r="S137" s="4">
        <f t="shared" si="37"/>
        <v>4.8828019225863706</v>
      </c>
      <c r="T137" s="13">
        <v>1890</v>
      </c>
      <c r="U137" s="14">
        <v>124.27</v>
      </c>
      <c r="V137" s="14">
        <v>171.88</v>
      </c>
      <c r="W137" s="4">
        <f t="shared" si="38"/>
        <v>16.744625219813141</v>
      </c>
      <c r="X137" s="18">
        <f t="shared" si="39"/>
        <v>6.704884797506784</v>
      </c>
      <c r="Y137" s="18">
        <f t="shared" si="40"/>
        <v>4.5737210644310657</v>
      </c>
      <c r="Z137" s="18">
        <f t="shared" si="41"/>
        <v>0.46595818963787716</v>
      </c>
      <c r="AA137" s="12">
        <f t="shared" si="42"/>
        <v>2.0626587299702139</v>
      </c>
      <c r="AB137">
        <f t="shared" si="43"/>
        <v>8.3244940260898836</v>
      </c>
      <c r="AC137" s="18">
        <f t="shared" si="32"/>
        <v>0.30826922018756359</v>
      </c>
      <c r="AD137" s="18">
        <f t="shared" si="44"/>
        <v>5.8676301296024747</v>
      </c>
      <c r="AE137" s="12">
        <v>7053.4129999999996</v>
      </c>
      <c r="AF137" s="12">
        <v>7514.3710000000001</v>
      </c>
      <c r="AG137" s="8">
        <f t="shared" si="45"/>
        <v>-6.1343524294980981E-2</v>
      </c>
      <c r="AH137">
        <f t="shared" si="46"/>
        <v>8.5968488367447371</v>
      </c>
      <c r="AI137">
        <f t="shared" si="47"/>
        <v>11.517472292921783</v>
      </c>
    </row>
    <row r="138" spans="1:35" x14ac:dyDescent="0.3">
      <c r="A138" t="s">
        <v>39</v>
      </c>
      <c r="B138" s="11">
        <v>2021</v>
      </c>
      <c r="C138" s="12">
        <v>23.472000000000001</v>
      </c>
      <c r="D138" s="12">
        <v>329.72199999999998</v>
      </c>
      <c r="E138" s="12">
        <v>133.60599999999999</v>
      </c>
      <c r="F138" s="12">
        <v>57.258000000000003</v>
      </c>
      <c r="G138" s="12">
        <v>463.327</v>
      </c>
      <c r="H138" s="12">
        <v>62.326999999999998</v>
      </c>
      <c r="I138" s="12">
        <v>401</v>
      </c>
      <c r="J138" s="12">
        <v>59.24</v>
      </c>
      <c r="K138" s="4">
        <f t="shared" si="33"/>
        <v>1.8347155481044399</v>
      </c>
      <c r="L138" s="5">
        <v>1.8347155481044399E-2</v>
      </c>
      <c r="M138" s="19">
        <f t="shared" si="34"/>
        <v>2.5537285264813079</v>
      </c>
      <c r="N138" s="5">
        <v>2.5537285264813078E-2</v>
      </c>
      <c r="O138" s="19">
        <f t="shared" si="35"/>
        <v>7.8100000000000005</v>
      </c>
      <c r="P138" s="8">
        <v>7.8100000000000003E-2</v>
      </c>
      <c r="Q138" s="19">
        <f t="shared" si="36"/>
        <v>23.159782592592602</v>
      </c>
      <c r="R138" s="12">
        <v>23159.782592592601</v>
      </c>
      <c r="S138" s="4">
        <f t="shared" si="37"/>
        <v>1.9459101490553132</v>
      </c>
      <c r="T138" s="13">
        <v>2015</v>
      </c>
      <c r="U138" s="14">
        <v>124.27</v>
      </c>
      <c r="V138" s="14">
        <v>171.88</v>
      </c>
      <c r="W138" s="4">
        <f t="shared" si="38"/>
        <v>16.744625219813141</v>
      </c>
      <c r="X138" s="18">
        <f t="shared" si="39"/>
        <v>5.8533665835411473</v>
      </c>
      <c r="Y138" s="18">
        <f t="shared" si="40"/>
        <v>5.0659685276273558</v>
      </c>
      <c r="Z138" s="18">
        <f t="shared" si="41"/>
        <v>0.155428927680798</v>
      </c>
      <c r="AA138" s="12">
        <f t="shared" si="42"/>
        <v>5.5658676569885204</v>
      </c>
      <c r="AB138">
        <f t="shared" si="43"/>
        <v>5.5968066953797537</v>
      </c>
      <c r="AC138" s="18">
        <f t="shared" si="32"/>
        <v>0.12358010649066427</v>
      </c>
      <c r="AD138" s="18">
        <f t="shared" si="44"/>
        <v>5.8676301296024747</v>
      </c>
      <c r="AE138" s="12">
        <v>366.75</v>
      </c>
      <c r="AF138" s="12">
        <v>361.267</v>
      </c>
      <c r="AG138" s="8">
        <f t="shared" si="45"/>
        <v>1.5177140452906034E-2</v>
      </c>
      <c r="AH138">
        <f t="shared" si="46"/>
        <v>4.4709431953056535</v>
      </c>
      <c r="AI138">
        <f t="shared" si="47"/>
        <v>5.3381471043207389</v>
      </c>
    </row>
    <row r="139" spans="1:35" x14ac:dyDescent="0.3">
      <c r="A139" t="s">
        <v>40</v>
      </c>
      <c r="B139" s="11">
        <v>2021</v>
      </c>
      <c r="C139" s="12">
        <v>135.42099999999999</v>
      </c>
      <c r="D139" s="12">
        <v>1006.965</v>
      </c>
      <c r="E139" s="12">
        <v>43.204000000000001</v>
      </c>
      <c r="F139" s="12">
        <v>31.033000000000001</v>
      </c>
      <c r="G139" s="12">
        <v>1050.1690000000001</v>
      </c>
      <c r="H139" s="12">
        <v>276.178</v>
      </c>
      <c r="I139" s="12">
        <v>773.99099999999999</v>
      </c>
      <c r="J139" s="12">
        <v>277.37</v>
      </c>
      <c r="K139" s="4">
        <f t="shared" si="33"/>
        <v>1.8347155481044399</v>
      </c>
      <c r="L139" s="5">
        <v>1.8347155481044399E-2</v>
      </c>
      <c r="M139" s="19">
        <f t="shared" si="34"/>
        <v>2.5537285264813079</v>
      </c>
      <c r="N139" s="5">
        <v>2.5537285264813078E-2</v>
      </c>
      <c r="O139" s="19">
        <f t="shared" si="35"/>
        <v>7.8100000000000005</v>
      </c>
      <c r="P139" s="8">
        <v>7.8100000000000003E-2</v>
      </c>
      <c r="Q139" s="19">
        <f t="shared" si="36"/>
        <v>23.159782592592602</v>
      </c>
      <c r="R139" s="12">
        <v>23159.782592592601</v>
      </c>
      <c r="S139" s="4">
        <f t="shared" si="37"/>
        <v>3.4011973816621555</v>
      </c>
      <c r="T139" s="13">
        <v>1992</v>
      </c>
      <c r="U139" s="14">
        <v>124.27</v>
      </c>
      <c r="V139" s="14">
        <v>171.88</v>
      </c>
      <c r="W139" s="4">
        <f t="shared" si="38"/>
        <v>16.744625219813141</v>
      </c>
      <c r="X139" s="18">
        <f t="shared" si="39"/>
        <v>17.496456677144824</v>
      </c>
      <c r="Y139" s="18">
        <f t="shared" si="40"/>
        <v>12.895162588116769</v>
      </c>
      <c r="Z139" s="18">
        <f t="shared" si="41"/>
        <v>0.3568232705548256</v>
      </c>
      <c r="AA139" s="12">
        <f t="shared" si="42"/>
        <v>3.6304034322385261</v>
      </c>
      <c r="AB139">
        <f t="shared" si="43"/>
        <v>6.4150800096623737</v>
      </c>
      <c r="AC139" s="18">
        <f t="shared" si="32"/>
        <v>2.9550481874822052E-2</v>
      </c>
      <c r="AD139" s="18">
        <f t="shared" si="44"/>
        <v>5.8676301296024747</v>
      </c>
      <c r="AE139" s="12">
        <v>2142.096</v>
      </c>
      <c r="AF139" s="12">
        <v>1899.749</v>
      </c>
      <c r="AG139" s="8">
        <f t="shared" si="45"/>
        <v>0.12756790502324253</v>
      </c>
      <c r="AH139">
        <f t="shared" si="46"/>
        <v>14.144928808055989</v>
      </c>
      <c r="AI139">
        <f t="shared" si="47"/>
        <v>17.648685121770288</v>
      </c>
    </row>
    <row r="140" spans="1:35" x14ac:dyDescent="0.3">
      <c r="A140" t="s">
        <v>41</v>
      </c>
      <c r="B140" s="11">
        <v>2021</v>
      </c>
      <c r="C140" s="12">
        <v>83.524000000000001</v>
      </c>
      <c r="D140" s="12">
        <v>1729.566</v>
      </c>
      <c r="E140" s="12">
        <v>692.01800000000003</v>
      </c>
      <c r="F140" s="12">
        <v>334.32600000000002</v>
      </c>
      <c r="G140" s="12">
        <v>2421.5839999999998</v>
      </c>
      <c r="H140" s="12">
        <v>1125.4280000000001</v>
      </c>
      <c r="I140" s="12">
        <v>1296.1559999999999</v>
      </c>
      <c r="J140" s="12">
        <v>896.55</v>
      </c>
      <c r="K140" s="4">
        <f t="shared" si="33"/>
        <v>1.8347155481044399</v>
      </c>
      <c r="L140" s="5">
        <v>1.8347155481044399E-2</v>
      </c>
      <c r="M140" s="19">
        <f t="shared" si="34"/>
        <v>2.5537285264813079</v>
      </c>
      <c r="N140" s="5">
        <v>2.5537285264813078E-2</v>
      </c>
      <c r="O140" s="19">
        <f t="shared" si="35"/>
        <v>7.8100000000000005</v>
      </c>
      <c r="P140" s="8">
        <v>7.8100000000000003E-2</v>
      </c>
      <c r="Q140" s="19">
        <f t="shared" si="36"/>
        <v>23.159782592592602</v>
      </c>
      <c r="R140" s="12">
        <v>23159.782592592601</v>
      </c>
      <c r="S140" s="4">
        <f t="shared" si="37"/>
        <v>3.8066624897703196</v>
      </c>
      <c r="T140" s="13">
        <v>1977</v>
      </c>
      <c r="U140" s="14">
        <v>124.27</v>
      </c>
      <c r="V140" s="14">
        <v>171.88</v>
      </c>
      <c r="W140" s="4">
        <f t="shared" si="38"/>
        <v>16.744625219813141</v>
      </c>
      <c r="X140" s="18">
        <f t="shared" si="39"/>
        <v>6.443977422470752</v>
      </c>
      <c r="Y140" s="18">
        <f t="shared" si="40"/>
        <v>3.4491473349675257</v>
      </c>
      <c r="Z140" s="18">
        <f t="shared" si="41"/>
        <v>0.86828128712901853</v>
      </c>
      <c r="AA140" s="12">
        <f t="shared" si="42"/>
        <v>1.9291350175673416</v>
      </c>
      <c r="AB140">
        <f t="shared" si="43"/>
        <v>7.2505507775651283</v>
      </c>
      <c r="AC140" s="18">
        <f t="shared" si="32"/>
        <v>0.13806087255284147</v>
      </c>
      <c r="AD140" s="18">
        <f t="shared" si="44"/>
        <v>5.8676301296024747</v>
      </c>
      <c r="AE140" s="12">
        <v>2097.8000000000002</v>
      </c>
      <c r="AF140" s="12">
        <v>1436.5229999999999</v>
      </c>
      <c r="AG140" s="8">
        <f t="shared" si="45"/>
        <v>0.46033164801398957</v>
      </c>
      <c r="AH140">
        <f t="shared" si="46"/>
        <v>4.0293621890467275</v>
      </c>
      <c r="AI140">
        <f t="shared" si="47"/>
        <v>10.784587964008937</v>
      </c>
    </row>
    <row r="141" spans="1:35" x14ac:dyDescent="0.3">
      <c r="A141" t="s">
        <v>42</v>
      </c>
      <c r="B141" s="11">
        <v>2021</v>
      </c>
      <c r="C141" s="12">
        <v>42.015000000000001</v>
      </c>
      <c r="D141" s="12">
        <v>2803.43</v>
      </c>
      <c r="E141" s="12">
        <v>1349.8820000000001</v>
      </c>
      <c r="F141" s="12">
        <v>1280.5260000000001</v>
      </c>
      <c r="G141" s="12">
        <v>4153.3130000000001</v>
      </c>
      <c r="H141" s="12">
        <v>2896.011</v>
      </c>
      <c r="I141" s="12">
        <v>1257.3019999999999</v>
      </c>
      <c r="J141" s="12">
        <v>2663.65</v>
      </c>
      <c r="K141" s="4">
        <f t="shared" si="33"/>
        <v>1.8347155481044399</v>
      </c>
      <c r="L141" s="5">
        <v>1.8347155481044399E-2</v>
      </c>
      <c r="M141" s="19">
        <f t="shared" si="34"/>
        <v>2.5537285264813079</v>
      </c>
      <c r="N141" s="5">
        <v>2.5537285264813078E-2</v>
      </c>
      <c r="O141" s="19">
        <f t="shared" si="35"/>
        <v>7.8100000000000005</v>
      </c>
      <c r="P141" s="8">
        <v>7.8100000000000003E-2</v>
      </c>
      <c r="Q141" s="19">
        <f t="shared" si="36"/>
        <v>23.159782592592602</v>
      </c>
      <c r="R141" s="12">
        <v>23159.782592592601</v>
      </c>
      <c r="S141" s="4">
        <f t="shared" si="37"/>
        <v>3.8286413964890951</v>
      </c>
      <c r="T141" s="13">
        <v>1976</v>
      </c>
      <c r="U141" s="14">
        <v>124.27</v>
      </c>
      <c r="V141" s="14">
        <v>171.88</v>
      </c>
      <c r="W141" s="4">
        <f t="shared" si="38"/>
        <v>16.744625219813141</v>
      </c>
      <c r="X141" s="18">
        <f t="shared" si="39"/>
        <v>3.3416792465135665</v>
      </c>
      <c r="Y141" s="18">
        <f t="shared" si="40"/>
        <v>1.0116020632203737</v>
      </c>
      <c r="Z141" s="18">
        <f t="shared" si="41"/>
        <v>2.3033535300190411</v>
      </c>
      <c r="AA141" s="12">
        <f t="shared" si="42"/>
        <v>1.0524768644529123</v>
      </c>
      <c r="AB141">
        <f t="shared" si="43"/>
        <v>7.7900352350765161</v>
      </c>
      <c r="AC141" s="18">
        <f t="shared" si="32"/>
        <v>0.3083143504956164</v>
      </c>
      <c r="AD141" s="18">
        <f t="shared" si="44"/>
        <v>5.8676301296024747</v>
      </c>
      <c r="AE141" s="12">
        <v>4963.9129999999996</v>
      </c>
      <c r="AF141" s="12">
        <v>4799.4690000000001</v>
      </c>
      <c r="AG141" s="8">
        <f t="shared" si="45"/>
        <v>3.4262957006285386E-2</v>
      </c>
      <c r="AH141">
        <f t="shared" si="46"/>
        <v>2.3775257326427588</v>
      </c>
      <c r="AI141">
        <f t="shared" si="47"/>
        <v>7.1081746242689823</v>
      </c>
    </row>
    <row r="142" spans="1:35" x14ac:dyDescent="0.3">
      <c r="A142" t="s">
        <v>43</v>
      </c>
      <c r="B142" s="11">
        <v>2021</v>
      </c>
      <c r="C142" s="12">
        <v>51.832999999999998</v>
      </c>
      <c r="D142" s="12">
        <v>1196.2370000000001</v>
      </c>
      <c r="E142" s="12">
        <v>565.85500000000002</v>
      </c>
      <c r="F142" s="12">
        <v>159.45400000000001</v>
      </c>
      <c r="G142" s="12">
        <v>1762.0920000000001</v>
      </c>
      <c r="H142" s="12">
        <v>950.26300000000003</v>
      </c>
      <c r="I142" s="12">
        <v>811.82799999999997</v>
      </c>
      <c r="J142" s="12">
        <v>883.31</v>
      </c>
      <c r="K142" s="4">
        <f t="shared" si="33"/>
        <v>1.8347155481044399</v>
      </c>
      <c r="L142" s="5">
        <v>1.8347155481044399E-2</v>
      </c>
      <c r="M142" s="19">
        <f t="shared" si="34"/>
        <v>2.5537285264813079</v>
      </c>
      <c r="N142" s="5">
        <v>2.5537285264813078E-2</v>
      </c>
      <c r="O142" s="19">
        <f t="shared" si="35"/>
        <v>7.8100000000000005</v>
      </c>
      <c r="P142" s="8">
        <v>7.8100000000000003E-2</v>
      </c>
      <c r="Q142" s="19">
        <f t="shared" si="36"/>
        <v>23.159782592592602</v>
      </c>
      <c r="R142" s="12">
        <v>23159.782592592601</v>
      </c>
      <c r="S142" s="4">
        <f t="shared" si="37"/>
        <v>2.5649493574615367</v>
      </c>
      <c r="T142" s="13">
        <v>2009</v>
      </c>
      <c r="U142" s="14">
        <v>124.27</v>
      </c>
      <c r="V142" s="14">
        <v>171.88</v>
      </c>
      <c r="W142" s="4">
        <f t="shared" si="38"/>
        <v>16.744625219813141</v>
      </c>
      <c r="X142" s="18">
        <f t="shared" si="39"/>
        <v>6.3847268140542095</v>
      </c>
      <c r="Y142" s="18">
        <f t="shared" si="40"/>
        <v>2.9415603725571646</v>
      </c>
      <c r="Z142" s="18">
        <f t="shared" si="41"/>
        <v>1.1705225737471485</v>
      </c>
      <c r="AA142" s="12">
        <f t="shared" si="42"/>
        <v>1.3542663391108447</v>
      </c>
      <c r="AB142">
        <f t="shared" si="43"/>
        <v>6.9326306456082207</v>
      </c>
      <c r="AC142" s="18">
        <f t="shared" si="32"/>
        <v>9.0491302383757494E-2</v>
      </c>
      <c r="AD142" s="18">
        <f t="shared" si="44"/>
        <v>5.8676301296024747</v>
      </c>
      <c r="AE142" s="12">
        <v>4561.8270000000002</v>
      </c>
      <c r="AF142" s="12">
        <v>5733.5020000000004</v>
      </c>
      <c r="AG142" s="8">
        <f t="shared" si="45"/>
        <v>-0.20435590673902271</v>
      </c>
      <c r="AH142">
        <f t="shared" si="46"/>
        <v>9.0581029798625076E-2</v>
      </c>
      <c r="AI142">
        <f t="shared" si="47"/>
        <v>0.268628846981119</v>
      </c>
    </row>
    <row r="143" spans="1:35" x14ac:dyDescent="0.3">
      <c r="A143" t="s">
        <v>44</v>
      </c>
      <c r="B143" s="11">
        <v>2021</v>
      </c>
      <c r="C143" s="12">
        <v>34.659999999999997</v>
      </c>
      <c r="D143" s="12">
        <v>1151.8800000000001</v>
      </c>
      <c r="E143" s="12">
        <v>474.36700000000002</v>
      </c>
      <c r="F143" s="12">
        <v>255.816</v>
      </c>
      <c r="G143" s="12">
        <v>1626.2470000000001</v>
      </c>
      <c r="H143" s="12">
        <v>942.68799999999999</v>
      </c>
      <c r="I143" s="12">
        <v>683.56</v>
      </c>
      <c r="J143" s="12">
        <v>868.5</v>
      </c>
      <c r="K143" s="4">
        <f t="shared" si="33"/>
        <v>1.8347155481044399</v>
      </c>
      <c r="L143" s="5">
        <v>1.8347155481044399E-2</v>
      </c>
      <c r="M143" s="19">
        <f t="shared" si="34"/>
        <v>2.5537285264813079</v>
      </c>
      <c r="N143" s="5">
        <v>2.5537285264813078E-2</v>
      </c>
      <c r="O143" s="19">
        <f t="shared" si="35"/>
        <v>7.8100000000000005</v>
      </c>
      <c r="P143" s="8">
        <v>7.8100000000000003E-2</v>
      </c>
      <c r="Q143" s="19">
        <f t="shared" si="36"/>
        <v>23.159782592592602</v>
      </c>
      <c r="R143" s="12">
        <v>23159.782592592601</v>
      </c>
      <c r="S143" s="4">
        <f t="shared" si="37"/>
        <v>2.6390573296152584</v>
      </c>
      <c r="T143" s="13">
        <v>2008</v>
      </c>
      <c r="U143" s="14">
        <v>124.27</v>
      </c>
      <c r="V143" s="14">
        <v>171.88</v>
      </c>
      <c r="W143" s="4">
        <f t="shared" si="38"/>
        <v>16.744625219813141</v>
      </c>
      <c r="X143" s="18">
        <f t="shared" si="39"/>
        <v>5.0705131956229152</v>
      </c>
      <c r="Y143" s="18">
        <f t="shared" si="40"/>
        <v>2.1312875596388494</v>
      </c>
      <c r="Z143" s="18">
        <f t="shared" si="41"/>
        <v>1.3790859617297677</v>
      </c>
      <c r="AA143" s="12">
        <f t="shared" si="42"/>
        <v>1.3262867012089812</v>
      </c>
      <c r="AB143">
        <f t="shared" si="43"/>
        <v>6.8524038121714916</v>
      </c>
      <c r="AC143" s="18">
        <f t="shared" si="32"/>
        <v>0.15730451770241544</v>
      </c>
      <c r="AD143" s="18">
        <f t="shared" si="44"/>
        <v>5.8676301296024747</v>
      </c>
      <c r="AE143" s="12">
        <v>2259.9769999999999</v>
      </c>
      <c r="AF143" s="12">
        <v>2159.8850000000002</v>
      </c>
      <c r="AG143" s="8">
        <f t="shared" si="45"/>
        <v>4.6341356137016385E-2</v>
      </c>
      <c r="AH143">
        <f t="shared" si="46"/>
        <v>3.1675254367159886</v>
      </c>
      <c r="AI143">
        <f t="shared" si="47"/>
        <v>8.0339113656303152</v>
      </c>
    </row>
    <row r="144" spans="1:35" x14ac:dyDescent="0.3">
      <c r="A144" t="s">
        <v>45</v>
      </c>
      <c r="B144" s="11">
        <v>2021</v>
      </c>
      <c r="C144" s="12">
        <v>829.55799999999999</v>
      </c>
      <c r="D144" s="12">
        <v>5637.4669999999996</v>
      </c>
      <c r="E144" s="12">
        <v>5225.0870000000004</v>
      </c>
      <c r="F144" s="12">
        <v>4581.9809999999998</v>
      </c>
      <c r="G144" s="12">
        <v>10862.554</v>
      </c>
      <c r="H144" s="12">
        <v>6176.6310000000003</v>
      </c>
      <c r="I144" s="12">
        <v>4685.9229999999998</v>
      </c>
      <c r="J144" s="12">
        <v>5171.7</v>
      </c>
      <c r="K144" s="4">
        <f t="shared" si="33"/>
        <v>1.8347155481044399</v>
      </c>
      <c r="L144" s="5">
        <v>1.8347155481044399E-2</v>
      </c>
      <c r="M144" s="19">
        <f t="shared" si="34"/>
        <v>2.5537285264813079</v>
      </c>
      <c r="N144" s="5">
        <v>2.5537285264813078E-2</v>
      </c>
      <c r="O144" s="19">
        <f t="shared" si="35"/>
        <v>7.8100000000000005</v>
      </c>
      <c r="P144" s="8">
        <v>7.8100000000000003E-2</v>
      </c>
      <c r="Q144" s="19">
        <f t="shared" si="36"/>
        <v>23.159782592592602</v>
      </c>
      <c r="R144" s="12">
        <v>23159.782592592601</v>
      </c>
      <c r="S144" s="4">
        <f t="shared" si="37"/>
        <v>3.2580965380214821</v>
      </c>
      <c r="T144" s="13">
        <v>1996</v>
      </c>
      <c r="U144" s="14">
        <v>124.27</v>
      </c>
      <c r="V144" s="14">
        <v>171.88</v>
      </c>
      <c r="W144" s="4">
        <f t="shared" si="38"/>
        <v>16.744625219813141</v>
      </c>
      <c r="X144" s="18">
        <f t="shared" si="39"/>
        <v>17.703193159597376</v>
      </c>
      <c r="Y144" s="18">
        <f t="shared" si="40"/>
        <v>7.6368596188336548</v>
      </c>
      <c r="Z144" s="18">
        <f t="shared" si="41"/>
        <v>1.3181247323099421</v>
      </c>
      <c r="AA144" s="12">
        <f t="shared" si="42"/>
        <v>1.090060715045343</v>
      </c>
      <c r="AB144">
        <f t="shared" si="43"/>
        <v>8.751450367873888</v>
      </c>
      <c r="AC144" s="18">
        <f t="shared" si="32"/>
        <v>0.42181433574461402</v>
      </c>
      <c r="AD144" s="18">
        <f t="shared" si="44"/>
        <v>5.8676301296024747</v>
      </c>
      <c r="AE144" s="12">
        <v>10961.93</v>
      </c>
      <c r="AF144" s="12">
        <v>10189.066999999999</v>
      </c>
      <c r="AG144" s="8">
        <f t="shared" si="45"/>
        <v>7.5852185484696619E-2</v>
      </c>
      <c r="AH144">
        <f t="shared" si="46"/>
        <v>13.862572343618936</v>
      </c>
      <c r="AI144">
        <f t="shared" si="47"/>
        <v>33.285222583528252</v>
      </c>
    </row>
    <row r="145" spans="1:35" x14ac:dyDescent="0.3">
      <c r="A145" t="s">
        <v>46</v>
      </c>
      <c r="B145" s="11">
        <v>2021</v>
      </c>
      <c r="C145" s="12">
        <v>22.759</v>
      </c>
      <c r="D145" s="12">
        <v>914.89099999999996</v>
      </c>
      <c r="E145" s="12">
        <v>495.262</v>
      </c>
      <c r="F145" s="12">
        <v>358.36599999999999</v>
      </c>
      <c r="G145" s="12">
        <v>1410.153</v>
      </c>
      <c r="H145" s="12">
        <v>465.72</v>
      </c>
      <c r="I145" s="12">
        <v>944.43299999999999</v>
      </c>
      <c r="J145" s="12">
        <v>413.89</v>
      </c>
      <c r="K145" s="4">
        <f t="shared" si="33"/>
        <v>1.8347155481044399</v>
      </c>
      <c r="L145" s="5">
        <v>1.8347155481044399E-2</v>
      </c>
      <c r="M145" s="19">
        <f t="shared" si="34"/>
        <v>2.5537285264813079</v>
      </c>
      <c r="N145" s="5">
        <v>2.5537285264813078E-2</v>
      </c>
      <c r="O145" s="19">
        <f t="shared" si="35"/>
        <v>7.8100000000000005</v>
      </c>
      <c r="P145" s="8">
        <v>7.8100000000000003E-2</v>
      </c>
      <c r="Q145" s="19">
        <f t="shared" si="36"/>
        <v>23.159782592592602</v>
      </c>
      <c r="R145" s="12">
        <v>23159.782592592601</v>
      </c>
      <c r="S145" s="4">
        <f t="shared" si="37"/>
        <v>3.8918202981106265</v>
      </c>
      <c r="T145" s="13">
        <v>1973</v>
      </c>
      <c r="U145" s="14">
        <v>124.27</v>
      </c>
      <c r="V145" s="14">
        <v>171.88</v>
      </c>
      <c r="W145" s="4">
        <f t="shared" si="38"/>
        <v>16.744625219813141</v>
      </c>
      <c r="X145" s="18">
        <f t="shared" si="39"/>
        <v>2.4098056717628458</v>
      </c>
      <c r="Y145" s="18">
        <f t="shared" si="40"/>
        <v>1.61393834569724</v>
      </c>
      <c r="Z145" s="18">
        <f t="shared" si="41"/>
        <v>0.49312126958714914</v>
      </c>
      <c r="AA145" s="12">
        <f t="shared" si="42"/>
        <v>2.2104689651839862</v>
      </c>
      <c r="AB145">
        <f t="shared" si="43"/>
        <v>6.7098271152049556</v>
      </c>
      <c r="AC145" s="18">
        <f t="shared" si="32"/>
        <v>0.25413270758563078</v>
      </c>
      <c r="AD145" s="18">
        <f t="shared" si="44"/>
        <v>5.8676301296024747</v>
      </c>
      <c r="AE145" s="12">
        <v>749.31500000000005</v>
      </c>
      <c r="AF145" s="12">
        <v>946.476</v>
      </c>
      <c r="AG145" s="8">
        <f t="shared" si="45"/>
        <v>-0.20831061749056495</v>
      </c>
      <c r="AH145">
        <f t="shared" si="46"/>
        <v>1.29564168101421</v>
      </c>
      <c r="AI145">
        <f t="shared" si="47"/>
        <v>1.9783619371135672</v>
      </c>
    </row>
    <row r="146" spans="1:35" x14ac:dyDescent="0.3">
      <c r="A146" t="s">
        <v>47</v>
      </c>
      <c r="B146" s="11">
        <v>2021</v>
      </c>
      <c r="C146" s="12">
        <v>290.82799999999997</v>
      </c>
      <c r="D146" s="12">
        <v>2114.1950000000002</v>
      </c>
      <c r="E146" s="12">
        <v>1021.748</v>
      </c>
      <c r="F146" s="12">
        <v>975.46699999999998</v>
      </c>
      <c r="G146" s="12">
        <v>3135.9430000000002</v>
      </c>
      <c r="H146" s="12">
        <v>1362.0129999999999</v>
      </c>
      <c r="I146" s="12">
        <v>1773.93</v>
      </c>
      <c r="J146" s="12">
        <v>1359.99</v>
      </c>
      <c r="K146" s="4">
        <f t="shared" si="33"/>
        <v>1.8347155481044399</v>
      </c>
      <c r="L146" s="5">
        <v>1.8347155481044399E-2</v>
      </c>
      <c r="M146" s="19">
        <f t="shared" si="34"/>
        <v>2.5537285264813079</v>
      </c>
      <c r="N146" s="5">
        <v>2.5537285264813078E-2</v>
      </c>
      <c r="O146" s="19">
        <f t="shared" si="35"/>
        <v>7.8100000000000005</v>
      </c>
      <c r="P146" s="8">
        <v>7.8100000000000003E-2</v>
      </c>
      <c r="Q146" s="19">
        <f t="shared" si="36"/>
        <v>23.159782592592602</v>
      </c>
      <c r="R146" s="12">
        <v>23159.782592592601</v>
      </c>
      <c r="S146" s="4">
        <f t="shared" si="37"/>
        <v>3.8501476017100584</v>
      </c>
      <c r="T146" s="13">
        <v>1975</v>
      </c>
      <c r="U146" s="14">
        <v>124.27</v>
      </c>
      <c r="V146" s="14">
        <v>171.88</v>
      </c>
      <c r="W146" s="4">
        <f t="shared" si="38"/>
        <v>16.744625219813141</v>
      </c>
      <c r="X146" s="18">
        <f t="shared" si="39"/>
        <v>16.394558973578437</v>
      </c>
      <c r="Y146" s="18">
        <f t="shared" si="40"/>
        <v>9.2740206056041181</v>
      </c>
      <c r="Z146" s="18">
        <f t="shared" si="41"/>
        <v>0.76779410687005678</v>
      </c>
      <c r="AA146" s="12">
        <f t="shared" si="42"/>
        <v>1.5545665776954243</v>
      </c>
      <c r="AB146">
        <f t="shared" si="43"/>
        <v>7.5090588323660015</v>
      </c>
      <c r="AC146" s="18">
        <f t="shared" si="32"/>
        <v>0.31106018189743878</v>
      </c>
      <c r="AD146" s="18">
        <f t="shared" si="44"/>
        <v>5.8676301296024747</v>
      </c>
      <c r="AE146" s="12">
        <v>4635.5249999999996</v>
      </c>
      <c r="AF146" s="12">
        <v>3818.7649999999999</v>
      </c>
      <c r="AG146" s="8">
        <f t="shared" si="45"/>
        <v>0.21388066560786007</v>
      </c>
      <c r="AH146">
        <f t="shared" si="46"/>
        <v>10.544943658437246</v>
      </c>
      <c r="AI146">
        <f t="shared" si="47"/>
        <v>15.191018987217989</v>
      </c>
    </row>
    <row r="147" spans="1:35" x14ac:dyDescent="0.3">
      <c r="A147" t="s">
        <v>48</v>
      </c>
      <c r="B147" s="11">
        <v>2021</v>
      </c>
      <c r="C147" s="12">
        <v>59.720999999999997</v>
      </c>
      <c r="D147" s="12">
        <v>965.61099999999999</v>
      </c>
      <c r="E147" s="12">
        <v>303.13200000000001</v>
      </c>
      <c r="F147" s="12">
        <v>189.55199999999999</v>
      </c>
      <c r="G147" s="12">
        <v>1268.7429999999999</v>
      </c>
      <c r="H147" s="12">
        <v>304.70699999999999</v>
      </c>
      <c r="I147" s="12">
        <v>964.03599999999994</v>
      </c>
      <c r="J147" s="12">
        <v>271.92</v>
      </c>
      <c r="K147" s="4">
        <f t="shared" si="33"/>
        <v>1.8347155481044399</v>
      </c>
      <c r="L147" s="5">
        <v>1.8347155481044399E-2</v>
      </c>
      <c r="M147" s="19">
        <f t="shared" si="34"/>
        <v>2.5537285264813079</v>
      </c>
      <c r="N147" s="5">
        <v>2.5537285264813078E-2</v>
      </c>
      <c r="O147" s="19">
        <f t="shared" si="35"/>
        <v>7.8100000000000005</v>
      </c>
      <c r="P147" s="8">
        <v>7.8100000000000003E-2</v>
      </c>
      <c r="Q147" s="19">
        <f t="shared" si="36"/>
        <v>23.159782592592602</v>
      </c>
      <c r="R147" s="12">
        <v>23159.782592592601</v>
      </c>
      <c r="S147" s="4">
        <f t="shared" si="37"/>
        <v>3.3672958299864741</v>
      </c>
      <c r="T147" s="13">
        <v>1993</v>
      </c>
      <c r="U147" s="14">
        <v>124.27</v>
      </c>
      <c r="V147" s="14">
        <v>171.88</v>
      </c>
      <c r="W147" s="4">
        <f t="shared" si="38"/>
        <v>16.744625219813141</v>
      </c>
      <c r="X147" s="18">
        <f t="shared" si="39"/>
        <v>6.1948931367708262</v>
      </c>
      <c r="Y147" s="18">
        <f t="shared" si="40"/>
        <v>4.7070998618317494</v>
      </c>
      <c r="Z147" s="18">
        <f t="shared" si="41"/>
        <v>0.31607429598064801</v>
      </c>
      <c r="AA147" s="12">
        <f t="shared" si="42"/>
        <v>3.5510848779052662</v>
      </c>
      <c r="AB147">
        <f t="shared" si="43"/>
        <v>6.6041555526147953</v>
      </c>
      <c r="AC147" s="18">
        <f t="shared" si="32"/>
        <v>0.1494014154166762</v>
      </c>
      <c r="AD147" s="18">
        <f t="shared" si="44"/>
        <v>5.8676301296024747</v>
      </c>
      <c r="AE147" s="12">
        <v>866.45100000000002</v>
      </c>
      <c r="AF147" s="12">
        <v>855.77499999999998</v>
      </c>
      <c r="AG147" s="8">
        <f t="shared" si="45"/>
        <v>1.2475241739943379E-2</v>
      </c>
      <c r="AH147">
        <f t="shared" si="46"/>
        <v>3.1083499072084719</v>
      </c>
      <c r="AI147">
        <f t="shared" si="47"/>
        <v>4.4536479418675947</v>
      </c>
    </row>
    <row r="148" spans="1:35" x14ac:dyDescent="0.3">
      <c r="A148" t="s">
        <v>49</v>
      </c>
      <c r="B148" s="11">
        <v>2021</v>
      </c>
      <c r="C148" s="12">
        <v>287.089</v>
      </c>
      <c r="D148" s="12">
        <v>2150.1219999999998</v>
      </c>
      <c r="E148" s="12">
        <v>549.66099999999994</v>
      </c>
      <c r="F148" s="12">
        <v>262.96899999999999</v>
      </c>
      <c r="G148" s="12">
        <v>2699.7829999999999</v>
      </c>
      <c r="H148" s="12">
        <v>723.02800000000002</v>
      </c>
      <c r="I148" s="12">
        <v>1976.7550000000001</v>
      </c>
      <c r="J148" s="12">
        <v>713.1</v>
      </c>
      <c r="K148" s="4">
        <f t="shared" si="33"/>
        <v>1.8347155481044399</v>
      </c>
      <c r="L148" s="5">
        <v>1.8347155481044399E-2</v>
      </c>
      <c r="M148" s="19">
        <f t="shared" si="34"/>
        <v>2.5537285264813079</v>
      </c>
      <c r="N148" s="5">
        <v>2.5537285264813078E-2</v>
      </c>
      <c r="O148" s="19">
        <f t="shared" si="35"/>
        <v>7.8100000000000005</v>
      </c>
      <c r="P148" s="8">
        <v>7.8100000000000003E-2</v>
      </c>
      <c r="Q148" s="19">
        <f t="shared" si="36"/>
        <v>23.159782592592602</v>
      </c>
      <c r="R148" s="12">
        <v>23159.782592592601</v>
      </c>
      <c r="S148" s="4">
        <f t="shared" si="37"/>
        <v>3.2580965380214821</v>
      </c>
      <c r="T148" s="13">
        <v>1996</v>
      </c>
      <c r="U148" s="14">
        <v>124.27</v>
      </c>
      <c r="V148" s="14">
        <v>171.88</v>
      </c>
      <c r="W148" s="4">
        <f t="shared" si="38"/>
        <v>16.744625219813141</v>
      </c>
      <c r="X148" s="18">
        <f t="shared" si="39"/>
        <v>14.523246431651874</v>
      </c>
      <c r="Y148" s="18">
        <f t="shared" si="40"/>
        <v>10.633780566808518</v>
      </c>
      <c r="Z148" s="18">
        <f t="shared" si="41"/>
        <v>0.36576510493207298</v>
      </c>
      <c r="AA148" s="12">
        <f t="shared" si="42"/>
        <v>3.0151759921469639</v>
      </c>
      <c r="AB148">
        <f t="shared" si="43"/>
        <v>7.359300305473476</v>
      </c>
      <c r="AC148" s="18">
        <f t="shared" si="32"/>
        <v>9.7403754301734619E-2</v>
      </c>
      <c r="AD148" s="18">
        <f t="shared" si="44"/>
        <v>5.8676301296024747</v>
      </c>
      <c r="AE148" s="12">
        <v>5204.375</v>
      </c>
      <c r="AF148" s="12">
        <v>4433.2340000000004</v>
      </c>
      <c r="AG148" s="8">
        <f t="shared" si="45"/>
        <v>0.17394547637232763</v>
      </c>
      <c r="AH148">
        <f t="shared" si="46"/>
        <v>13.205237142947306</v>
      </c>
      <c r="AI148">
        <f t="shared" si="47"/>
        <v>20.900303104018231</v>
      </c>
    </row>
    <row r="149" spans="1:35" x14ac:dyDescent="0.3">
      <c r="A149" t="s">
        <v>50</v>
      </c>
      <c r="B149" s="11">
        <v>2021</v>
      </c>
      <c r="C149" s="12">
        <v>60.786000000000001</v>
      </c>
      <c r="D149" s="12">
        <v>228.511</v>
      </c>
      <c r="E149" s="12">
        <v>152.45400000000001</v>
      </c>
      <c r="F149" s="12">
        <v>96.811999999999998</v>
      </c>
      <c r="G149" s="12">
        <v>380.96499999999997</v>
      </c>
      <c r="H149" s="12">
        <v>115.572</v>
      </c>
      <c r="I149" s="12">
        <v>265.39299999999997</v>
      </c>
      <c r="J149" s="12">
        <v>111.27</v>
      </c>
      <c r="K149" s="4">
        <f t="shared" si="33"/>
        <v>1.8347155481044399</v>
      </c>
      <c r="L149" s="5">
        <v>1.8347155481044399E-2</v>
      </c>
      <c r="M149" s="19">
        <f t="shared" si="34"/>
        <v>2.5537285264813079</v>
      </c>
      <c r="N149" s="5">
        <v>2.5537285264813078E-2</v>
      </c>
      <c r="O149" s="19">
        <f t="shared" si="35"/>
        <v>7.8100000000000005</v>
      </c>
      <c r="P149" s="8">
        <v>7.8100000000000003E-2</v>
      </c>
      <c r="Q149" s="19">
        <f t="shared" si="36"/>
        <v>23.159782592592602</v>
      </c>
      <c r="R149" s="12">
        <v>23159.782592592601</v>
      </c>
      <c r="S149" s="4">
        <f t="shared" si="37"/>
        <v>3.4339872044851463</v>
      </c>
      <c r="T149" s="13">
        <v>1991</v>
      </c>
      <c r="U149" s="14">
        <v>124.27</v>
      </c>
      <c r="V149" s="14">
        <v>171.88</v>
      </c>
      <c r="W149" s="4">
        <f t="shared" si="38"/>
        <v>16.744625219813141</v>
      </c>
      <c r="X149" s="18">
        <f t="shared" si="39"/>
        <v>22.904145926983759</v>
      </c>
      <c r="Y149" s="18">
        <f t="shared" si="40"/>
        <v>15.955796464242123</v>
      </c>
      <c r="Z149" s="18">
        <f t="shared" si="41"/>
        <v>0.43547493716865182</v>
      </c>
      <c r="AA149" s="12">
        <f t="shared" si="42"/>
        <v>2.0536622629639614</v>
      </c>
      <c r="AB149">
        <f t="shared" si="43"/>
        <v>5.4010811344712266</v>
      </c>
      <c r="AC149" s="18">
        <f t="shared" si="32"/>
        <v>0.25412308217290303</v>
      </c>
      <c r="AD149" s="18">
        <f t="shared" si="44"/>
        <v>5.8676301296024747</v>
      </c>
      <c r="AE149" s="12">
        <v>340.14600000000002</v>
      </c>
      <c r="AF149" s="12">
        <v>402.97500000000002</v>
      </c>
      <c r="AG149" s="8">
        <f t="shared" si="45"/>
        <v>-0.15591289782244558</v>
      </c>
      <c r="AH149">
        <f t="shared" si="46"/>
        <v>20.051295936940598</v>
      </c>
      <c r="AI149">
        <f t="shared" si="47"/>
        <v>29.562642773181931</v>
      </c>
    </row>
    <row r="150" spans="1:35" x14ac:dyDescent="0.3">
      <c r="A150" t="s">
        <v>51</v>
      </c>
      <c r="B150" s="11">
        <v>2021</v>
      </c>
      <c r="C150" s="12">
        <v>330.63299999999998</v>
      </c>
      <c r="D150" s="12">
        <v>3153.04</v>
      </c>
      <c r="E150" s="12">
        <v>612.76</v>
      </c>
      <c r="F150" s="12">
        <v>259.185</v>
      </c>
      <c r="G150" s="12">
        <v>3765.8009999999999</v>
      </c>
      <c r="H150" s="12">
        <v>2155.3609999999999</v>
      </c>
      <c r="I150" s="12">
        <v>1610.44</v>
      </c>
      <c r="J150" s="12">
        <v>2084.75</v>
      </c>
      <c r="K150" s="4">
        <f t="shared" si="33"/>
        <v>1.8347155481044399</v>
      </c>
      <c r="L150" s="5">
        <v>1.8347155481044399E-2</v>
      </c>
      <c r="M150" s="19">
        <f t="shared" si="34"/>
        <v>2.5537285264813079</v>
      </c>
      <c r="N150" s="5">
        <v>2.5537285264813078E-2</v>
      </c>
      <c r="O150" s="19">
        <f t="shared" si="35"/>
        <v>7.8100000000000005</v>
      </c>
      <c r="P150" s="8">
        <v>7.8100000000000003E-2</v>
      </c>
      <c r="Q150" s="19">
        <f t="shared" si="36"/>
        <v>23.159782592592602</v>
      </c>
      <c r="R150" s="12">
        <v>23159.782592592601</v>
      </c>
      <c r="S150" s="4">
        <f t="shared" si="37"/>
        <v>3.6888794541139363</v>
      </c>
      <c r="T150" s="13">
        <v>1982</v>
      </c>
      <c r="U150" s="14">
        <v>124.27</v>
      </c>
      <c r="V150" s="14">
        <v>171.88</v>
      </c>
      <c r="W150" s="4">
        <f t="shared" si="38"/>
        <v>16.744625219813141</v>
      </c>
      <c r="X150" s="18">
        <f t="shared" si="39"/>
        <v>20.530600332828293</v>
      </c>
      <c r="Y150" s="18">
        <f t="shared" si="40"/>
        <v>8.7798850762427438</v>
      </c>
      <c r="Z150" s="18">
        <f t="shared" si="41"/>
        <v>1.3383677752663867</v>
      </c>
      <c r="AA150" s="12">
        <f t="shared" si="42"/>
        <v>1.5124307470919773</v>
      </c>
      <c r="AB150">
        <f t="shared" si="43"/>
        <v>7.692089493691415</v>
      </c>
      <c r="AC150" s="18">
        <f t="shared" si="32"/>
        <v>6.8825994788359768E-2</v>
      </c>
      <c r="AD150" s="18">
        <f t="shared" si="44"/>
        <v>5.8676301296024747</v>
      </c>
      <c r="AE150" s="12">
        <v>4150.32</v>
      </c>
      <c r="AF150" s="12">
        <v>3456.7449999999999</v>
      </c>
      <c r="AG150" s="8">
        <f t="shared" si="45"/>
        <v>0.200643958405957</v>
      </c>
      <c r="AH150">
        <f t="shared" si="46"/>
        <v>11.418494389273718</v>
      </c>
      <c r="AI150">
        <f t="shared" si="47"/>
        <v>23.975184265279985</v>
      </c>
    </row>
    <row r="151" spans="1:35" x14ac:dyDescent="0.3">
      <c r="A151" t="s">
        <v>52</v>
      </c>
      <c r="B151" s="11">
        <v>2021</v>
      </c>
      <c r="C151" s="12">
        <v>43.591000000000001</v>
      </c>
      <c r="D151" s="12">
        <v>618.95299999999997</v>
      </c>
      <c r="E151" s="12">
        <v>208.429</v>
      </c>
      <c r="F151" s="12">
        <v>150.86799999999999</v>
      </c>
      <c r="G151" s="12">
        <v>827.38199999999995</v>
      </c>
      <c r="H151" s="12">
        <v>124.745</v>
      </c>
      <c r="I151" s="12">
        <v>702.63699999999994</v>
      </c>
      <c r="J151" s="12">
        <v>107.62</v>
      </c>
      <c r="K151" s="4">
        <f t="shared" si="33"/>
        <v>1.8347155481044399</v>
      </c>
      <c r="L151" s="5">
        <v>1.8347155481044399E-2</v>
      </c>
      <c r="M151" s="19">
        <f t="shared" si="34"/>
        <v>2.5537285264813079</v>
      </c>
      <c r="N151" s="5">
        <v>2.5537285264813078E-2</v>
      </c>
      <c r="O151" s="19">
        <f t="shared" si="35"/>
        <v>7.8100000000000005</v>
      </c>
      <c r="P151" s="8">
        <v>7.8100000000000003E-2</v>
      </c>
      <c r="Q151" s="19">
        <f t="shared" si="36"/>
        <v>23.159782592592602</v>
      </c>
      <c r="R151" s="12">
        <v>23159.782592592601</v>
      </c>
      <c r="S151" s="4">
        <f t="shared" si="37"/>
        <v>3.8286413964890951</v>
      </c>
      <c r="T151" s="13">
        <v>1976</v>
      </c>
      <c r="U151" s="14">
        <v>124.27</v>
      </c>
      <c r="V151" s="14">
        <v>171.88</v>
      </c>
      <c r="W151" s="4">
        <f t="shared" si="38"/>
        <v>16.744625219813141</v>
      </c>
      <c r="X151" s="18">
        <f t="shared" si="39"/>
        <v>6.203914681407328</v>
      </c>
      <c r="Y151" s="18">
        <f t="shared" si="40"/>
        <v>5.2685458470210857</v>
      </c>
      <c r="Z151" s="18">
        <f t="shared" si="41"/>
        <v>0.1775383306031422</v>
      </c>
      <c r="AA151" s="12">
        <f t="shared" si="42"/>
        <v>5.7512822895372606</v>
      </c>
      <c r="AB151">
        <f t="shared" si="43"/>
        <v>6.1766401259771158</v>
      </c>
      <c r="AC151" s="18">
        <f t="shared" si="32"/>
        <v>0.1823438266725648</v>
      </c>
      <c r="AD151" s="18">
        <f t="shared" si="44"/>
        <v>5.8676301296024747</v>
      </c>
      <c r="AE151" s="12">
        <v>1064.7719999999999</v>
      </c>
      <c r="AF151" s="12">
        <v>1474.9829999999999</v>
      </c>
      <c r="AG151" s="8">
        <f t="shared" si="45"/>
        <v>-0.27811235790514199</v>
      </c>
      <c r="AH151">
        <f t="shared" si="46"/>
        <v>3.7957457944536679</v>
      </c>
      <c r="AI151">
        <f t="shared" si="47"/>
        <v>7.0492141889470084</v>
      </c>
    </row>
    <row r="152" spans="1:35" x14ac:dyDescent="0.3">
      <c r="A152" t="s">
        <v>53</v>
      </c>
      <c r="B152" s="11">
        <v>2021</v>
      </c>
      <c r="C152" s="12">
        <v>127.60599999999999</v>
      </c>
      <c r="D152" s="12">
        <v>7051.8540000000003</v>
      </c>
      <c r="E152" s="12">
        <v>11387.831</v>
      </c>
      <c r="F152" s="12">
        <v>2809.67</v>
      </c>
      <c r="G152" s="12">
        <v>18439.685000000001</v>
      </c>
      <c r="H152" s="12">
        <v>13766.451999999999</v>
      </c>
      <c r="I152" s="12">
        <v>4673.2330000000002</v>
      </c>
      <c r="J152" s="12">
        <v>6754.51</v>
      </c>
      <c r="K152" s="4">
        <f t="shared" si="33"/>
        <v>1.8347155481044399</v>
      </c>
      <c r="L152" s="5">
        <v>1.8347155481044399E-2</v>
      </c>
      <c r="M152" s="19">
        <f t="shared" si="34"/>
        <v>2.5537285264813079</v>
      </c>
      <c r="N152" s="5">
        <v>2.5537285264813078E-2</v>
      </c>
      <c r="O152" s="19">
        <f t="shared" si="35"/>
        <v>7.8100000000000005</v>
      </c>
      <c r="P152" s="8">
        <v>7.8100000000000003E-2</v>
      </c>
      <c r="Q152" s="19">
        <f t="shared" si="36"/>
        <v>23.159782592592602</v>
      </c>
      <c r="R152" s="12">
        <v>23159.782592592601</v>
      </c>
      <c r="S152" s="4">
        <f t="shared" si="37"/>
        <v>3.3672958299864741</v>
      </c>
      <c r="T152" s="13">
        <v>1993</v>
      </c>
      <c r="U152" s="14">
        <v>124.27</v>
      </c>
      <c r="V152" s="14">
        <v>171.88</v>
      </c>
      <c r="W152" s="4">
        <f t="shared" si="38"/>
        <v>16.744625219813141</v>
      </c>
      <c r="X152" s="18">
        <f t="shared" si="39"/>
        <v>2.7305721756223154</v>
      </c>
      <c r="Y152" s="18">
        <f t="shared" si="40"/>
        <v>0.6920183289465085</v>
      </c>
      <c r="Z152" s="18">
        <f t="shared" si="41"/>
        <v>2.9458090362710352</v>
      </c>
      <c r="AA152" s="12">
        <f t="shared" si="42"/>
        <v>1.0440215500458212</v>
      </c>
      <c r="AB152">
        <f t="shared" si="43"/>
        <v>9.2806340416164748</v>
      </c>
      <c r="AC152" s="18">
        <f t="shared" si="32"/>
        <v>0.15237082412199557</v>
      </c>
      <c r="AD152" s="18">
        <f t="shared" si="44"/>
        <v>5.8676301296024747</v>
      </c>
      <c r="AE152" s="12">
        <v>2187.4160000000002</v>
      </c>
      <c r="AF152" s="12">
        <v>3189.9650000000001</v>
      </c>
      <c r="AG152" s="8">
        <f t="shared" si="45"/>
        <v>-0.31428213162213375</v>
      </c>
      <c r="AH152">
        <f t="shared" si="46"/>
        <v>-6.395512026838535</v>
      </c>
      <c r="AI152">
        <f t="shared" si="47"/>
        <v>-23.767338682133012</v>
      </c>
    </row>
    <row r="153" spans="1:35" x14ac:dyDescent="0.3">
      <c r="A153" t="s">
        <v>54</v>
      </c>
      <c r="B153" s="11">
        <v>2021</v>
      </c>
      <c r="C153" s="12">
        <v>159.84800000000001</v>
      </c>
      <c r="D153" s="12">
        <v>935.77800000000002</v>
      </c>
      <c r="E153" s="12">
        <v>341.43900000000002</v>
      </c>
      <c r="F153" s="12">
        <v>261.62900000000002</v>
      </c>
      <c r="G153" s="12">
        <v>1277.2170000000001</v>
      </c>
      <c r="H153" s="12">
        <v>567.21100000000001</v>
      </c>
      <c r="I153" s="12">
        <v>710.00599999999997</v>
      </c>
      <c r="J153" s="12">
        <v>563.21</v>
      </c>
      <c r="K153" s="4">
        <f t="shared" si="33"/>
        <v>1.8347155481044399</v>
      </c>
      <c r="L153" s="5">
        <v>1.8347155481044399E-2</v>
      </c>
      <c r="M153" s="19">
        <f t="shared" si="34"/>
        <v>2.5537285264813079</v>
      </c>
      <c r="N153" s="5">
        <v>2.5537285264813078E-2</v>
      </c>
      <c r="O153" s="19">
        <f t="shared" si="35"/>
        <v>7.8100000000000005</v>
      </c>
      <c r="P153" s="8">
        <v>7.8100000000000003E-2</v>
      </c>
      <c r="Q153" s="19">
        <f t="shared" si="36"/>
        <v>23.159782592592602</v>
      </c>
      <c r="R153" s="12">
        <v>23159.782592592601</v>
      </c>
      <c r="S153" s="4">
        <f t="shared" si="37"/>
        <v>3.4011973816621555</v>
      </c>
      <c r="T153" s="13">
        <v>1992</v>
      </c>
      <c r="U153" s="14">
        <v>124.27</v>
      </c>
      <c r="V153" s="14">
        <v>171.88</v>
      </c>
      <c r="W153" s="4">
        <f t="shared" si="38"/>
        <v>16.744625219813141</v>
      </c>
      <c r="X153" s="18">
        <f t="shared" si="39"/>
        <v>22.513612561020611</v>
      </c>
      <c r="Y153" s="18">
        <f t="shared" si="40"/>
        <v>12.515336078364131</v>
      </c>
      <c r="Z153" s="18">
        <f t="shared" si="41"/>
        <v>0.79888198127903154</v>
      </c>
      <c r="AA153" s="12">
        <f t="shared" si="42"/>
        <v>1.6615081408355674</v>
      </c>
      <c r="AB153">
        <f t="shared" si="43"/>
        <v>6.6108123981997684</v>
      </c>
      <c r="AC153" s="18">
        <f t="shared" si="32"/>
        <v>0.20484302980621147</v>
      </c>
      <c r="AD153" s="18">
        <f t="shared" si="44"/>
        <v>5.8676301296024747</v>
      </c>
      <c r="AE153" s="12">
        <v>5551.4849999999997</v>
      </c>
      <c r="AF153" s="12">
        <v>5569.5519999999997</v>
      </c>
      <c r="AG153" s="8">
        <f t="shared" si="45"/>
        <v>-3.2438874796392974E-3</v>
      </c>
      <c r="AH153">
        <f t="shared" si="46"/>
        <v>10.171620536040313</v>
      </c>
      <c r="AI153">
        <f t="shared" si="47"/>
        <v>23.417105516335667</v>
      </c>
    </row>
    <row r="154" spans="1:35" x14ac:dyDescent="0.3">
      <c r="A154" t="s">
        <v>55</v>
      </c>
      <c r="B154" s="11">
        <v>2021</v>
      </c>
      <c r="C154" s="12">
        <v>236.4</v>
      </c>
      <c r="D154" s="12">
        <v>802.19799999999998</v>
      </c>
      <c r="E154" s="12">
        <v>3463.0590000000002</v>
      </c>
      <c r="F154" s="12">
        <v>25.483000000000001</v>
      </c>
      <c r="G154" s="12">
        <v>4265.2569999999996</v>
      </c>
      <c r="H154" s="12">
        <v>323.214</v>
      </c>
      <c r="I154" s="12">
        <v>3942.0430000000001</v>
      </c>
      <c r="J154" s="12">
        <v>290.70999999999998</v>
      </c>
      <c r="K154" s="4">
        <f t="shared" si="33"/>
        <v>1.8347155481044399</v>
      </c>
      <c r="L154" s="5">
        <v>1.8347155481044399E-2</v>
      </c>
      <c r="M154" s="19">
        <f t="shared" si="34"/>
        <v>2.5537285264813079</v>
      </c>
      <c r="N154" s="5">
        <v>2.5537285264813078E-2</v>
      </c>
      <c r="O154" s="19">
        <f t="shared" si="35"/>
        <v>7.8100000000000005</v>
      </c>
      <c r="P154" s="8">
        <v>7.8100000000000003E-2</v>
      </c>
      <c r="Q154" s="19">
        <f t="shared" si="36"/>
        <v>23.159782592592602</v>
      </c>
      <c r="R154" s="12">
        <v>23159.782592592601</v>
      </c>
      <c r="S154" s="4">
        <f t="shared" si="37"/>
        <v>2.6390573296152584</v>
      </c>
      <c r="T154" s="13">
        <v>2008</v>
      </c>
      <c r="U154" s="14">
        <v>124.27</v>
      </c>
      <c r="V154" s="14">
        <v>171.88</v>
      </c>
      <c r="W154" s="4">
        <f t="shared" si="38"/>
        <v>16.744625219813141</v>
      </c>
      <c r="X154" s="18">
        <f t="shared" si="39"/>
        <v>5.9968904448784555</v>
      </c>
      <c r="Y154" s="18">
        <f t="shared" si="40"/>
        <v>5.5424561755598791</v>
      </c>
      <c r="Z154" s="18">
        <f t="shared" si="41"/>
        <v>8.1991495272882617E-2</v>
      </c>
      <c r="AA154" s="12">
        <f t="shared" si="42"/>
        <v>2.7594441195693302</v>
      </c>
      <c r="AB154">
        <f t="shared" si="43"/>
        <v>7.8166313431048886</v>
      </c>
      <c r="AC154" s="18">
        <f t="shared" si="32"/>
        <v>5.9745520609895261E-3</v>
      </c>
      <c r="AD154" s="18">
        <f t="shared" si="44"/>
        <v>5.8676301296024747</v>
      </c>
      <c r="AE154" s="12">
        <v>516.36300000000006</v>
      </c>
      <c r="AF154" s="12">
        <v>607.59100000000001</v>
      </c>
      <c r="AG154" s="8">
        <f t="shared" si="45"/>
        <v>-0.15014705616113463</v>
      </c>
      <c r="AH154">
        <f t="shared" si="46"/>
        <v>7.2564594443457677</v>
      </c>
      <c r="AI154">
        <f t="shared" si="47"/>
        <v>7.6531298042838474</v>
      </c>
    </row>
    <row r="155" spans="1:35" x14ac:dyDescent="0.3">
      <c r="A155" t="s">
        <v>56</v>
      </c>
      <c r="B155" s="11">
        <v>2021</v>
      </c>
      <c r="C155" s="12">
        <v>-1119.43</v>
      </c>
      <c r="D155" s="12">
        <v>2848.6210000000001</v>
      </c>
      <c r="E155" s="12">
        <v>11168.424999999999</v>
      </c>
      <c r="F155" s="12">
        <v>5882.7790000000005</v>
      </c>
      <c r="G155" s="12">
        <v>14017.046</v>
      </c>
      <c r="H155" s="12">
        <v>8020.0230000000001</v>
      </c>
      <c r="I155" s="12">
        <v>5997.0230000000001</v>
      </c>
      <c r="J155" s="12">
        <v>4828.42</v>
      </c>
      <c r="K155" s="4">
        <f t="shared" si="33"/>
        <v>1.8347155481044399</v>
      </c>
      <c r="L155" s="5">
        <v>1.8347155481044399E-2</v>
      </c>
      <c r="M155" s="19">
        <f t="shared" si="34"/>
        <v>2.5537285264813079</v>
      </c>
      <c r="N155" s="5">
        <v>2.5537285264813078E-2</v>
      </c>
      <c r="O155" s="19">
        <f t="shared" si="35"/>
        <v>7.8100000000000005</v>
      </c>
      <c r="P155" s="8">
        <v>7.8100000000000003E-2</v>
      </c>
      <c r="Q155" s="19">
        <f t="shared" si="36"/>
        <v>23.159782592592602</v>
      </c>
      <c r="R155" s="12">
        <v>23159.782592592601</v>
      </c>
      <c r="S155" s="4">
        <f t="shared" si="37"/>
        <v>2.4849066497880004</v>
      </c>
      <c r="T155" s="13">
        <v>2010</v>
      </c>
      <c r="U155" s="14">
        <v>124.27</v>
      </c>
      <c r="V155" s="14">
        <v>171.88</v>
      </c>
      <c r="W155" s="4">
        <f t="shared" si="38"/>
        <v>16.744625219813141</v>
      </c>
      <c r="X155" s="18">
        <f t="shared" si="39"/>
        <v>-18.666428326187845</v>
      </c>
      <c r="Y155" s="18">
        <f t="shared" si="40"/>
        <v>-7.9862047966454561</v>
      </c>
      <c r="Z155" s="18">
        <f t="shared" si="41"/>
        <v>1.3373340405731311</v>
      </c>
      <c r="AA155" s="12">
        <f t="shared" si="42"/>
        <v>0.5899695966796592</v>
      </c>
      <c r="AB155">
        <f t="shared" si="43"/>
        <v>9.0064030664682981</v>
      </c>
      <c r="AC155" s="18">
        <f t="shared" si="32"/>
        <v>0.41968750049047426</v>
      </c>
      <c r="AD155" s="18">
        <f t="shared" si="44"/>
        <v>5.8676301296024747</v>
      </c>
      <c r="AE155" s="12">
        <v>1198.9349999999999</v>
      </c>
      <c r="AF155" s="12">
        <v>2374.9119999999998</v>
      </c>
      <c r="AG155" s="8">
        <f t="shared" si="45"/>
        <v>-0.49516655775035029</v>
      </c>
      <c r="AH155">
        <f t="shared" si="46"/>
        <v>8.4702523933347512E-2</v>
      </c>
      <c r="AI155">
        <f t="shared" si="47"/>
        <v>0.24073677249591588</v>
      </c>
    </row>
    <row r="156" spans="1:35" x14ac:dyDescent="0.3">
      <c r="A156" t="s">
        <v>57</v>
      </c>
      <c r="B156" s="11">
        <v>2021</v>
      </c>
      <c r="C156" s="12">
        <v>16.225000000000001</v>
      </c>
      <c r="D156" s="12">
        <v>166.565</v>
      </c>
      <c r="E156" s="12">
        <v>160.506</v>
      </c>
      <c r="F156" s="12">
        <v>12.9</v>
      </c>
      <c r="G156" s="12">
        <v>327.07100000000003</v>
      </c>
      <c r="H156" s="12">
        <v>65.356999999999999</v>
      </c>
      <c r="I156" s="12">
        <v>261.714</v>
      </c>
      <c r="J156" s="12">
        <v>65.36</v>
      </c>
      <c r="K156" s="4">
        <f t="shared" si="33"/>
        <v>1.8347155481044399</v>
      </c>
      <c r="L156" s="5">
        <v>1.8347155481044399E-2</v>
      </c>
      <c r="M156" s="19">
        <f t="shared" si="34"/>
        <v>2.5537285264813079</v>
      </c>
      <c r="N156" s="5">
        <v>2.5537285264813078E-2</v>
      </c>
      <c r="O156" s="19">
        <f t="shared" si="35"/>
        <v>7.8100000000000005</v>
      </c>
      <c r="P156" s="8">
        <v>7.8100000000000003E-2</v>
      </c>
      <c r="Q156" s="19">
        <f t="shared" si="36"/>
        <v>23.159782592592602</v>
      </c>
      <c r="R156" s="12">
        <v>23159.782592592601</v>
      </c>
      <c r="S156" s="4">
        <f t="shared" si="37"/>
        <v>1.9459101490553132</v>
      </c>
      <c r="T156" s="13">
        <v>2015</v>
      </c>
      <c r="U156" s="14">
        <v>124.27</v>
      </c>
      <c r="V156" s="14">
        <v>171.88</v>
      </c>
      <c r="W156" s="4">
        <f t="shared" si="38"/>
        <v>16.744625219813141</v>
      </c>
      <c r="X156" s="18">
        <f t="shared" si="39"/>
        <v>6.1995155016544778</v>
      </c>
      <c r="Y156" s="18">
        <f t="shared" si="40"/>
        <v>4.9606966071586909</v>
      </c>
      <c r="Z156" s="18">
        <f t="shared" si="41"/>
        <v>0.24972680101179148</v>
      </c>
      <c r="AA156" s="12">
        <f t="shared" si="42"/>
        <v>2.548424112607099</v>
      </c>
      <c r="AB156">
        <f t="shared" si="43"/>
        <v>5.2485508997925088</v>
      </c>
      <c r="AC156" s="18">
        <f t="shared" si="32"/>
        <v>3.9440977647055224E-2</v>
      </c>
      <c r="AD156" s="18">
        <f t="shared" si="44"/>
        <v>5.8676301296024747</v>
      </c>
      <c r="AE156" s="12">
        <v>305.16000000000003</v>
      </c>
      <c r="AF156" s="12">
        <v>242.99299999999999</v>
      </c>
      <c r="AG156" s="8">
        <f t="shared" si="45"/>
        <v>0.25583864555769109</v>
      </c>
      <c r="AH156">
        <f t="shared" si="46"/>
        <v>4.621751684311838</v>
      </c>
      <c r="AI156">
        <f t="shared" si="47"/>
        <v>4.8806963479137613</v>
      </c>
    </row>
    <row r="157" spans="1:35" x14ac:dyDescent="0.3">
      <c r="A157" t="s">
        <v>58</v>
      </c>
      <c r="B157" s="11">
        <v>2021</v>
      </c>
      <c r="C157" s="12">
        <v>201.452</v>
      </c>
      <c r="D157" s="12">
        <v>1605.616</v>
      </c>
      <c r="E157" s="12">
        <v>735.149</v>
      </c>
      <c r="F157" s="12">
        <v>672.85500000000002</v>
      </c>
      <c r="G157" s="12">
        <v>2340.7649999999999</v>
      </c>
      <c r="H157" s="12">
        <v>1686.9659999999999</v>
      </c>
      <c r="I157" s="12">
        <v>653.79899999999998</v>
      </c>
      <c r="J157" s="12">
        <v>1374.87</v>
      </c>
      <c r="K157" s="4">
        <f t="shared" si="33"/>
        <v>1.8347155481044399</v>
      </c>
      <c r="L157" s="5">
        <v>1.8347155481044399E-2</v>
      </c>
      <c r="M157" s="19">
        <f t="shared" si="34"/>
        <v>2.5537285264813079</v>
      </c>
      <c r="N157" s="5">
        <v>2.5537285264813078E-2</v>
      </c>
      <c r="O157" s="19">
        <f t="shared" si="35"/>
        <v>7.8100000000000005</v>
      </c>
      <c r="P157" s="8">
        <v>7.8100000000000003E-2</v>
      </c>
      <c r="Q157" s="19">
        <f t="shared" si="36"/>
        <v>23.159782592592602</v>
      </c>
      <c r="R157" s="12">
        <v>23159.782592592601</v>
      </c>
      <c r="S157" s="4">
        <f t="shared" si="37"/>
        <v>4.0943445622221004</v>
      </c>
      <c r="T157" s="13">
        <v>1962</v>
      </c>
      <c r="U157" s="14">
        <v>124.27</v>
      </c>
      <c r="V157" s="14">
        <v>171.88</v>
      </c>
      <c r="W157" s="4">
        <f t="shared" si="38"/>
        <v>16.744625219813141</v>
      </c>
      <c r="X157" s="18">
        <f t="shared" si="39"/>
        <v>30.812528009372915</v>
      </c>
      <c r="Y157" s="18">
        <f t="shared" si="40"/>
        <v>8.6062462485554931</v>
      </c>
      <c r="Z157" s="18">
        <f t="shared" si="41"/>
        <v>2.5802517287423199</v>
      </c>
      <c r="AA157" s="12">
        <f t="shared" si="42"/>
        <v>1.1678311403987287</v>
      </c>
      <c r="AB157">
        <f t="shared" si="43"/>
        <v>7.2166067050822624</v>
      </c>
      <c r="AC157" s="18">
        <f t="shared" si="32"/>
        <v>0.28745089746300889</v>
      </c>
      <c r="AD157" s="18">
        <f t="shared" si="44"/>
        <v>5.8676301296024747</v>
      </c>
      <c r="AE157" s="12">
        <v>3863.8989999999999</v>
      </c>
      <c r="AF157" s="12">
        <v>3257.2139999999999</v>
      </c>
      <c r="AG157" s="8">
        <f t="shared" si="45"/>
        <v>0.1862588703106397</v>
      </c>
      <c r="AH157">
        <f t="shared" si="46"/>
        <v>3.5540021139343216</v>
      </c>
      <c r="AI157">
        <f t="shared" si="47"/>
        <v>13.02098370258792</v>
      </c>
    </row>
    <row r="158" spans="1:35" x14ac:dyDescent="0.3">
      <c r="A158" t="s">
        <v>59</v>
      </c>
      <c r="B158" s="11">
        <v>2021</v>
      </c>
      <c r="C158" s="12">
        <v>27.021999999999998</v>
      </c>
      <c r="D158" s="12">
        <v>268.20699999999999</v>
      </c>
      <c r="E158" s="12">
        <v>69.552000000000007</v>
      </c>
      <c r="F158" s="12">
        <v>38.04</v>
      </c>
      <c r="G158" s="12">
        <v>337.75799999999998</v>
      </c>
      <c r="H158" s="12">
        <v>136.40799999999999</v>
      </c>
      <c r="I158" s="12">
        <v>201.35</v>
      </c>
      <c r="J158" s="12">
        <v>135.49</v>
      </c>
      <c r="K158" s="4">
        <f t="shared" si="33"/>
        <v>1.8347155481044399</v>
      </c>
      <c r="L158" s="5">
        <v>1.8347155481044399E-2</v>
      </c>
      <c r="M158" s="19">
        <f t="shared" si="34"/>
        <v>2.5537285264813079</v>
      </c>
      <c r="N158" s="5">
        <v>2.5537285264813078E-2</v>
      </c>
      <c r="O158" s="19">
        <f t="shared" si="35"/>
        <v>7.8100000000000005</v>
      </c>
      <c r="P158" s="8">
        <v>7.8100000000000003E-2</v>
      </c>
      <c r="Q158" s="19">
        <f t="shared" si="36"/>
        <v>23.159782592592602</v>
      </c>
      <c r="R158" s="12">
        <v>23159.782592592601</v>
      </c>
      <c r="S158" s="4">
        <f t="shared" si="37"/>
        <v>3.1780538303479458</v>
      </c>
      <c r="T158" s="13">
        <v>1998</v>
      </c>
      <c r="U158" s="14">
        <v>124.27</v>
      </c>
      <c r="V158" s="14">
        <v>171.88</v>
      </c>
      <c r="W158" s="4">
        <f t="shared" si="38"/>
        <v>16.744625219813141</v>
      </c>
      <c r="X158" s="18">
        <f t="shared" si="39"/>
        <v>13.420412217531661</v>
      </c>
      <c r="Y158" s="18">
        <f t="shared" si="40"/>
        <v>8.000402655155467</v>
      </c>
      <c r="Z158" s="18">
        <f t="shared" si="41"/>
        <v>0.67746709709461128</v>
      </c>
      <c r="AA158" s="12">
        <f t="shared" si="42"/>
        <v>1.9795335449110634</v>
      </c>
      <c r="AB158">
        <f t="shared" si="43"/>
        <v>5.2807032897994937</v>
      </c>
      <c r="AC158" s="18">
        <f t="shared" si="32"/>
        <v>0.11262501554367328</v>
      </c>
      <c r="AD158" s="18">
        <f t="shared" si="44"/>
        <v>5.8676301296024747</v>
      </c>
      <c r="AE158" s="12">
        <v>905.79399999999998</v>
      </c>
      <c r="AF158" s="12">
        <v>781.423</v>
      </c>
      <c r="AG158" s="8">
        <f t="shared" si="45"/>
        <v>0.15915963569027272</v>
      </c>
      <c r="AH158">
        <f t="shared" si="46"/>
        <v>6.4205867490018163</v>
      </c>
      <c r="AI158">
        <f t="shared" si="47"/>
        <v>12.410306500866746</v>
      </c>
    </row>
    <row r="159" spans="1:35" x14ac:dyDescent="0.3">
      <c r="A159" t="s">
        <v>60</v>
      </c>
      <c r="B159" s="11">
        <v>2021</v>
      </c>
      <c r="C159" s="12">
        <v>143.298</v>
      </c>
      <c r="D159" s="12">
        <v>5515.2780000000002</v>
      </c>
      <c r="E159" s="12">
        <v>2038.5809999999999</v>
      </c>
      <c r="F159" s="12">
        <v>1086.8409999999999</v>
      </c>
      <c r="G159" s="12">
        <v>7553.8590000000004</v>
      </c>
      <c r="H159" s="12">
        <v>4411.25</v>
      </c>
      <c r="I159" s="12">
        <v>3142.6080000000002</v>
      </c>
      <c r="J159" s="12">
        <v>4115.8900000000003</v>
      </c>
      <c r="K159" s="4">
        <f t="shared" si="33"/>
        <v>1.8347155481044399</v>
      </c>
      <c r="L159" s="5">
        <v>1.8347155481044399E-2</v>
      </c>
      <c r="M159" s="19">
        <f t="shared" si="34"/>
        <v>2.5537285264813079</v>
      </c>
      <c r="N159" s="5">
        <v>2.5537285264813078E-2</v>
      </c>
      <c r="O159" s="19">
        <f t="shared" si="35"/>
        <v>7.8100000000000005</v>
      </c>
      <c r="P159" s="8">
        <v>7.8100000000000003E-2</v>
      </c>
      <c r="Q159" s="19">
        <f t="shared" si="36"/>
        <v>23.159782592592602</v>
      </c>
      <c r="R159" s="12">
        <v>23159.782592592601</v>
      </c>
      <c r="S159" s="4">
        <f t="shared" si="37"/>
        <v>2.9444389791664403</v>
      </c>
      <c r="T159" s="13">
        <v>2003</v>
      </c>
      <c r="U159" s="14">
        <v>124.27</v>
      </c>
      <c r="V159" s="14">
        <v>171.88</v>
      </c>
      <c r="W159" s="4">
        <f t="shared" si="38"/>
        <v>16.744625219813141</v>
      </c>
      <c r="X159" s="18">
        <f t="shared" si="39"/>
        <v>4.5598432893953049</v>
      </c>
      <c r="Y159" s="18">
        <f t="shared" si="40"/>
        <v>1.8970171405105656</v>
      </c>
      <c r="Z159" s="18">
        <f t="shared" si="41"/>
        <v>1.4036908198540829</v>
      </c>
      <c r="AA159" s="12">
        <f t="shared" si="42"/>
        <v>1.3399964527720614</v>
      </c>
      <c r="AB159">
        <f t="shared" si="43"/>
        <v>8.3881874645718693</v>
      </c>
      <c r="AC159" s="18">
        <f t="shared" si="32"/>
        <v>0.14387891010409379</v>
      </c>
      <c r="AD159" s="18">
        <f t="shared" si="44"/>
        <v>5.8676301296024747</v>
      </c>
      <c r="AE159" s="12">
        <v>5722.22</v>
      </c>
      <c r="AF159" s="12">
        <v>6373.7820000000002</v>
      </c>
      <c r="AG159" s="8">
        <f t="shared" si="45"/>
        <v>-0.10222533497380361</v>
      </c>
      <c r="AH159">
        <f t="shared" si="46"/>
        <v>1.3888780855098684</v>
      </c>
      <c r="AI159">
        <f t="shared" si="47"/>
        <v>3.5726672100161267</v>
      </c>
    </row>
    <row r="160" spans="1:35" x14ac:dyDescent="0.3">
      <c r="A160" t="s">
        <v>61</v>
      </c>
      <c r="B160" s="11">
        <v>2021</v>
      </c>
      <c r="C160" s="12">
        <v>653.29100000000005</v>
      </c>
      <c r="D160" s="12">
        <v>7013.5919999999996</v>
      </c>
      <c r="E160" s="12">
        <v>7059.1130000000003</v>
      </c>
      <c r="F160" s="12">
        <v>2540.8310000000001</v>
      </c>
      <c r="G160" s="12">
        <v>14072.706</v>
      </c>
      <c r="H160" s="12">
        <v>7178.0630000000001</v>
      </c>
      <c r="I160" s="12">
        <v>6894.643</v>
      </c>
      <c r="J160" s="12">
        <v>5397.24</v>
      </c>
      <c r="K160" s="4">
        <f t="shared" si="33"/>
        <v>1.8347155481044399</v>
      </c>
      <c r="L160" s="5">
        <v>1.8347155481044399E-2</v>
      </c>
      <c r="M160" s="19">
        <f t="shared" si="34"/>
        <v>2.5537285264813079</v>
      </c>
      <c r="N160" s="5">
        <v>2.5537285264813078E-2</v>
      </c>
      <c r="O160" s="19">
        <f t="shared" si="35"/>
        <v>7.8100000000000005</v>
      </c>
      <c r="P160" s="8">
        <v>7.8100000000000003E-2</v>
      </c>
      <c r="Q160" s="19">
        <f t="shared" si="36"/>
        <v>23.159782592592602</v>
      </c>
      <c r="R160" s="12">
        <v>23159.782592592601</v>
      </c>
      <c r="S160" s="4">
        <f t="shared" si="37"/>
        <v>3.3672958299864741</v>
      </c>
      <c r="T160" s="13">
        <v>1993</v>
      </c>
      <c r="U160" s="14">
        <v>124.27</v>
      </c>
      <c r="V160" s="14">
        <v>171.88</v>
      </c>
      <c r="W160" s="4">
        <f t="shared" si="38"/>
        <v>16.744625219813141</v>
      </c>
      <c r="X160" s="18">
        <f t="shared" si="39"/>
        <v>9.4753419430128591</v>
      </c>
      <c r="Y160" s="18">
        <f t="shared" si="40"/>
        <v>4.6422557253736425</v>
      </c>
      <c r="Z160" s="18">
        <f t="shared" si="41"/>
        <v>1.0411072770555343</v>
      </c>
      <c r="AA160" s="12">
        <f t="shared" si="42"/>
        <v>1.2994775107277052</v>
      </c>
      <c r="AB160">
        <f t="shared" si="43"/>
        <v>9.0103660827916414</v>
      </c>
      <c r="AC160" s="18">
        <f t="shared" si="32"/>
        <v>0.18055027938478926</v>
      </c>
      <c r="AD160" s="18">
        <f t="shared" si="44"/>
        <v>5.8676301296024747</v>
      </c>
      <c r="AE160" s="12">
        <v>10675.273999999999</v>
      </c>
      <c r="AF160" s="12">
        <v>8465.7649999999994</v>
      </c>
      <c r="AG160" s="8">
        <f t="shared" si="45"/>
        <v>0.26099342469345654</v>
      </c>
      <c r="AH160">
        <f t="shared" si="46"/>
        <v>2.6741748726937189</v>
      </c>
      <c r="AI160">
        <f t="shared" si="47"/>
        <v>4.289146655441531</v>
      </c>
    </row>
    <row r="161" spans="1:35" x14ac:dyDescent="0.3">
      <c r="A161" t="s">
        <v>62</v>
      </c>
      <c r="B161" s="11">
        <v>2021</v>
      </c>
      <c r="C161" s="12">
        <v>18.071999999999999</v>
      </c>
      <c r="D161" s="12">
        <v>788.81</v>
      </c>
      <c r="E161" s="12">
        <v>286.17399999999998</v>
      </c>
      <c r="F161" s="12">
        <v>265.30599999999998</v>
      </c>
      <c r="G161" s="12">
        <v>1074.9829999999999</v>
      </c>
      <c r="H161" s="12">
        <v>457.03800000000001</v>
      </c>
      <c r="I161" s="12">
        <v>617.94500000000005</v>
      </c>
      <c r="J161" s="12">
        <v>450.15</v>
      </c>
      <c r="K161" s="4">
        <f t="shared" si="33"/>
        <v>1.8347155481044399</v>
      </c>
      <c r="L161" s="5">
        <v>1.8347155481044399E-2</v>
      </c>
      <c r="M161" s="19">
        <f t="shared" si="34"/>
        <v>2.5537285264813079</v>
      </c>
      <c r="N161" s="5">
        <v>2.5537285264813078E-2</v>
      </c>
      <c r="O161" s="19">
        <f t="shared" si="35"/>
        <v>7.8100000000000005</v>
      </c>
      <c r="P161" s="8">
        <v>7.8100000000000003E-2</v>
      </c>
      <c r="Q161" s="19">
        <f t="shared" si="36"/>
        <v>23.159782592592602</v>
      </c>
      <c r="R161" s="12">
        <v>23159.782592592601</v>
      </c>
      <c r="S161" s="4">
        <f t="shared" si="37"/>
        <v>3.044522437723423</v>
      </c>
      <c r="T161" s="13">
        <v>2001</v>
      </c>
      <c r="U161" s="14">
        <v>124.27</v>
      </c>
      <c r="V161" s="14">
        <v>171.88</v>
      </c>
      <c r="W161" s="4">
        <f t="shared" si="38"/>
        <v>16.744625219813141</v>
      </c>
      <c r="X161" s="18">
        <f t="shared" si="39"/>
        <v>2.9245321185542399</v>
      </c>
      <c r="Y161" s="18">
        <f t="shared" si="40"/>
        <v>1.6811428645848354</v>
      </c>
      <c r="Z161" s="18">
        <f t="shared" si="41"/>
        <v>0.73960951217341342</v>
      </c>
      <c r="AA161" s="12">
        <f t="shared" si="42"/>
        <v>1.7523270021104076</v>
      </c>
      <c r="AB161">
        <f t="shared" si="43"/>
        <v>6.4384337535645297</v>
      </c>
      <c r="AC161" s="18">
        <f t="shared" si="32"/>
        <v>0.24680018195636583</v>
      </c>
      <c r="AD161" s="18">
        <f t="shared" si="44"/>
        <v>5.8676301296024747</v>
      </c>
      <c r="AE161" s="12">
        <v>494.51299999999998</v>
      </c>
      <c r="AF161" s="12">
        <v>416.928</v>
      </c>
      <c r="AG161" s="8">
        <f t="shared" si="45"/>
        <v>0.18608728605418676</v>
      </c>
      <c r="AH161">
        <f t="shared" si="46"/>
        <v>1.6466236976292237E-2</v>
      </c>
      <c r="AI161">
        <f t="shared" si="47"/>
        <v>3.0337024337961118E-2</v>
      </c>
    </row>
    <row r="162" spans="1:35" x14ac:dyDescent="0.3">
      <c r="A162" t="s">
        <v>63</v>
      </c>
      <c r="B162" s="11">
        <v>2021</v>
      </c>
      <c r="C162" s="12">
        <v>39.631</v>
      </c>
      <c r="D162" s="12">
        <v>189.40299999999999</v>
      </c>
      <c r="E162" s="12">
        <v>90.349000000000004</v>
      </c>
      <c r="F162" s="12">
        <v>73.075000000000003</v>
      </c>
      <c r="G162" s="12">
        <v>279.75200000000001</v>
      </c>
      <c r="H162" s="12">
        <v>83.292000000000002</v>
      </c>
      <c r="I162" s="12">
        <v>196.459</v>
      </c>
      <c r="J162" s="12">
        <v>80.52</v>
      </c>
      <c r="K162" s="4">
        <f t="shared" si="33"/>
        <v>1.8347155481044399</v>
      </c>
      <c r="L162" s="5">
        <v>1.8347155481044399E-2</v>
      </c>
      <c r="M162" s="19">
        <f t="shared" si="34"/>
        <v>2.5537285264813079</v>
      </c>
      <c r="N162" s="5">
        <v>2.5537285264813078E-2</v>
      </c>
      <c r="O162" s="19">
        <f t="shared" si="35"/>
        <v>7.8100000000000005</v>
      </c>
      <c r="P162" s="8">
        <v>7.8100000000000003E-2</v>
      </c>
      <c r="Q162" s="19">
        <f t="shared" si="36"/>
        <v>23.159782592592602</v>
      </c>
      <c r="R162" s="12">
        <v>23159.782592592601</v>
      </c>
      <c r="S162" s="4">
        <f t="shared" si="37"/>
        <v>3.6109179126442243</v>
      </c>
      <c r="T162" s="13">
        <v>1985</v>
      </c>
      <c r="U162" s="14">
        <v>124.27</v>
      </c>
      <c r="V162" s="14">
        <v>171.88</v>
      </c>
      <c r="W162" s="4">
        <f t="shared" si="38"/>
        <v>16.744625219813141</v>
      </c>
      <c r="X162" s="18">
        <f t="shared" si="39"/>
        <v>20.172656890241729</v>
      </c>
      <c r="Y162" s="18">
        <f t="shared" si="40"/>
        <v>14.166476021619149</v>
      </c>
      <c r="Z162" s="18">
        <f t="shared" si="41"/>
        <v>0.42396632376220994</v>
      </c>
      <c r="AA162" s="12">
        <f t="shared" si="42"/>
        <v>2.3522478887232987</v>
      </c>
      <c r="AB162">
        <f t="shared" si="43"/>
        <v>5.0922771234881692</v>
      </c>
      <c r="AC162" s="18">
        <f t="shared" si="32"/>
        <v>0.26121350338871574</v>
      </c>
      <c r="AD162" s="18">
        <f t="shared" si="44"/>
        <v>5.8676301296024747</v>
      </c>
      <c r="AE162" s="12">
        <v>415.38200000000001</v>
      </c>
      <c r="AF162" s="12">
        <v>408.07100000000003</v>
      </c>
      <c r="AG162" s="8">
        <f t="shared" si="45"/>
        <v>1.7915999911780004E-2</v>
      </c>
      <c r="AH162">
        <f t="shared" si="46"/>
        <v>11.685658531884654</v>
      </c>
      <c r="AI162">
        <f t="shared" si="47"/>
        <v>15.295497688615884</v>
      </c>
    </row>
    <row r="163" spans="1:35" x14ac:dyDescent="0.3">
      <c r="A163" t="s">
        <v>64</v>
      </c>
      <c r="B163" s="11">
        <v>2021</v>
      </c>
      <c r="C163" s="12">
        <v>167.148</v>
      </c>
      <c r="D163" s="12">
        <v>698.24099999999999</v>
      </c>
      <c r="E163" s="12">
        <v>469.40300000000002</v>
      </c>
      <c r="F163" s="12">
        <v>410.30700000000002</v>
      </c>
      <c r="G163" s="12">
        <v>1167.644</v>
      </c>
      <c r="H163" s="12">
        <v>418.54300000000001</v>
      </c>
      <c r="I163" s="12">
        <v>749.101</v>
      </c>
      <c r="J163" s="12">
        <v>410.2</v>
      </c>
      <c r="K163" s="4">
        <f t="shared" si="33"/>
        <v>1.8347155481044399</v>
      </c>
      <c r="L163" s="5">
        <v>1.8347155481044399E-2</v>
      </c>
      <c r="M163" s="19">
        <f t="shared" si="34"/>
        <v>2.5537285264813079</v>
      </c>
      <c r="N163" s="5">
        <v>2.5537285264813078E-2</v>
      </c>
      <c r="O163" s="19">
        <f t="shared" si="35"/>
        <v>7.8100000000000005</v>
      </c>
      <c r="P163" s="8">
        <v>7.8100000000000003E-2</v>
      </c>
      <c r="Q163" s="19">
        <f t="shared" si="36"/>
        <v>23.159782592592602</v>
      </c>
      <c r="R163" s="12">
        <v>23159.782592592601</v>
      </c>
      <c r="S163" s="4">
        <f t="shared" si="37"/>
        <v>3.912023005428146</v>
      </c>
      <c r="T163" s="13">
        <v>1972</v>
      </c>
      <c r="U163" s="14">
        <v>124.27</v>
      </c>
      <c r="V163" s="14">
        <v>171.88</v>
      </c>
      <c r="W163" s="4">
        <f t="shared" si="38"/>
        <v>16.744625219813141</v>
      </c>
      <c r="X163" s="18">
        <f t="shared" si="39"/>
        <v>22.313146024367875</v>
      </c>
      <c r="Y163" s="18">
        <f t="shared" si="40"/>
        <v>14.314979565689542</v>
      </c>
      <c r="Z163" s="18">
        <f t="shared" si="41"/>
        <v>0.55872706083692325</v>
      </c>
      <c r="AA163" s="12">
        <f t="shared" si="42"/>
        <v>1.7021964895173087</v>
      </c>
      <c r="AB163">
        <f t="shared" si="43"/>
        <v>6.5211169494896311</v>
      </c>
      <c r="AC163" s="18">
        <f t="shared" si="32"/>
        <v>0.35139734371092562</v>
      </c>
      <c r="AD163" s="18">
        <f t="shared" si="44"/>
        <v>5.8676301296024747</v>
      </c>
      <c r="AE163" s="12">
        <v>2652.84</v>
      </c>
      <c r="AF163" s="12">
        <v>2991.9009999999998</v>
      </c>
      <c r="AG163" s="8">
        <f t="shared" si="45"/>
        <v>-0.1133262765044698</v>
      </c>
      <c r="AH163">
        <f t="shared" si="46"/>
        <v>22.611281271218836</v>
      </c>
      <c r="AI163">
        <f t="shared" si="47"/>
        <v>36.095712273370417</v>
      </c>
    </row>
    <row r="164" spans="1:35" x14ac:dyDescent="0.3">
      <c r="A164" t="s">
        <v>65</v>
      </c>
      <c r="B164" s="11">
        <v>2021</v>
      </c>
      <c r="C164" s="12">
        <v>33.152000000000001</v>
      </c>
      <c r="D164" s="12">
        <v>930.06399999999996</v>
      </c>
      <c r="E164" s="12">
        <v>1596.8019999999999</v>
      </c>
      <c r="F164" s="12">
        <v>1186.7170000000001</v>
      </c>
      <c r="G164" s="12">
        <v>2526.866</v>
      </c>
      <c r="H164" s="12">
        <v>922.745</v>
      </c>
      <c r="I164" s="12">
        <v>1604.1220000000001</v>
      </c>
      <c r="J164" s="12">
        <v>846.11</v>
      </c>
      <c r="K164" s="4">
        <f t="shared" si="33"/>
        <v>1.8347155481044399</v>
      </c>
      <c r="L164" s="5">
        <v>1.8347155481044399E-2</v>
      </c>
      <c r="M164" s="19">
        <f t="shared" si="34"/>
        <v>2.5537285264813079</v>
      </c>
      <c r="N164" s="5">
        <v>2.5537285264813078E-2</v>
      </c>
      <c r="O164" s="19">
        <f t="shared" si="35"/>
        <v>7.8100000000000005</v>
      </c>
      <c r="P164" s="8">
        <v>7.8100000000000003E-2</v>
      </c>
      <c r="Q164" s="19">
        <f t="shared" si="36"/>
        <v>23.159782592592602</v>
      </c>
      <c r="R164" s="12">
        <v>23159.782592592601</v>
      </c>
      <c r="S164" s="4">
        <f t="shared" si="37"/>
        <v>3.7376696182833684</v>
      </c>
      <c r="T164" s="13">
        <v>1980</v>
      </c>
      <c r="U164" s="14">
        <v>124.27</v>
      </c>
      <c r="V164" s="14">
        <v>171.88</v>
      </c>
      <c r="W164" s="4">
        <f t="shared" si="38"/>
        <v>16.744625219813141</v>
      </c>
      <c r="X164" s="18">
        <f t="shared" si="39"/>
        <v>2.0666757266591942</v>
      </c>
      <c r="Y164" s="18">
        <f t="shared" si="40"/>
        <v>1.3119809281536892</v>
      </c>
      <c r="Z164" s="18">
        <f t="shared" si="41"/>
        <v>0.5752336792338737</v>
      </c>
      <c r="AA164" s="12">
        <f t="shared" si="42"/>
        <v>1.0992235052179975</v>
      </c>
      <c r="AB164">
        <f t="shared" si="43"/>
        <v>7.2931087057583897</v>
      </c>
      <c r="AC164" s="18">
        <f t="shared" si="32"/>
        <v>0.46963986218501502</v>
      </c>
      <c r="AD164" s="18">
        <f t="shared" si="44"/>
        <v>5.8676301296024747</v>
      </c>
      <c r="AE164" s="12">
        <v>2137.7939999999999</v>
      </c>
      <c r="AF164" s="12">
        <v>1470.8620000000001</v>
      </c>
      <c r="AG164" s="8">
        <f t="shared" si="45"/>
        <v>0.45342934959227971</v>
      </c>
      <c r="AH164">
        <f t="shared" si="46"/>
        <v>0.77686474234545821</v>
      </c>
      <c r="AI164">
        <f t="shared" si="47"/>
        <v>1.1904157085784226</v>
      </c>
    </row>
    <row r="165" spans="1:35" x14ac:dyDescent="0.3">
      <c r="A165" t="s">
        <v>66</v>
      </c>
      <c r="B165" s="11">
        <v>2021</v>
      </c>
      <c r="C165" s="12">
        <v>319.11200000000002</v>
      </c>
      <c r="D165" s="12">
        <v>2218.732</v>
      </c>
      <c r="E165" s="12">
        <v>268.23500000000001</v>
      </c>
      <c r="F165" s="12">
        <v>141.76599999999999</v>
      </c>
      <c r="G165" s="12">
        <v>2486.9659999999999</v>
      </c>
      <c r="H165" s="12">
        <v>313.58199999999999</v>
      </c>
      <c r="I165" s="12">
        <v>2173.3850000000002</v>
      </c>
      <c r="J165" s="12">
        <v>289.93</v>
      </c>
      <c r="K165" s="4">
        <f t="shared" si="33"/>
        <v>1.8347155481044399</v>
      </c>
      <c r="L165" s="5">
        <v>1.8347155481044399E-2</v>
      </c>
      <c r="M165" s="19">
        <f t="shared" si="34"/>
        <v>2.5537285264813079</v>
      </c>
      <c r="N165" s="5">
        <v>2.5537285264813078E-2</v>
      </c>
      <c r="O165" s="19">
        <f t="shared" si="35"/>
        <v>7.8100000000000005</v>
      </c>
      <c r="P165" s="8">
        <v>7.8100000000000003E-2</v>
      </c>
      <c r="Q165" s="19">
        <f t="shared" si="36"/>
        <v>23.159782592592602</v>
      </c>
      <c r="R165" s="12">
        <v>23159.782592592601</v>
      </c>
      <c r="S165" s="4">
        <f t="shared" si="37"/>
        <v>4.1588830833596715</v>
      </c>
      <c r="T165" s="13">
        <v>1958</v>
      </c>
      <c r="U165" s="14">
        <v>124.27</v>
      </c>
      <c r="V165" s="14">
        <v>171.88</v>
      </c>
      <c r="W165" s="4">
        <f t="shared" si="38"/>
        <v>16.744625219813141</v>
      </c>
      <c r="X165" s="18">
        <f t="shared" si="39"/>
        <v>14.682718432307206</v>
      </c>
      <c r="Y165" s="18">
        <f t="shared" si="40"/>
        <v>12.831377670623564</v>
      </c>
      <c r="Z165" s="18">
        <f t="shared" si="41"/>
        <v>0.14428276628393036</v>
      </c>
      <c r="AA165" s="12">
        <f t="shared" si="42"/>
        <v>7.6526471907012033</v>
      </c>
      <c r="AB165">
        <f t="shared" si="43"/>
        <v>7.277192399701585</v>
      </c>
      <c r="AC165" s="18">
        <f t="shared" si="32"/>
        <v>5.7003593937351778E-2</v>
      </c>
      <c r="AD165" s="18">
        <f t="shared" si="44"/>
        <v>5.8676301296024747</v>
      </c>
      <c r="AE165" s="12">
        <v>2927.7939999999999</v>
      </c>
      <c r="AF165" s="12">
        <v>2825.5540000000001</v>
      </c>
      <c r="AG165" s="8">
        <f t="shared" si="45"/>
        <v>3.6184054525236389E-2</v>
      </c>
      <c r="AH165">
        <f t="shared" si="46"/>
        <v>22.96220501293968</v>
      </c>
      <c r="AI165">
        <f t="shared" si="47"/>
        <v>30.785384522595432</v>
      </c>
    </row>
    <row r="166" spans="1:35" x14ac:dyDescent="0.3">
      <c r="A166" t="s">
        <v>67</v>
      </c>
      <c r="B166" s="11">
        <v>2021</v>
      </c>
      <c r="C166" s="12">
        <v>442.36599999999999</v>
      </c>
      <c r="D166" s="12">
        <v>2489.3679999999999</v>
      </c>
      <c r="E166" s="12">
        <v>713.26900000000001</v>
      </c>
      <c r="F166" s="12">
        <v>499.85700000000003</v>
      </c>
      <c r="G166" s="12">
        <v>3202.6370000000002</v>
      </c>
      <c r="H166" s="12">
        <v>1707.2360000000001</v>
      </c>
      <c r="I166" s="12">
        <v>1495.4010000000001</v>
      </c>
      <c r="J166" s="12">
        <v>1528.82</v>
      </c>
      <c r="K166" s="4">
        <f t="shared" si="33"/>
        <v>1.8347155481044399</v>
      </c>
      <c r="L166" s="5">
        <v>1.8347155481044399E-2</v>
      </c>
      <c r="M166" s="19">
        <f t="shared" si="34"/>
        <v>2.5537285264813079</v>
      </c>
      <c r="N166" s="5">
        <v>2.5537285264813078E-2</v>
      </c>
      <c r="O166" s="19">
        <f t="shared" si="35"/>
        <v>7.8100000000000005</v>
      </c>
      <c r="P166" s="8">
        <v>7.8100000000000003E-2</v>
      </c>
      <c r="Q166" s="19">
        <f t="shared" si="36"/>
        <v>23.159782592592602</v>
      </c>
      <c r="R166" s="12">
        <v>23159.782592592601</v>
      </c>
      <c r="S166" s="4">
        <f t="shared" si="37"/>
        <v>3.5263605246161616</v>
      </c>
      <c r="T166" s="13">
        <v>1988</v>
      </c>
      <c r="U166" s="14">
        <v>124.27</v>
      </c>
      <c r="V166" s="14">
        <v>171.88</v>
      </c>
      <c r="W166" s="4">
        <f t="shared" si="38"/>
        <v>16.744625219813141</v>
      </c>
      <c r="X166" s="18">
        <f t="shared" si="39"/>
        <v>29.58176435618272</v>
      </c>
      <c r="Y166" s="18">
        <f t="shared" si="40"/>
        <v>13.812555091320059</v>
      </c>
      <c r="Z166" s="18">
        <f t="shared" si="41"/>
        <v>1.1416576557057272</v>
      </c>
      <c r="AA166" s="12">
        <f t="shared" si="42"/>
        <v>1.6282937167227012</v>
      </c>
      <c r="AB166">
        <f t="shared" si="43"/>
        <v>7.530103439016032</v>
      </c>
      <c r="AC166" s="18">
        <f t="shared" si="32"/>
        <v>0.15607669554807491</v>
      </c>
      <c r="AD166" s="18">
        <f t="shared" si="44"/>
        <v>5.8676301296024747</v>
      </c>
      <c r="AE166" s="12">
        <v>4749.098</v>
      </c>
      <c r="AF166" s="12">
        <v>3817.9250000000002</v>
      </c>
      <c r="AG166" s="8">
        <f t="shared" si="45"/>
        <v>0.24389504770261325</v>
      </c>
      <c r="AH166">
        <f t="shared" si="46"/>
        <v>8.8210278355478344</v>
      </c>
      <c r="AI166">
        <f t="shared" si="47"/>
        <v>16.07232006656497</v>
      </c>
    </row>
    <row r="167" spans="1:35" x14ac:dyDescent="0.3">
      <c r="A167" t="s">
        <v>68</v>
      </c>
      <c r="B167" s="11">
        <v>2021</v>
      </c>
      <c r="C167" s="12">
        <v>10101.380999999999</v>
      </c>
      <c r="D167" s="12">
        <v>43630.175999999999</v>
      </c>
      <c r="E167" s="12">
        <v>82463.294999999998</v>
      </c>
      <c r="F167" s="12">
        <v>42653.938999999998</v>
      </c>
      <c r="G167" s="12">
        <v>126093.47100000001</v>
      </c>
      <c r="H167" s="12">
        <v>83756.819000000003</v>
      </c>
      <c r="I167" s="12">
        <v>42336.652000000002</v>
      </c>
      <c r="J167" s="12">
        <v>34547.839999999997</v>
      </c>
      <c r="K167" s="4">
        <f t="shared" si="33"/>
        <v>1.8347155481044399</v>
      </c>
      <c r="L167" s="5">
        <v>1.8347155481044399E-2</v>
      </c>
      <c r="M167" s="19">
        <f t="shared" si="34"/>
        <v>2.5537285264813079</v>
      </c>
      <c r="N167" s="5">
        <v>2.5537285264813078E-2</v>
      </c>
      <c r="O167" s="19">
        <f t="shared" si="35"/>
        <v>7.8100000000000005</v>
      </c>
      <c r="P167" s="8">
        <v>7.8100000000000003E-2</v>
      </c>
      <c r="Q167" s="19">
        <f t="shared" si="36"/>
        <v>23.159782592592602</v>
      </c>
      <c r="R167" s="12">
        <v>23159.782592592601</v>
      </c>
      <c r="S167" s="4">
        <f t="shared" si="37"/>
        <v>2.8903717578961645</v>
      </c>
      <c r="T167" s="13">
        <v>2004</v>
      </c>
      <c r="U167" s="14">
        <v>124.27</v>
      </c>
      <c r="V167" s="14">
        <v>171.88</v>
      </c>
      <c r="W167" s="4">
        <f t="shared" si="38"/>
        <v>16.744625219813141</v>
      </c>
      <c r="X167" s="18">
        <f t="shared" si="39"/>
        <v>23.859659474254126</v>
      </c>
      <c r="Y167" s="18">
        <f t="shared" si="40"/>
        <v>8.0110262013486793</v>
      </c>
      <c r="Z167" s="18">
        <f t="shared" si="41"/>
        <v>1.9783524450634404</v>
      </c>
      <c r="AA167" s="12">
        <f t="shared" si="42"/>
        <v>1.2628915729608567</v>
      </c>
      <c r="AB167">
        <f t="shared" si="43"/>
        <v>11.203152371325903</v>
      </c>
      <c r="AC167" s="18">
        <f t="shared" si="32"/>
        <v>0.33827238366687518</v>
      </c>
      <c r="AD167" s="18">
        <f t="shared" si="44"/>
        <v>5.8676301296024747</v>
      </c>
      <c r="AE167" s="12">
        <v>89791.619000000006</v>
      </c>
      <c r="AF167" s="12">
        <v>78868.319000000003</v>
      </c>
      <c r="AG167" s="8">
        <f t="shared" si="45"/>
        <v>0.13850047951446767</v>
      </c>
      <c r="AH167">
        <f t="shared" si="46"/>
        <v>1.2053347497915134</v>
      </c>
      <c r="AI167">
        <f t="shared" si="47"/>
        <v>5.5733018397437757</v>
      </c>
    </row>
    <row r="168" spans="1:35" x14ac:dyDescent="0.3">
      <c r="A168" t="s">
        <v>69</v>
      </c>
      <c r="B168" s="11">
        <v>2021</v>
      </c>
      <c r="C168" s="12">
        <v>77.605000000000004</v>
      </c>
      <c r="D168" s="12">
        <v>1029.32</v>
      </c>
      <c r="E168" s="12">
        <v>624.73699999999997</v>
      </c>
      <c r="F168" s="12">
        <v>363.97899999999998</v>
      </c>
      <c r="G168" s="12">
        <v>1654.056</v>
      </c>
      <c r="H168" s="12">
        <v>817.65899999999999</v>
      </c>
      <c r="I168" s="12">
        <v>836.39800000000002</v>
      </c>
      <c r="J168" s="12">
        <v>700.84</v>
      </c>
      <c r="K168" s="4">
        <f t="shared" si="33"/>
        <v>1.8347155481044399</v>
      </c>
      <c r="L168" s="5">
        <v>1.8347155481044399E-2</v>
      </c>
      <c r="M168" s="19">
        <f t="shared" si="34"/>
        <v>2.5537285264813079</v>
      </c>
      <c r="N168" s="5">
        <v>2.5537285264813078E-2</v>
      </c>
      <c r="O168" s="19">
        <f t="shared" si="35"/>
        <v>7.8100000000000005</v>
      </c>
      <c r="P168" s="8">
        <v>7.8100000000000003E-2</v>
      </c>
      <c r="Q168" s="19">
        <f t="shared" si="36"/>
        <v>23.159782592592602</v>
      </c>
      <c r="R168" s="12">
        <v>23159.782592592601</v>
      </c>
      <c r="S168" s="4">
        <f t="shared" si="37"/>
        <v>3.2958368660043291</v>
      </c>
      <c r="T168" s="13">
        <v>1995</v>
      </c>
      <c r="U168" s="14">
        <v>124.27</v>
      </c>
      <c r="V168" s="14">
        <v>171.88</v>
      </c>
      <c r="W168" s="4">
        <f t="shared" si="38"/>
        <v>16.744625219813141</v>
      </c>
      <c r="X168" s="18">
        <f t="shared" si="39"/>
        <v>9.2784774712517262</v>
      </c>
      <c r="Y168" s="18">
        <f t="shared" si="40"/>
        <v>4.6918000357908083</v>
      </c>
      <c r="Z168" s="18">
        <f t="shared" si="41"/>
        <v>0.97759559444188049</v>
      </c>
      <c r="AA168" s="12">
        <f t="shared" si="42"/>
        <v>1.4686947092060954</v>
      </c>
      <c r="AB168">
        <f t="shared" si="43"/>
        <v>6.8693593594073858</v>
      </c>
      <c r="AC168" s="18">
        <f t="shared" si="32"/>
        <v>0.22005240451351102</v>
      </c>
      <c r="AD168" s="18">
        <f t="shared" si="44"/>
        <v>5.8676301296024747</v>
      </c>
      <c r="AE168" s="12">
        <v>1629.279</v>
      </c>
      <c r="AF168" s="12">
        <v>1216.0550000000001</v>
      </c>
      <c r="AG168" s="8">
        <f t="shared" si="45"/>
        <v>0.33980699886107119</v>
      </c>
      <c r="AH168">
        <f t="shared" si="46"/>
        <v>3.9986852565477942</v>
      </c>
      <c r="AI168">
        <f t="shared" si="47"/>
        <v>8.1654694462422732</v>
      </c>
    </row>
    <row r="169" spans="1:35" x14ac:dyDescent="0.3">
      <c r="A169" t="s">
        <v>70</v>
      </c>
      <c r="B169" s="11">
        <v>2021</v>
      </c>
      <c r="C169" s="12">
        <v>54.35</v>
      </c>
      <c r="D169" s="12">
        <v>376.24799999999999</v>
      </c>
      <c r="E169" s="12">
        <v>490.76400000000001</v>
      </c>
      <c r="F169" s="12">
        <v>314.37200000000001</v>
      </c>
      <c r="G169" s="12">
        <v>867.01199999999994</v>
      </c>
      <c r="H169" s="12">
        <v>488.91500000000002</v>
      </c>
      <c r="I169" s="12">
        <v>378.09699999999998</v>
      </c>
      <c r="J169" s="12">
        <v>419.16</v>
      </c>
      <c r="K169" s="4">
        <f t="shared" si="33"/>
        <v>1.8347155481044399</v>
      </c>
      <c r="L169" s="5">
        <v>1.8347155481044399E-2</v>
      </c>
      <c r="M169" s="19">
        <f t="shared" si="34"/>
        <v>2.5537285264813079</v>
      </c>
      <c r="N169" s="5">
        <v>2.5537285264813078E-2</v>
      </c>
      <c r="O169" s="19">
        <f t="shared" si="35"/>
        <v>7.8100000000000005</v>
      </c>
      <c r="P169" s="8">
        <v>7.8100000000000003E-2</v>
      </c>
      <c r="Q169" s="19">
        <f t="shared" si="36"/>
        <v>23.159782592592602</v>
      </c>
      <c r="R169" s="12">
        <v>23159.782592592601</v>
      </c>
      <c r="S169" s="4">
        <f t="shared" si="37"/>
        <v>3.3672958299864741</v>
      </c>
      <c r="T169" s="13">
        <v>1993</v>
      </c>
      <c r="U169" s="14">
        <v>124.27</v>
      </c>
      <c r="V169" s="14">
        <v>171.88</v>
      </c>
      <c r="W169" s="4">
        <f t="shared" si="38"/>
        <v>16.744625219813141</v>
      </c>
      <c r="X169" s="18">
        <f t="shared" si="39"/>
        <v>14.37461815354261</v>
      </c>
      <c r="Y169" s="18">
        <f t="shared" si="40"/>
        <v>6.2686560278289116</v>
      </c>
      <c r="Z169" s="18">
        <f t="shared" si="41"/>
        <v>1.2930941001912208</v>
      </c>
      <c r="AA169" s="12">
        <f t="shared" si="42"/>
        <v>0.89762381906670474</v>
      </c>
      <c r="AB169">
        <f t="shared" si="43"/>
        <v>6.2234264445965053</v>
      </c>
      <c r="AC169" s="18">
        <f t="shared" si="32"/>
        <v>0.36259244393387868</v>
      </c>
      <c r="AD169" s="18">
        <f t="shared" si="44"/>
        <v>5.8676301296024747</v>
      </c>
      <c r="AE169" s="12">
        <v>929.90700000000004</v>
      </c>
      <c r="AF169" s="12">
        <v>887.13400000000001</v>
      </c>
      <c r="AG169" s="8">
        <f t="shared" si="45"/>
        <v>4.821481309475234E-2</v>
      </c>
      <c r="AH169">
        <f t="shared" si="46"/>
        <v>8.2646369466292224</v>
      </c>
      <c r="AI169">
        <f t="shared" si="47"/>
        <v>20.160775524979897</v>
      </c>
    </row>
    <row r="170" spans="1:35" x14ac:dyDescent="0.3">
      <c r="A170" t="s">
        <v>71</v>
      </c>
      <c r="B170" s="11">
        <v>2021</v>
      </c>
      <c r="C170" s="12">
        <v>225.631</v>
      </c>
      <c r="D170" s="12">
        <v>1043.93</v>
      </c>
      <c r="E170" s="12">
        <v>888.029</v>
      </c>
      <c r="F170" s="12">
        <v>735.346</v>
      </c>
      <c r="G170" s="12">
        <v>1931.9590000000001</v>
      </c>
      <c r="H170" s="12">
        <v>627.32600000000002</v>
      </c>
      <c r="I170" s="12">
        <v>1304.633</v>
      </c>
      <c r="J170" s="12">
        <v>595.38</v>
      </c>
      <c r="K170" s="4">
        <f t="shared" si="33"/>
        <v>1.8347155481044399</v>
      </c>
      <c r="L170" s="5">
        <v>1.8347155481044399E-2</v>
      </c>
      <c r="M170" s="19">
        <f t="shared" si="34"/>
        <v>2.5537285264813079</v>
      </c>
      <c r="N170" s="5">
        <v>2.5537285264813078E-2</v>
      </c>
      <c r="O170" s="19">
        <f t="shared" si="35"/>
        <v>7.8100000000000005</v>
      </c>
      <c r="P170" s="8">
        <v>7.8100000000000003E-2</v>
      </c>
      <c r="Q170" s="19">
        <f t="shared" si="36"/>
        <v>23.159782592592602</v>
      </c>
      <c r="R170" s="12">
        <v>23159.782592592601</v>
      </c>
      <c r="S170" s="4">
        <f t="shared" si="37"/>
        <v>3.9889840465642745</v>
      </c>
      <c r="T170" s="13">
        <v>1968</v>
      </c>
      <c r="U170" s="14">
        <v>124.27</v>
      </c>
      <c r="V170" s="14">
        <v>171.88</v>
      </c>
      <c r="W170" s="4">
        <f t="shared" si="38"/>
        <v>16.744625219813141</v>
      </c>
      <c r="X170" s="18">
        <f t="shared" si="39"/>
        <v>17.294595491605687</v>
      </c>
      <c r="Y170" s="18">
        <f t="shared" si="40"/>
        <v>11.67887103194219</v>
      </c>
      <c r="Z170" s="18">
        <f t="shared" si="41"/>
        <v>0.48084480463088086</v>
      </c>
      <c r="AA170" s="12">
        <f t="shared" si="42"/>
        <v>1.7533843931606705</v>
      </c>
      <c r="AB170">
        <f t="shared" si="43"/>
        <v>7.0246634200964895</v>
      </c>
      <c r="AC170" s="18">
        <f t="shared" si="32"/>
        <v>0.38062194901651636</v>
      </c>
      <c r="AD170" s="18">
        <f t="shared" si="44"/>
        <v>5.8676301296024747</v>
      </c>
      <c r="AE170" s="12">
        <v>2082.5929999999998</v>
      </c>
      <c r="AF170" s="12">
        <v>1790.7639999999999</v>
      </c>
      <c r="AG170" s="8">
        <f t="shared" si="45"/>
        <v>0.16296340556321212</v>
      </c>
      <c r="AH170">
        <f t="shared" si="46"/>
        <v>10.813731715765075</v>
      </c>
      <c r="AI170">
        <f t="shared" si="47"/>
        <v>16.21508469398881</v>
      </c>
    </row>
    <row r="171" spans="1:35" x14ac:dyDescent="0.3">
      <c r="A171" t="s">
        <v>72</v>
      </c>
      <c r="B171" s="11">
        <v>2021</v>
      </c>
      <c r="C171" s="12">
        <v>510.755</v>
      </c>
      <c r="D171" s="12">
        <v>10058.956</v>
      </c>
      <c r="E171" s="12">
        <v>4964.9449999999997</v>
      </c>
      <c r="F171" s="12">
        <v>3402.0590000000002</v>
      </c>
      <c r="G171" s="12">
        <v>15023.901</v>
      </c>
      <c r="H171" s="12">
        <v>7444.2470000000003</v>
      </c>
      <c r="I171" s="12">
        <v>7579.6540000000005</v>
      </c>
      <c r="J171" s="12">
        <v>5992.75</v>
      </c>
      <c r="K171" s="4">
        <f t="shared" si="33"/>
        <v>1.8347155481044399</v>
      </c>
      <c r="L171" s="5">
        <v>1.8347155481044399E-2</v>
      </c>
      <c r="M171" s="19">
        <f t="shared" si="34"/>
        <v>2.5537285264813079</v>
      </c>
      <c r="N171" s="5">
        <v>2.5537285264813078E-2</v>
      </c>
      <c r="O171" s="19">
        <f t="shared" si="35"/>
        <v>7.8100000000000005</v>
      </c>
      <c r="P171" s="8">
        <v>7.8100000000000003E-2</v>
      </c>
      <c r="Q171" s="19">
        <f t="shared" si="36"/>
        <v>23.159782592592602</v>
      </c>
      <c r="R171" s="12">
        <v>23159.782592592601</v>
      </c>
      <c r="S171" s="4">
        <f t="shared" si="37"/>
        <v>3.1780538303479458</v>
      </c>
      <c r="T171" s="13">
        <v>1998</v>
      </c>
      <c r="U171" s="14">
        <v>124.27</v>
      </c>
      <c r="V171" s="14">
        <v>171.88</v>
      </c>
      <c r="W171" s="4">
        <f t="shared" si="38"/>
        <v>16.744625219813141</v>
      </c>
      <c r="X171" s="18">
        <f t="shared" si="39"/>
        <v>6.7385002006687902</v>
      </c>
      <c r="Y171" s="18">
        <f t="shared" si="40"/>
        <v>3.3996163845861336</v>
      </c>
      <c r="Z171" s="18">
        <f t="shared" si="41"/>
        <v>0.98213546423095299</v>
      </c>
      <c r="AA171" s="12">
        <f t="shared" si="42"/>
        <v>1.6785208793959367</v>
      </c>
      <c r="AB171">
        <f t="shared" si="43"/>
        <v>9.075771239050761</v>
      </c>
      <c r="AC171" s="18">
        <f t="shared" si="32"/>
        <v>0.2264431188677295</v>
      </c>
      <c r="AD171" s="18">
        <f t="shared" si="44"/>
        <v>5.8676301296024747</v>
      </c>
      <c r="AE171" s="12">
        <v>9462.8880000000008</v>
      </c>
      <c r="AF171" s="12">
        <v>8541.86</v>
      </c>
      <c r="AG171" s="8">
        <f t="shared" si="45"/>
        <v>0.10782522776069851</v>
      </c>
      <c r="AH171">
        <f t="shared" si="46"/>
        <v>2.9394347977006601</v>
      </c>
      <c r="AI171">
        <f t="shared" si="47"/>
        <v>5.3979375858758747</v>
      </c>
    </row>
    <row r="172" spans="1:35" x14ac:dyDescent="0.3">
      <c r="A172" t="s">
        <v>73</v>
      </c>
      <c r="B172" s="11">
        <v>2021</v>
      </c>
      <c r="C172" s="12">
        <v>1029.0419999999999</v>
      </c>
      <c r="D172" s="12">
        <v>9292.1919999999991</v>
      </c>
      <c r="E172" s="12">
        <v>1326.8240000000001</v>
      </c>
      <c r="F172" s="12">
        <v>909.98500000000001</v>
      </c>
      <c r="G172" s="12">
        <v>10619.017</v>
      </c>
      <c r="H172" s="12">
        <v>4606.3829999999998</v>
      </c>
      <c r="I172" s="12">
        <v>6012.634</v>
      </c>
      <c r="J172" s="12">
        <v>4563</v>
      </c>
      <c r="K172" s="4">
        <f t="shared" si="33"/>
        <v>1.8347155481044399</v>
      </c>
      <c r="L172" s="5">
        <v>1.8347155481044399E-2</v>
      </c>
      <c r="M172" s="19">
        <f t="shared" si="34"/>
        <v>2.5537285264813079</v>
      </c>
      <c r="N172" s="5">
        <v>2.5537285264813078E-2</v>
      </c>
      <c r="O172" s="19">
        <f t="shared" si="35"/>
        <v>7.8100000000000005</v>
      </c>
      <c r="P172" s="8">
        <v>7.8100000000000003E-2</v>
      </c>
      <c r="Q172" s="19">
        <f t="shared" si="36"/>
        <v>23.159782592592602</v>
      </c>
      <c r="R172" s="12">
        <v>23159.782592592601</v>
      </c>
      <c r="S172" s="4">
        <f t="shared" si="37"/>
        <v>3.5263605246161616</v>
      </c>
      <c r="T172" s="13">
        <v>1988</v>
      </c>
      <c r="U172" s="14">
        <v>124.27</v>
      </c>
      <c r="V172" s="14">
        <v>171.88</v>
      </c>
      <c r="W172" s="4">
        <f t="shared" si="38"/>
        <v>16.744625219813141</v>
      </c>
      <c r="X172" s="18">
        <f t="shared" si="39"/>
        <v>17.114662226238949</v>
      </c>
      <c r="Y172" s="18">
        <f t="shared" si="40"/>
        <v>9.6905579866761666</v>
      </c>
      <c r="Z172" s="18">
        <f t="shared" si="41"/>
        <v>0.76611731231270686</v>
      </c>
      <c r="AA172" s="12">
        <f t="shared" si="42"/>
        <v>2.0364216524216521</v>
      </c>
      <c r="AB172">
        <f t="shared" si="43"/>
        <v>8.7287753563879011</v>
      </c>
      <c r="AC172" s="18">
        <f t="shared" si="32"/>
        <v>8.5693901799008335E-2</v>
      </c>
      <c r="AD172" s="18">
        <f t="shared" si="44"/>
        <v>5.8676301296024747</v>
      </c>
      <c r="AE172" s="12">
        <v>19735.646000000001</v>
      </c>
      <c r="AF172" s="12">
        <v>17681.913</v>
      </c>
      <c r="AG172" s="8">
        <f t="shared" si="45"/>
        <v>0.11614880132030964</v>
      </c>
      <c r="AH172">
        <f t="shared" si="46"/>
        <v>12.605111358451214</v>
      </c>
      <c r="AI172">
        <f t="shared" si="47"/>
        <v>20.399430584017665</v>
      </c>
    </row>
    <row r="173" spans="1:35" x14ac:dyDescent="0.3">
      <c r="A173" t="s">
        <v>74</v>
      </c>
      <c r="B173" s="11">
        <v>2021</v>
      </c>
      <c r="C173" s="12">
        <v>398.24200000000002</v>
      </c>
      <c r="D173" s="12">
        <v>4977.5540000000001</v>
      </c>
      <c r="E173" s="12">
        <v>414.74299999999999</v>
      </c>
      <c r="F173" s="12">
        <v>287.71699999999998</v>
      </c>
      <c r="G173" s="12">
        <v>5392.2969999999996</v>
      </c>
      <c r="H173" s="12">
        <v>4023.2049999999999</v>
      </c>
      <c r="I173" s="12">
        <v>1369.0909999999999</v>
      </c>
      <c r="J173" s="12">
        <v>4022.37</v>
      </c>
      <c r="K173" s="4">
        <f t="shared" si="33"/>
        <v>1.8347155481044399</v>
      </c>
      <c r="L173" s="5">
        <v>1.8347155481044399E-2</v>
      </c>
      <c r="M173" s="19">
        <f t="shared" si="34"/>
        <v>2.5537285264813079</v>
      </c>
      <c r="N173" s="5">
        <v>2.5537285264813078E-2</v>
      </c>
      <c r="O173" s="19">
        <f t="shared" si="35"/>
        <v>7.8100000000000005</v>
      </c>
      <c r="P173" s="8">
        <v>7.8100000000000003E-2</v>
      </c>
      <c r="Q173" s="19">
        <f t="shared" si="36"/>
        <v>23.159782592592602</v>
      </c>
      <c r="R173" s="12">
        <v>23159.782592592601</v>
      </c>
      <c r="S173" s="4">
        <f t="shared" si="37"/>
        <v>2.8903717578961645</v>
      </c>
      <c r="T173" s="13">
        <v>2004</v>
      </c>
      <c r="U173" s="14">
        <v>124.27</v>
      </c>
      <c r="V173" s="14">
        <v>171.88</v>
      </c>
      <c r="W173" s="4">
        <f t="shared" si="38"/>
        <v>16.744625219813141</v>
      </c>
      <c r="X173" s="18">
        <f t="shared" si="39"/>
        <v>29.088059157499398</v>
      </c>
      <c r="Y173" s="18">
        <f t="shared" si="40"/>
        <v>7.3853869695975582</v>
      </c>
      <c r="Z173" s="18">
        <f t="shared" si="41"/>
        <v>2.9385957544093126</v>
      </c>
      <c r="AA173" s="12">
        <f t="shared" si="42"/>
        <v>1.2374679604312881</v>
      </c>
      <c r="AB173">
        <f t="shared" si="43"/>
        <v>8.0511003597588786</v>
      </c>
      <c r="AC173" s="18">
        <f t="shared" si="32"/>
        <v>5.3357038753614645E-2</v>
      </c>
      <c r="AD173" s="18">
        <f t="shared" si="44"/>
        <v>5.8676301296024747</v>
      </c>
      <c r="AE173" s="12">
        <v>5719.8320000000003</v>
      </c>
      <c r="AF173" s="12">
        <v>4931.4030000000002</v>
      </c>
      <c r="AG173" s="8">
        <f t="shared" si="45"/>
        <v>0.15987924734603925</v>
      </c>
      <c r="AH173">
        <f t="shared" si="46"/>
        <v>8.3477644875375425</v>
      </c>
      <c r="AI173">
        <f t="shared" si="47"/>
        <v>31.138655508900143</v>
      </c>
    </row>
    <row r="174" spans="1:35" x14ac:dyDescent="0.3">
      <c r="A174" t="s">
        <v>75</v>
      </c>
      <c r="B174" s="11">
        <v>2021</v>
      </c>
      <c r="C174" s="12">
        <v>3929.306</v>
      </c>
      <c r="D174" s="12">
        <v>22877.032999999999</v>
      </c>
      <c r="E174" s="12">
        <v>7609.991</v>
      </c>
      <c r="F174" s="12">
        <v>4401.8</v>
      </c>
      <c r="G174" s="12">
        <v>30487.024000000001</v>
      </c>
      <c r="H174" s="12">
        <v>7892.2389999999996</v>
      </c>
      <c r="I174" s="12">
        <v>22594.786</v>
      </c>
      <c r="J174" s="12">
        <v>7258.02</v>
      </c>
      <c r="K174" s="4">
        <f t="shared" si="33"/>
        <v>1.8347155481044399</v>
      </c>
      <c r="L174" s="5">
        <v>1.8347155481044399E-2</v>
      </c>
      <c r="M174" s="19">
        <f t="shared" si="34"/>
        <v>2.5537285264813079</v>
      </c>
      <c r="N174" s="5">
        <v>2.5537285264813078E-2</v>
      </c>
      <c r="O174" s="19">
        <f t="shared" si="35"/>
        <v>7.8100000000000005</v>
      </c>
      <c r="P174" s="8">
        <v>7.8100000000000003E-2</v>
      </c>
      <c r="Q174" s="19">
        <f t="shared" si="36"/>
        <v>23.159782592592602</v>
      </c>
      <c r="R174" s="12">
        <v>23159.782592592601</v>
      </c>
      <c r="S174" s="4">
        <f t="shared" si="37"/>
        <v>2.9444389791664403</v>
      </c>
      <c r="T174" s="13">
        <v>2003</v>
      </c>
      <c r="U174" s="14">
        <v>124.27</v>
      </c>
      <c r="V174" s="14">
        <v>171.88</v>
      </c>
      <c r="W174" s="4">
        <f t="shared" si="38"/>
        <v>16.744625219813141</v>
      </c>
      <c r="X174" s="18">
        <f t="shared" si="39"/>
        <v>17.390321820264198</v>
      </c>
      <c r="Y174" s="18">
        <f t="shared" si="40"/>
        <v>12.888453789389217</v>
      </c>
      <c r="Z174" s="18">
        <f t="shared" si="41"/>
        <v>0.34929470011355718</v>
      </c>
      <c r="AA174" s="12">
        <f t="shared" si="42"/>
        <v>3.1519661009476412</v>
      </c>
      <c r="AB174">
        <f t="shared" si="43"/>
        <v>9.7834300565274592</v>
      </c>
      <c r="AC174" s="18">
        <f t="shared" si="32"/>
        <v>0.14438273804619303</v>
      </c>
      <c r="AD174" s="18">
        <f t="shared" si="44"/>
        <v>5.8676301296024747</v>
      </c>
      <c r="AE174" s="12">
        <v>26578.007000000001</v>
      </c>
      <c r="AF174" s="12">
        <v>28135.623</v>
      </c>
      <c r="AG174" s="8">
        <f t="shared" si="45"/>
        <v>-5.5360992006468032E-2</v>
      </c>
      <c r="AH174">
        <f t="shared" si="46"/>
        <v>18.034158426384565</v>
      </c>
      <c r="AI174">
        <f t="shared" si="47"/>
        <v>23.270241688111902</v>
      </c>
    </row>
    <row r="175" spans="1:35" x14ac:dyDescent="0.3">
      <c r="A175" t="s">
        <v>76</v>
      </c>
      <c r="B175" s="11">
        <v>2021</v>
      </c>
      <c r="C175" s="12">
        <v>440.75</v>
      </c>
      <c r="D175" s="12">
        <v>15019.928</v>
      </c>
      <c r="E175" s="12">
        <v>8480.0190000000002</v>
      </c>
      <c r="F175" s="12">
        <v>4397.3450000000003</v>
      </c>
      <c r="G175" s="12">
        <v>23499.947</v>
      </c>
      <c r="H175" s="12">
        <v>14058.376</v>
      </c>
      <c r="I175" s="12">
        <v>9441.5720000000001</v>
      </c>
      <c r="J175" s="12">
        <v>10576.66</v>
      </c>
      <c r="K175" s="4">
        <f t="shared" si="33"/>
        <v>1.8347155481044399</v>
      </c>
      <c r="L175" s="5">
        <v>1.8347155481044399E-2</v>
      </c>
      <c r="M175" s="19">
        <f t="shared" si="34"/>
        <v>2.5537285264813079</v>
      </c>
      <c r="N175" s="5">
        <v>2.5537285264813078E-2</v>
      </c>
      <c r="O175" s="19">
        <f t="shared" si="35"/>
        <v>7.8100000000000005</v>
      </c>
      <c r="P175" s="8">
        <v>7.8100000000000003E-2</v>
      </c>
      <c r="Q175" s="19">
        <f t="shared" si="36"/>
        <v>23.159782592592602</v>
      </c>
      <c r="R175" s="12">
        <v>23159.782592592601</v>
      </c>
      <c r="S175" s="4">
        <f t="shared" si="37"/>
        <v>3.2958368660043291</v>
      </c>
      <c r="T175" s="13">
        <v>1995</v>
      </c>
      <c r="U175" s="14">
        <v>124.27</v>
      </c>
      <c r="V175" s="14">
        <v>171.88</v>
      </c>
      <c r="W175" s="4">
        <f t="shared" si="38"/>
        <v>16.744625219813141</v>
      </c>
      <c r="X175" s="18">
        <f t="shared" si="39"/>
        <v>4.6681844930060379</v>
      </c>
      <c r="Y175" s="18">
        <f t="shared" si="40"/>
        <v>1.8755361448261989</v>
      </c>
      <c r="Z175" s="18">
        <f t="shared" si="41"/>
        <v>1.4889867916063131</v>
      </c>
      <c r="AA175" s="12">
        <f t="shared" si="42"/>
        <v>1.4201012417908867</v>
      </c>
      <c r="AB175">
        <f t="shared" si="43"/>
        <v>9.5231270718918548</v>
      </c>
      <c r="AC175" s="18">
        <f t="shared" si="32"/>
        <v>0.18712148584845745</v>
      </c>
      <c r="AD175" s="18">
        <f t="shared" si="44"/>
        <v>5.8676301296024747</v>
      </c>
      <c r="AE175" s="12">
        <v>9322.634</v>
      </c>
      <c r="AF175" s="12">
        <v>14250.472</v>
      </c>
      <c r="AG175" s="8">
        <f t="shared" si="45"/>
        <v>-0.34580173905818695</v>
      </c>
      <c r="AH175">
        <f t="shared" si="46"/>
        <v>3.0818650498167752</v>
      </c>
      <c r="AI175">
        <f t="shared" si="47"/>
        <v>7.1193723799239255</v>
      </c>
    </row>
    <row r="176" spans="1:35" x14ac:dyDescent="0.3">
      <c r="A176" t="s">
        <v>77</v>
      </c>
      <c r="B176" s="11">
        <v>2021</v>
      </c>
      <c r="C176" s="12">
        <v>158.68899999999999</v>
      </c>
      <c r="D176" s="12">
        <v>490.517</v>
      </c>
      <c r="E176" s="12">
        <v>446.58100000000002</v>
      </c>
      <c r="F176" s="12">
        <v>377.97899999999998</v>
      </c>
      <c r="G176" s="12">
        <v>937.09799999999996</v>
      </c>
      <c r="H176" s="12">
        <v>383.005</v>
      </c>
      <c r="I176" s="12">
        <v>554.09400000000005</v>
      </c>
      <c r="J176" s="12">
        <v>357</v>
      </c>
      <c r="K176" s="4">
        <f t="shared" si="33"/>
        <v>1.8347155481044399</v>
      </c>
      <c r="L176" s="5">
        <v>1.8347155481044399E-2</v>
      </c>
      <c r="M176" s="19">
        <f t="shared" si="34"/>
        <v>2.5537285264813079</v>
      </c>
      <c r="N176" s="5">
        <v>2.5537285264813078E-2</v>
      </c>
      <c r="O176" s="19">
        <f t="shared" si="35"/>
        <v>7.8100000000000005</v>
      </c>
      <c r="P176" s="8">
        <v>7.8100000000000003E-2</v>
      </c>
      <c r="Q176" s="19">
        <f t="shared" si="36"/>
        <v>23.159782592592602</v>
      </c>
      <c r="R176" s="12">
        <v>23159.782592592601</v>
      </c>
      <c r="S176" s="4">
        <f t="shared" si="37"/>
        <v>2.6390573296152584</v>
      </c>
      <c r="T176" s="13">
        <v>2008</v>
      </c>
      <c r="U176" s="14">
        <v>124.27</v>
      </c>
      <c r="V176" s="14">
        <v>171.88</v>
      </c>
      <c r="W176" s="4">
        <f t="shared" si="38"/>
        <v>16.744625219813141</v>
      </c>
      <c r="X176" s="18">
        <f t="shared" si="39"/>
        <v>28.639364439968666</v>
      </c>
      <c r="Y176" s="18">
        <f t="shared" si="40"/>
        <v>16.934088003602614</v>
      </c>
      <c r="Z176" s="18">
        <f t="shared" si="41"/>
        <v>0.69122748125769262</v>
      </c>
      <c r="AA176" s="12">
        <f t="shared" si="42"/>
        <v>1.3739971988795519</v>
      </c>
      <c r="AB176">
        <f t="shared" si="43"/>
        <v>6.3011614929648534</v>
      </c>
      <c r="AC176" s="18">
        <f t="shared" si="32"/>
        <v>0.403350556718721</v>
      </c>
      <c r="AD176" s="18">
        <f t="shared" si="44"/>
        <v>5.8676301296024747</v>
      </c>
      <c r="AE176" s="12">
        <v>1191.309</v>
      </c>
      <c r="AF176" s="12">
        <v>1207.165</v>
      </c>
      <c r="AG176" s="8">
        <f t="shared" si="45"/>
        <v>-1.3134906992830304E-2</v>
      </c>
      <c r="AH176">
        <f t="shared" si="46"/>
        <v>19.751141069807353</v>
      </c>
      <c r="AI176">
        <f t="shared" si="47"/>
        <v>32.068015782310724</v>
      </c>
    </row>
    <row r="177" spans="1:35" x14ac:dyDescent="0.3">
      <c r="A177" t="s">
        <v>78</v>
      </c>
      <c r="B177" s="11">
        <v>2021</v>
      </c>
      <c r="C177" s="12">
        <v>40.045000000000002</v>
      </c>
      <c r="D177" s="12">
        <v>507.041</v>
      </c>
      <c r="E177" s="12">
        <v>728.33</v>
      </c>
      <c r="F177" s="12">
        <v>54.462000000000003</v>
      </c>
      <c r="G177" s="12">
        <v>1235.3710000000001</v>
      </c>
      <c r="H177" s="12">
        <v>802.779</v>
      </c>
      <c r="I177" s="12">
        <v>432.59300000000002</v>
      </c>
      <c r="J177" s="12">
        <v>514.73</v>
      </c>
      <c r="K177" s="4">
        <f t="shared" si="33"/>
        <v>1.8347155481044399</v>
      </c>
      <c r="L177" s="5">
        <v>1.8347155481044399E-2</v>
      </c>
      <c r="M177" s="19">
        <f t="shared" si="34"/>
        <v>2.5537285264813079</v>
      </c>
      <c r="N177" s="5">
        <v>2.5537285264813078E-2</v>
      </c>
      <c r="O177" s="19">
        <f t="shared" si="35"/>
        <v>7.8100000000000005</v>
      </c>
      <c r="P177" s="8">
        <v>7.8100000000000003E-2</v>
      </c>
      <c r="Q177" s="19">
        <f t="shared" si="36"/>
        <v>23.159782592592602</v>
      </c>
      <c r="R177" s="12">
        <v>23159.782592592601</v>
      </c>
      <c r="S177" s="4">
        <f t="shared" si="37"/>
        <v>4.1271343850450917</v>
      </c>
      <c r="T177" s="13">
        <v>1960</v>
      </c>
      <c r="U177" s="14">
        <v>124.27</v>
      </c>
      <c r="V177" s="14">
        <v>171.88</v>
      </c>
      <c r="W177" s="4">
        <f t="shared" si="38"/>
        <v>16.744625219813141</v>
      </c>
      <c r="X177" s="18">
        <f t="shared" si="39"/>
        <v>9.2569690216901339</v>
      </c>
      <c r="Y177" s="18">
        <f t="shared" si="40"/>
        <v>3.2415363481901389</v>
      </c>
      <c r="Z177" s="18">
        <f t="shared" si="41"/>
        <v>1.8557373790144547</v>
      </c>
      <c r="AA177" s="12">
        <f t="shared" si="42"/>
        <v>0.9850620713772269</v>
      </c>
      <c r="AB177">
        <f t="shared" si="43"/>
        <v>6.5775002358891692</v>
      </c>
      <c r="AC177" s="18">
        <f t="shared" si="32"/>
        <v>4.4085541914129438E-2</v>
      </c>
      <c r="AD177" s="18">
        <f t="shared" si="44"/>
        <v>5.8676301296024747</v>
      </c>
      <c r="AE177" s="12">
        <v>994.86</v>
      </c>
      <c r="AF177" s="12">
        <v>1383.921</v>
      </c>
      <c r="AG177" s="8">
        <f t="shared" si="45"/>
        <v>-0.28112948643744839</v>
      </c>
      <c r="AH177">
        <f t="shared" si="46"/>
        <v>5.2311784382887305</v>
      </c>
      <c r="AI177">
        <f t="shared" si="47"/>
        <v>17.168532608441812</v>
      </c>
    </row>
    <row r="178" spans="1:35" x14ac:dyDescent="0.3">
      <c r="A178" t="s">
        <v>79</v>
      </c>
      <c r="B178" s="11">
        <v>2021</v>
      </c>
      <c r="C178" s="12">
        <v>54.447000000000003</v>
      </c>
      <c r="D178" s="12">
        <v>324.65800000000002</v>
      </c>
      <c r="E178" s="12">
        <v>189.774</v>
      </c>
      <c r="F178" s="12">
        <v>70.882000000000005</v>
      </c>
      <c r="G178" s="12">
        <v>514.43200000000002</v>
      </c>
      <c r="H178" s="12">
        <v>140.80099999999999</v>
      </c>
      <c r="I178" s="12">
        <v>373.63099999999997</v>
      </c>
      <c r="J178" s="12">
        <v>140.80000000000001</v>
      </c>
      <c r="K178" s="4">
        <f t="shared" si="33"/>
        <v>1.8347155481044399</v>
      </c>
      <c r="L178" s="5">
        <v>1.8347155481044399E-2</v>
      </c>
      <c r="M178" s="19">
        <f t="shared" si="34"/>
        <v>2.5537285264813079</v>
      </c>
      <c r="N178" s="5">
        <v>2.5537285264813078E-2</v>
      </c>
      <c r="O178" s="19">
        <f t="shared" si="35"/>
        <v>7.8100000000000005</v>
      </c>
      <c r="P178" s="8">
        <v>7.8100000000000003E-2</v>
      </c>
      <c r="Q178" s="19">
        <f t="shared" si="36"/>
        <v>23.159782592592602</v>
      </c>
      <c r="R178" s="12">
        <v>23159.782592592601</v>
      </c>
      <c r="S178" s="4">
        <f t="shared" si="37"/>
        <v>3.8286413964890951</v>
      </c>
      <c r="T178" s="13">
        <v>1976</v>
      </c>
      <c r="U178" s="14">
        <v>124.27</v>
      </c>
      <c r="V178" s="14">
        <v>171.88</v>
      </c>
      <c r="W178" s="4">
        <f t="shared" si="38"/>
        <v>16.744625219813141</v>
      </c>
      <c r="X178" s="18">
        <f t="shared" si="39"/>
        <v>14.572398971177448</v>
      </c>
      <c r="Y178" s="18">
        <f t="shared" si="40"/>
        <v>10.58390613336651</v>
      </c>
      <c r="Z178" s="18">
        <f t="shared" si="41"/>
        <v>0.37684506906546833</v>
      </c>
      <c r="AA178" s="12">
        <f t="shared" si="42"/>
        <v>2.305809659090909</v>
      </c>
      <c r="AB178">
        <f t="shared" si="43"/>
        <v>5.7014370064679785</v>
      </c>
      <c r="AC178" s="18">
        <f t="shared" si="32"/>
        <v>0.13778691838765864</v>
      </c>
      <c r="AD178" s="18">
        <f t="shared" si="44"/>
        <v>5.8676301296024747</v>
      </c>
      <c r="AE178" s="12">
        <v>325.97300000000001</v>
      </c>
      <c r="AF178" s="12">
        <v>468.279</v>
      </c>
      <c r="AG178" s="8">
        <f t="shared" si="45"/>
        <v>-0.30389148349595002</v>
      </c>
      <c r="AH178">
        <f t="shared" si="46"/>
        <v>8.308268260881281</v>
      </c>
      <c r="AI178">
        <f t="shared" si="47"/>
        <v>11.699115560874516</v>
      </c>
    </row>
    <row r="179" spans="1:35" x14ac:dyDescent="0.3">
      <c r="A179" t="s">
        <v>80</v>
      </c>
      <c r="B179" s="11">
        <v>2021</v>
      </c>
      <c r="C179" s="12">
        <v>278.48</v>
      </c>
      <c r="D179" s="12">
        <v>986.23</v>
      </c>
      <c r="E179" s="12">
        <v>984.90899999999999</v>
      </c>
      <c r="F179" s="12">
        <v>806.745</v>
      </c>
      <c r="G179" s="12">
        <v>1971.14</v>
      </c>
      <c r="H179" s="12">
        <v>712.14599999999996</v>
      </c>
      <c r="I179" s="12">
        <v>1258.9929999999999</v>
      </c>
      <c r="J179" s="12">
        <v>711.87</v>
      </c>
      <c r="K179" s="4">
        <f t="shared" si="33"/>
        <v>1.8347155481044399</v>
      </c>
      <c r="L179" s="5">
        <v>1.8347155481044399E-2</v>
      </c>
      <c r="M179" s="19">
        <f t="shared" si="34"/>
        <v>2.5537285264813079</v>
      </c>
      <c r="N179" s="5">
        <v>2.5537285264813078E-2</v>
      </c>
      <c r="O179" s="19">
        <f t="shared" si="35"/>
        <v>7.8100000000000005</v>
      </c>
      <c r="P179" s="8">
        <v>7.8100000000000003E-2</v>
      </c>
      <c r="Q179" s="19">
        <f t="shared" si="36"/>
        <v>23.159782592592602</v>
      </c>
      <c r="R179" s="12">
        <v>23159.782592592601</v>
      </c>
      <c r="S179" s="4">
        <f t="shared" si="37"/>
        <v>3.0910424533583161</v>
      </c>
      <c r="T179" s="13">
        <v>2000</v>
      </c>
      <c r="U179" s="14">
        <v>124.27</v>
      </c>
      <c r="V179" s="14">
        <v>171.88</v>
      </c>
      <c r="W179" s="4">
        <f t="shared" si="38"/>
        <v>16.744625219813141</v>
      </c>
      <c r="X179" s="18">
        <f t="shared" si="39"/>
        <v>22.11926515874195</v>
      </c>
      <c r="Y179" s="18">
        <f t="shared" si="40"/>
        <v>14.127865093296265</v>
      </c>
      <c r="Z179" s="18">
        <f t="shared" si="41"/>
        <v>0.56564730701441546</v>
      </c>
      <c r="AA179" s="12">
        <f t="shared" si="42"/>
        <v>1.3854074479890992</v>
      </c>
      <c r="AB179">
        <f t="shared" si="43"/>
        <v>7.0447409616455543</v>
      </c>
      <c r="AC179" s="18">
        <f t="shared" si="32"/>
        <v>0.40927838712623149</v>
      </c>
      <c r="AD179" s="18">
        <f t="shared" si="44"/>
        <v>5.8676301296024747</v>
      </c>
      <c r="AE179" s="12">
        <v>2043.3710000000001</v>
      </c>
      <c r="AF179" s="12">
        <v>1767.404</v>
      </c>
      <c r="AG179" s="8">
        <f t="shared" si="45"/>
        <v>0.1561425684223868</v>
      </c>
      <c r="AH179">
        <f t="shared" si="46"/>
        <v>8.4749285101641494</v>
      </c>
      <c r="AI179">
        <f t="shared" si="47"/>
        <v>13.332292813393524</v>
      </c>
    </row>
    <row r="180" spans="1:35" x14ac:dyDescent="0.3">
      <c r="A180" t="s">
        <v>81</v>
      </c>
      <c r="B180" s="11">
        <v>2021</v>
      </c>
      <c r="C180" s="12">
        <v>211.32900000000001</v>
      </c>
      <c r="D180" s="12">
        <v>2103.4209999999998</v>
      </c>
      <c r="E180" s="12">
        <v>2325.5889999999999</v>
      </c>
      <c r="F180" s="12">
        <v>497.80799999999999</v>
      </c>
      <c r="G180" s="12">
        <v>4429.01</v>
      </c>
      <c r="H180" s="12">
        <v>2559.0059999999999</v>
      </c>
      <c r="I180" s="12">
        <v>1870.0039999999999</v>
      </c>
      <c r="J180" s="12">
        <v>2148.56</v>
      </c>
      <c r="K180" s="4">
        <f t="shared" si="33"/>
        <v>1.8347155481044399</v>
      </c>
      <c r="L180" s="5">
        <v>1.8347155481044399E-2</v>
      </c>
      <c r="M180" s="19">
        <f t="shared" si="34"/>
        <v>2.5537285264813079</v>
      </c>
      <c r="N180" s="5">
        <v>2.5537285264813078E-2</v>
      </c>
      <c r="O180" s="19">
        <f t="shared" si="35"/>
        <v>7.8100000000000005</v>
      </c>
      <c r="P180" s="8">
        <v>7.8100000000000003E-2</v>
      </c>
      <c r="Q180" s="19">
        <f t="shared" si="36"/>
        <v>23.159782592592602</v>
      </c>
      <c r="R180" s="12">
        <v>23159.782592592601</v>
      </c>
      <c r="S180" s="4">
        <f t="shared" si="37"/>
        <v>3.6888794541139363</v>
      </c>
      <c r="T180" s="13">
        <v>1982</v>
      </c>
      <c r="U180" s="14">
        <v>124.27</v>
      </c>
      <c r="V180" s="14">
        <v>171.88</v>
      </c>
      <c r="W180" s="4">
        <f t="shared" si="38"/>
        <v>16.744625219813141</v>
      </c>
      <c r="X180" s="18">
        <f t="shared" si="39"/>
        <v>11.300991869536109</v>
      </c>
      <c r="Y180" s="18">
        <f t="shared" si="40"/>
        <v>4.7714726315813243</v>
      </c>
      <c r="Z180" s="18">
        <f t="shared" si="41"/>
        <v>1.3684494792524509</v>
      </c>
      <c r="AA180" s="12">
        <f t="shared" si="42"/>
        <v>0.9789910451651338</v>
      </c>
      <c r="AB180">
        <f t="shared" si="43"/>
        <v>7.8543049888479608</v>
      </c>
      <c r="AC180" s="18">
        <f t="shared" si="32"/>
        <v>0.11239712712321714</v>
      </c>
      <c r="AD180" s="18">
        <f t="shared" si="44"/>
        <v>5.8676301296024747</v>
      </c>
      <c r="AE180" s="12">
        <v>14192.876</v>
      </c>
      <c r="AF180" s="12">
        <v>16084.55</v>
      </c>
      <c r="AG180" s="8">
        <f t="shared" si="45"/>
        <v>-0.11760813948789361</v>
      </c>
      <c r="AH180">
        <f t="shared" si="46"/>
        <v>5.2782225526935047</v>
      </c>
      <c r="AI180">
        <f t="shared" si="47"/>
        <v>12.90109578683415</v>
      </c>
    </row>
    <row r="181" spans="1:35" x14ac:dyDescent="0.3">
      <c r="A181" t="s">
        <v>82</v>
      </c>
      <c r="B181" s="11">
        <v>2021</v>
      </c>
      <c r="C181" s="12">
        <v>143.65899999999999</v>
      </c>
      <c r="D181" s="12">
        <v>2351.2600000000002</v>
      </c>
      <c r="E181" s="12">
        <v>1255.1310000000001</v>
      </c>
      <c r="F181" s="12">
        <v>927.71699999999998</v>
      </c>
      <c r="G181" s="12">
        <v>3606.3910000000001</v>
      </c>
      <c r="H181" s="12">
        <v>1897.856</v>
      </c>
      <c r="I181" s="12">
        <v>1708.5350000000001</v>
      </c>
      <c r="J181" s="12">
        <v>1757.42</v>
      </c>
      <c r="K181" s="4">
        <f t="shared" si="33"/>
        <v>1.8347155481044399</v>
      </c>
      <c r="L181" s="5">
        <v>1.8347155481044399E-2</v>
      </c>
      <c r="M181" s="19">
        <f t="shared" si="34"/>
        <v>2.5537285264813079</v>
      </c>
      <c r="N181" s="5">
        <v>2.5537285264813078E-2</v>
      </c>
      <c r="O181" s="19">
        <f t="shared" si="35"/>
        <v>7.8100000000000005</v>
      </c>
      <c r="P181" s="8">
        <v>7.8100000000000003E-2</v>
      </c>
      <c r="Q181" s="19">
        <f t="shared" si="36"/>
        <v>23.159782592592602</v>
      </c>
      <c r="R181" s="12">
        <v>23159.782592592601</v>
      </c>
      <c r="S181" s="4">
        <f t="shared" si="37"/>
        <v>3.8286413964890951</v>
      </c>
      <c r="T181" s="13">
        <v>1976</v>
      </c>
      <c r="U181" s="14">
        <v>124.27</v>
      </c>
      <c r="V181" s="14">
        <v>171.88</v>
      </c>
      <c r="W181" s="4">
        <f t="shared" si="38"/>
        <v>16.744625219813141</v>
      </c>
      <c r="X181" s="18">
        <f t="shared" si="39"/>
        <v>8.4083147257738347</v>
      </c>
      <c r="Y181" s="18">
        <f t="shared" si="40"/>
        <v>3.9834560367968974</v>
      </c>
      <c r="Z181" s="18">
        <f t="shared" si="41"/>
        <v>1.1108089679169579</v>
      </c>
      <c r="AA181" s="12">
        <f t="shared" si="42"/>
        <v>1.3379044280820749</v>
      </c>
      <c r="AB181">
        <f t="shared" si="43"/>
        <v>7.6488364553601977</v>
      </c>
      <c r="AC181" s="18">
        <f t="shared" si="32"/>
        <v>0.25724248979104042</v>
      </c>
      <c r="AD181" s="18">
        <f t="shared" si="44"/>
        <v>5.8676301296024747</v>
      </c>
      <c r="AE181" s="12">
        <v>3537.498</v>
      </c>
      <c r="AF181" s="12">
        <v>3470.4659999999999</v>
      </c>
      <c r="AG181" s="8">
        <f t="shared" si="45"/>
        <v>1.9314985365077818E-2</v>
      </c>
      <c r="AH181">
        <f t="shared" si="46"/>
        <v>9.2805357303044627</v>
      </c>
      <c r="AI181">
        <f t="shared" si="47"/>
        <v>16.856172596545505</v>
      </c>
    </row>
    <row r="182" spans="1:35" x14ac:dyDescent="0.3">
      <c r="A182" t="s">
        <v>83</v>
      </c>
      <c r="B182" s="11">
        <v>2021</v>
      </c>
      <c r="C182" s="12">
        <v>276.70699999999999</v>
      </c>
      <c r="D182" s="12">
        <v>1867.454</v>
      </c>
      <c r="E182" s="12">
        <v>578.68499999999995</v>
      </c>
      <c r="F182" s="12">
        <v>445.54399999999998</v>
      </c>
      <c r="G182" s="12">
        <v>2446.1390000000001</v>
      </c>
      <c r="H182" s="12">
        <v>620.55999999999995</v>
      </c>
      <c r="I182" s="12">
        <v>1825.578</v>
      </c>
      <c r="J182" s="12">
        <v>578.29999999999995</v>
      </c>
      <c r="K182" s="4">
        <f t="shared" si="33"/>
        <v>1.8347155481044399</v>
      </c>
      <c r="L182" s="5">
        <v>1.8347155481044399E-2</v>
      </c>
      <c r="M182" s="19">
        <f t="shared" si="34"/>
        <v>2.5537285264813079</v>
      </c>
      <c r="N182" s="5">
        <v>2.5537285264813078E-2</v>
      </c>
      <c r="O182" s="19">
        <f t="shared" si="35"/>
        <v>7.8100000000000005</v>
      </c>
      <c r="P182" s="8">
        <v>7.8100000000000003E-2</v>
      </c>
      <c r="Q182" s="19">
        <f t="shared" si="36"/>
        <v>23.159782592592602</v>
      </c>
      <c r="R182" s="12">
        <v>23159.782592592601</v>
      </c>
      <c r="S182" s="4">
        <f t="shared" si="37"/>
        <v>3.713572066704308</v>
      </c>
      <c r="T182" s="13">
        <v>1981</v>
      </c>
      <c r="U182" s="14">
        <v>124.27</v>
      </c>
      <c r="V182" s="14">
        <v>171.88</v>
      </c>
      <c r="W182" s="4">
        <f t="shared" si="38"/>
        <v>16.744625219813141</v>
      </c>
      <c r="X182" s="18">
        <f t="shared" si="39"/>
        <v>15.157226916625858</v>
      </c>
      <c r="Y182" s="18">
        <f t="shared" si="40"/>
        <v>11.311990038178532</v>
      </c>
      <c r="Z182" s="18">
        <f t="shared" si="41"/>
        <v>0.33992521820486443</v>
      </c>
      <c r="AA182" s="12">
        <f t="shared" si="42"/>
        <v>3.2292132111360887</v>
      </c>
      <c r="AB182">
        <f t="shared" si="43"/>
        <v>7.2606397691872209</v>
      </c>
      <c r="AC182" s="18">
        <f t="shared" si="32"/>
        <v>0.18214173438222439</v>
      </c>
      <c r="AD182" s="18">
        <f t="shared" si="44"/>
        <v>5.8676301296024747</v>
      </c>
      <c r="AE182" s="12">
        <v>2686.8510000000001</v>
      </c>
      <c r="AF182" s="12">
        <v>2738.4009999999998</v>
      </c>
      <c r="AG182" s="8">
        <f t="shared" si="45"/>
        <v>-1.8824854358437546E-2</v>
      </c>
      <c r="AH182">
        <f t="shared" si="46"/>
        <v>10.362270095165512</v>
      </c>
      <c r="AI182">
        <f t="shared" si="47"/>
        <v>13.719069245993159</v>
      </c>
    </row>
    <row r="183" spans="1:35" x14ac:dyDescent="0.3">
      <c r="A183" t="s">
        <v>84</v>
      </c>
      <c r="B183" s="11">
        <v>2021</v>
      </c>
      <c r="C183" s="12">
        <v>41.365000000000002</v>
      </c>
      <c r="D183" s="12">
        <v>2726.7310000000002</v>
      </c>
      <c r="E183" s="12">
        <v>394.04</v>
      </c>
      <c r="F183" s="12">
        <v>310.77999999999997</v>
      </c>
      <c r="G183" s="12">
        <v>3120.7710000000002</v>
      </c>
      <c r="H183" s="12">
        <v>2661.9650000000001</v>
      </c>
      <c r="I183" s="12">
        <v>458.80599999999998</v>
      </c>
      <c r="J183" s="12">
        <v>2597.12</v>
      </c>
      <c r="K183" s="4">
        <f t="shared" si="33"/>
        <v>1.8347155481044399</v>
      </c>
      <c r="L183" s="5">
        <v>1.8347155481044399E-2</v>
      </c>
      <c r="M183" s="19">
        <f t="shared" si="34"/>
        <v>2.5537285264813079</v>
      </c>
      <c r="N183" s="5">
        <v>2.5537285264813078E-2</v>
      </c>
      <c r="O183" s="19">
        <f t="shared" si="35"/>
        <v>7.8100000000000005</v>
      </c>
      <c r="P183" s="8">
        <v>7.8100000000000003E-2</v>
      </c>
      <c r="Q183" s="19">
        <f t="shared" si="36"/>
        <v>23.159782592592602</v>
      </c>
      <c r="R183" s="12">
        <v>23159.782592592601</v>
      </c>
      <c r="S183" s="4">
        <f t="shared" si="37"/>
        <v>3.8286413964890951</v>
      </c>
      <c r="T183" s="13">
        <v>1976</v>
      </c>
      <c r="U183" s="14">
        <v>124.27</v>
      </c>
      <c r="V183" s="14">
        <v>171.88</v>
      </c>
      <c r="W183" s="4">
        <f t="shared" si="38"/>
        <v>16.744625219813141</v>
      </c>
      <c r="X183" s="18">
        <f t="shared" si="39"/>
        <v>9.0157931674825544</v>
      </c>
      <c r="Y183" s="18">
        <f t="shared" si="40"/>
        <v>1.3254737370989411</v>
      </c>
      <c r="Z183" s="18">
        <f t="shared" si="41"/>
        <v>5.8019402536148181</v>
      </c>
      <c r="AA183" s="12">
        <f t="shared" si="42"/>
        <v>1.0499056647363234</v>
      </c>
      <c r="AB183">
        <f t="shared" si="43"/>
        <v>7.5042089927414635</v>
      </c>
      <c r="AC183" s="18">
        <f t="shared" si="32"/>
        <v>9.9584365530184668E-2</v>
      </c>
      <c r="AD183" s="18">
        <f t="shared" si="44"/>
        <v>5.8676301296024747</v>
      </c>
      <c r="AE183" s="12">
        <v>2523.2530000000002</v>
      </c>
      <c r="AF183" s="12">
        <v>1779.915</v>
      </c>
      <c r="AG183" s="8">
        <f t="shared" si="45"/>
        <v>0.41762556077116053</v>
      </c>
      <c r="AH183">
        <f t="shared" si="46"/>
        <v>0.10600470663241389</v>
      </c>
      <c r="AI183">
        <f t="shared" si="47"/>
        <v>0.43350627254100815</v>
      </c>
    </row>
    <row r="184" spans="1:35" x14ac:dyDescent="0.3">
      <c r="A184" t="s">
        <v>85</v>
      </c>
      <c r="B184" s="11">
        <v>2021</v>
      </c>
      <c r="C184" s="12">
        <v>87.850999999999999</v>
      </c>
      <c r="D184" s="12">
        <v>856.83299999999997</v>
      </c>
      <c r="E184" s="12">
        <v>533.95500000000004</v>
      </c>
      <c r="F184" s="12">
        <v>434.32</v>
      </c>
      <c r="G184" s="12">
        <v>1390.788</v>
      </c>
      <c r="H184" s="12">
        <v>761.34299999999996</v>
      </c>
      <c r="I184" s="12">
        <v>629.44500000000005</v>
      </c>
      <c r="J184" s="12">
        <v>694.22</v>
      </c>
      <c r="K184" s="4">
        <f t="shared" si="33"/>
        <v>1.8347155481044399</v>
      </c>
      <c r="L184" s="5">
        <v>1.8347155481044399E-2</v>
      </c>
      <c r="M184" s="19">
        <f t="shared" si="34"/>
        <v>2.5537285264813079</v>
      </c>
      <c r="N184" s="5">
        <v>2.5537285264813078E-2</v>
      </c>
      <c r="O184" s="19">
        <f t="shared" si="35"/>
        <v>7.8100000000000005</v>
      </c>
      <c r="P184" s="8">
        <v>7.8100000000000003E-2</v>
      </c>
      <c r="Q184" s="19">
        <f t="shared" si="36"/>
        <v>23.159782592592602</v>
      </c>
      <c r="R184" s="12">
        <v>23159.782592592601</v>
      </c>
      <c r="S184" s="4">
        <f t="shared" si="37"/>
        <v>4.1271343850450917</v>
      </c>
      <c r="T184" s="13">
        <v>1960</v>
      </c>
      <c r="U184" s="14">
        <v>124.27</v>
      </c>
      <c r="V184" s="14">
        <v>171.88</v>
      </c>
      <c r="W184" s="4">
        <f t="shared" si="38"/>
        <v>16.744625219813141</v>
      </c>
      <c r="X184" s="18">
        <f t="shared" si="39"/>
        <v>13.956898537600585</v>
      </c>
      <c r="Y184" s="18">
        <f t="shared" si="40"/>
        <v>6.3166348861221122</v>
      </c>
      <c r="Z184" s="18">
        <f t="shared" si="41"/>
        <v>1.2095465052546288</v>
      </c>
      <c r="AA184" s="12">
        <f t="shared" si="42"/>
        <v>1.2342384258592376</v>
      </c>
      <c r="AB184">
        <f t="shared" si="43"/>
        <v>6.6959993990500841</v>
      </c>
      <c r="AC184" s="18">
        <f t="shared" si="32"/>
        <v>0.31228339617540557</v>
      </c>
      <c r="AD184" s="18">
        <f t="shared" si="44"/>
        <v>5.8676301296024747</v>
      </c>
      <c r="AE184" s="12">
        <v>1478.154</v>
      </c>
      <c r="AF184" s="12">
        <v>1861.903</v>
      </c>
      <c r="AG184" s="8">
        <f t="shared" si="45"/>
        <v>-0.20610579605919321</v>
      </c>
      <c r="AH184">
        <f t="shared" si="46"/>
        <v>4.6794861468573146</v>
      </c>
      <c r="AI184">
        <f t="shared" si="47"/>
        <v>12.745215502766664</v>
      </c>
    </row>
    <row r="185" spans="1:35" x14ac:dyDescent="0.3">
      <c r="A185" t="s">
        <v>86</v>
      </c>
      <c r="B185" s="11">
        <v>2021</v>
      </c>
      <c r="C185" s="12">
        <v>428.53199999999998</v>
      </c>
      <c r="D185" s="12">
        <v>1496.9880000000001</v>
      </c>
      <c r="E185" s="12">
        <v>448.59</v>
      </c>
      <c r="F185" s="12">
        <v>410.95299999999997</v>
      </c>
      <c r="G185" s="12">
        <v>1945.578</v>
      </c>
      <c r="H185" s="12">
        <v>683.08699999999999</v>
      </c>
      <c r="I185" s="12">
        <v>1262.491</v>
      </c>
      <c r="J185" s="12">
        <v>676.08</v>
      </c>
      <c r="K185" s="4">
        <f t="shared" si="33"/>
        <v>1.8347155481044399</v>
      </c>
      <c r="L185" s="5">
        <v>1.8347155481044399E-2</v>
      </c>
      <c r="M185" s="19">
        <f t="shared" si="34"/>
        <v>2.5537285264813079</v>
      </c>
      <c r="N185" s="5">
        <v>2.5537285264813078E-2</v>
      </c>
      <c r="O185" s="19">
        <f t="shared" si="35"/>
        <v>7.8100000000000005</v>
      </c>
      <c r="P185" s="8">
        <v>7.8100000000000003E-2</v>
      </c>
      <c r="Q185" s="19">
        <f t="shared" si="36"/>
        <v>23.159782592592602</v>
      </c>
      <c r="R185" s="12">
        <v>23159.782592592601</v>
      </c>
      <c r="S185" s="4">
        <f t="shared" si="37"/>
        <v>3.970291913552122</v>
      </c>
      <c r="T185" s="13">
        <v>1969</v>
      </c>
      <c r="U185" s="14">
        <v>124.27</v>
      </c>
      <c r="V185" s="14">
        <v>171.88</v>
      </c>
      <c r="W185" s="4">
        <f t="shared" si="38"/>
        <v>16.744625219813141</v>
      </c>
      <c r="X185" s="18">
        <f t="shared" si="39"/>
        <v>33.943370685414784</v>
      </c>
      <c r="Y185" s="18">
        <f t="shared" si="40"/>
        <v>22.025948073014806</v>
      </c>
      <c r="Z185" s="18">
        <f t="shared" si="41"/>
        <v>0.54106286698281414</v>
      </c>
      <c r="AA185" s="12">
        <f t="shared" si="42"/>
        <v>2.2142172523961663</v>
      </c>
      <c r="AB185">
        <f t="shared" si="43"/>
        <v>7.0316880112234248</v>
      </c>
      <c r="AC185" s="18">
        <f t="shared" si="32"/>
        <v>0.21122411951615405</v>
      </c>
      <c r="AD185" s="18">
        <f t="shared" si="44"/>
        <v>5.8676301296024747</v>
      </c>
      <c r="AE185" s="12">
        <v>2219.0819999999999</v>
      </c>
      <c r="AF185" s="12">
        <v>2902.4549999999999</v>
      </c>
      <c r="AG185" s="8">
        <f t="shared" si="45"/>
        <v>-0.23544654439086912</v>
      </c>
      <c r="AH185">
        <f t="shared" si="46"/>
        <v>33.814199314281645</v>
      </c>
      <c r="AI185">
        <f t="shared" si="47"/>
        <v>48.106393528723608</v>
      </c>
    </row>
    <row r="186" spans="1:35" x14ac:dyDescent="0.3">
      <c r="A186" t="s">
        <v>87</v>
      </c>
      <c r="B186" s="11">
        <v>2021</v>
      </c>
      <c r="C186" s="12">
        <v>1106.5540000000001</v>
      </c>
      <c r="D186" s="12">
        <v>5542.5889999999999</v>
      </c>
      <c r="E186" s="12">
        <v>3195.038</v>
      </c>
      <c r="F186" s="12">
        <v>2066.6889999999999</v>
      </c>
      <c r="G186" s="12">
        <v>8737.6270000000004</v>
      </c>
      <c r="H186" s="12">
        <v>2853.6779999999999</v>
      </c>
      <c r="I186" s="12">
        <v>5883.9489999999996</v>
      </c>
      <c r="J186" s="12">
        <v>2680.07</v>
      </c>
      <c r="K186" s="4">
        <f t="shared" si="33"/>
        <v>1.8347155481044399</v>
      </c>
      <c r="L186" s="5">
        <v>1.8347155481044399E-2</v>
      </c>
      <c r="M186" s="19">
        <f t="shared" si="34"/>
        <v>2.5537285264813079</v>
      </c>
      <c r="N186" s="5">
        <v>2.5537285264813078E-2</v>
      </c>
      <c r="O186" s="19">
        <f t="shared" si="35"/>
        <v>7.8100000000000005</v>
      </c>
      <c r="P186" s="8">
        <v>7.8100000000000003E-2</v>
      </c>
      <c r="Q186" s="19">
        <f t="shared" si="36"/>
        <v>23.159782592592602</v>
      </c>
      <c r="R186" s="12">
        <v>23159.782592592601</v>
      </c>
      <c r="S186" s="4">
        <f t="shared" si="37"/>
        <v>3.2188758248682006</v>
      </c>
      <c r="T186" s="13">
        <v>1997</v>
      </c>
      <c r="U186" s="14">
        <v>124.27</v>
      </c>
      <c r="V186" s="14">
        <v>171.88</v>
      </c>
      <c r="W186" s="4">
        <f t="shared" si="38"/>
        <v>16.744625219813141</v>
      </c>
      <c r="X186" s="18">
        <f t="shared" si="39"/>
        <v>18.806315282474408</v>
      </c>
      <c r="Y186" s="18">
        <f t="shared" si="40"/>
        <v>12.664239386735094</v>
      </c>
      <c r="Z186" s="18">
        <f t="shared" si="41"/>
        <v>0.48499366666842286</v>
      </c>
      <c r="AA186" s="12">
        <f t="shared" si="42"/>
        <v>2.0680762069647431</v>
      </c>
      <c r="AB186">
        <f t="shared" si="43"/>
        <v>8.533767548567802</v>
      </c>
      <c r="AC186" s="18">
        <f t="shared" si="32"/>
        <v>0.23652749196091796</v>
      </c>
      <c r="AD186" s="18">
        <f t="shared" si="44"/>
        <v>5.8676301296024747</v>
      </c>
      <c r="AE186" s="12">
        <v>9060.3289999999997</v>
      </c>
      <c r="AF186" s="12">
        <v>7165.4059999999999</v>
      </c>
      <c r="AG186" s="8">
        <f t="shared" si="45"/>
        <v>0.26445437983555986</v>
      </c>
      <c r="AH186">
        <f t="shared" si="46"/>
        <v>9.9876809636174642</v>
      </c>
      <c r="AI186">
        <f t="shared" si="47"/>
        <v>13.897534473874318</v>
      </c>
    </row>
    <row r="187" spans="1:35" x14ac:dyDescent="0.3">
      <c r="A187" t="s">
        <v>88</v>
      </c>
      <c r="B187" s="11">
        <v>2021</v>
      </c>
      <c r="C187" s="12">
        <v>10632.536</v>
      </c>
      <c r="D187" s="12">
        <v>36109.911</v>
      </c>
      <c r="E187" s="12">
        <v>17222.492999999999</v>
      </c>
      <c r="F187" s="12">
        <v>12706.599</v>
      </c>
      <c r="G187" s="12">
        <v>53332.402999999998</v>
      </c>
      <c r="H187" s="12">
        <v>17482.289000000001</v>
      </c>
      <c r="I187" s="12">
        <v>35850.114000000001</v>
      </c>
      <c r="J187" s="12">
        <v>17068.419999999998</v>
      </c>
      <c r="K187" s="4">
        <f t="shared" si="33"/>
        <v>1.8347155481044399</v>
      </c>
      <c r="L187" s="5">
        <v>1.8347155481044399E-2</v>
      </c>
      <c r="M187" s="19">
        <f t="shared" si="34"/>
        <v>2.5537285264813079</v>
      </c>
      <c r="N187" s="5">
        <v>2.5537285264813078E-2</v>
      </c>
      <c r="O187" s="19">
        <f t="shared" si="35"/>
        <v>7.8100000000000005</v>
      </c>
      <c r="P187" s="8">
        <v>7.8100000000000003E-2</v>
      </c>
      <c r="Q187" s="19">
        <f t="shared" si="36"/>
        <v>23.159782592592602</v>
      </c>
      <c r="R187" s="12">
        <v>23159.782592592601</v>
      </c>
      <c r="S187" s="4">
        <f t="shared" si="37"/>
        <v>3.8286413964890951</v>
      </c>
      <c r="T187" s="13">
        <v>1976</v>
      </c>
      <c r="U187" s="14">
        <v>124.27</v>
      </c>
      <c r="V187" s="14">
        <v>171.88</v>
      </c>
      <c r="W187" s="4">
        <f t="shared" si="38"/>
        <v>16.744625219813141</v>
      </c>
      <c r="X187" s="18">
        <f t="shared" si="39"/>
        <v>29.65830457331321</v>
      </c>
      <c r="Y187" s="18">
        <f t="shared" si="40"/>
        <v>19.93635276475354</v>
      </c>
      <c r="Z187" s="18">
        <f t="shared" si="41"/>
        <v>0.48764946744660281</v>
      </c>
      <c r="AA187" s="12">
        <f t="shared" si="42"/>
        <v>2.1155977530433399</v>
      </c>
      <c r="AB187">
        <f t="shared" si="43"/>
        <v>10.342672988727008</v>
      </c>
      <c r="AC187" s="18">
        <f t="shared" si="32"/>
        <v>0.23825288727380239</v>
      </c>
      <c r="AD187" s="18">
        <f t="shared" si="44"/>
        <v>5.8676301296024747</v>
      </c>
      <c r="AE187" s="12">
        <v>61012.074000000001</v>
      </c>
      <c r="AF187" s="12">
        <v>59722.908000000003</v>
      </c>
      <c r="AG187" s="8">
        <f t="shared" si="45"/>
        <v>2.1585787483757446E-2</v>
      </c>
      <c r="AH187">
        <f t="shared" si="46"/>
        <v>23.198753745446158</v>
      </c>
      <c r="AI187">
        <f t="shared" si="47"/>
        <v>33.392847091052836</v>
      </c>
    </row>
    <row r="188" spans="1:35" s="21" customFormat="1" ht="15" customHeight="1" x14ac:dyDescent="0.3">
      <c r="A188" s="21" t="s">
        <v>27</v>
      </c>
      <c r="B188" s="22">
        <v>2020</v>
      </c>
      <c r="C188" s="23">
        <v>-11.967000000000001</v>
      </c>
      <c r="D188" s="23">
        <v>171.28200000000001</v>
      </c>
      <c r="E188" s="23">
        <v>39.536999999999999</v>
      </c>
      <c r="F188" s="23">
        <v>28.661000000000001</v>
      </c>
      <c r="G188" s="23">
        <v>210.81899999999999</v>
      </c>
      <c r="H188" s="23">
        <v>16.718</v>
      </c>
      <c r="I188" s="23">
        <v>194.101</v>
      </c>
      <c r="J188" s="23">
        <v>15.5</v>
      </c>
      <c r="K188" s="23">
        <f t="shared" si="33"/>
        <v>3.2209343665251402</v>
      </c>
      <c r="L188" s="24">
        <v>3.2209343665251404E-2</v>
      </c>
      <c r="M188" s="25">
        <f t="shared" si="34"/>
        <v>2.8654132091227211</v>
      </c>
      <c r="N188" s="24">
        <v>2.8654132091227212E-2</v>
      </c>
      <c r="O188" s="25">
        <f t="shared" si="35"/>
        <v>7.6499999999999995</v>
      </c>
      <c r="P188" s="24">
        <v>7.6499999999999999E-2</v>
      </c>
      <c r="Q188" s="25">
        <f t="shared" si="36"/>
        <v>23.208368333333301</v>
      </c>
      <c r="R188" s="23">
        <v>23208.368333333299</v>
      </c>
      <c r="S188" s="23">
        <f t="shared" si="37"/>
        <v>3.7376696182833684</v>
      </c>
      <c r="T188" s="26">
        <v>1979</v>
      </c>
      <c r="U188" s="27">
        <v>118.69</v>
      </c>
      <c r="V188" s="27">
        <v>168.78</v>
      </c>
      <c r="W188" s="23">
        <f t="shared" si="38"/>
        <v>16.320661437867813</v>
      </c>
      <c r="X188" s="25">
        <f t="shared" si="39"/>
        <v>-6.1653469070226325</v>
      </c>
      <c r="Y188" s="25">
        <f t="shared" si="40"/>
        <v>-5.6764333385510799</v>
      </c>
      <c r="Z188" s="25">
        <f t="shared" si="41"/>
        <v>8.6130416638760227E-2</v>
      </c>
      <c r="AA188" s="23">
        <f t="shared" si="42"/>
        <v>11.050451612903226</v>
      </c>
      <c r="AB188" s="21">
        <f t="shared" si="43"/>
        <v>4.8275740396910836</v>
      </c>
      <c r="AC188" s="25">
        <f t="shared" si="32"/>
        <v>0.13595074447749017</v>
      </c>
      <c r="AD188" s="25">
        <f t="shared" si="44"/>
        <v>4.2908598538236253</v>
      </c>
      <c r="AE188" s="23">
        <v>122.651</v>
      </c>
      <c r="AF188" s="23">
        <v>225.54300000000001</v>
      </c>
      <c r="AG188" s="24">
        <f t="shared" si="45"/>
        <v>-0.45619682277880497</v>
      </c>
      <c r="AH188">
        <f t="shared" si="46"/>
        <v>3.6521792640258801</v>
      </c>
      <c r="AI188">
        <f t="shared" si="47"/>
        <v>3.9301847078021899</v>
      </c>
    </row>
    <row r="189" spans="1:35" x14ac:dyDescent="0.3">
      <c r="A189" t="s">
        <v>28</v>
      </c>
      <c r="B189" s="11">
        <v>2020</v>
      </c>
      <c r="C189" s="12">
        <v>14.038</v>
      </c>
      <c r="D189" s="12">
        <v>172.57499999999999</v>
      </c>
      <c r="E189" s="12">
        <v>407.28800000000001</v>
      </c>
      <c r="F189" s="12">
        <v>297.48</v>
      </c>
      <c r="G189" s="12">
        <v>579.86400000000003</v>
      </c>
      <c r="H189" s="12">
        <v>154.93</v>
      </c>
      <c r="I189" s="12">
        <v>424.93400000000003</v>
      </c>
      <c r="J189" s="12">
        <v>92.18</v>
      </c>
      <c r="K189" s="4">
        <f t="shared" si="33"/>
        <v>3.2209343665251402</v>
      </c>
      <c r="L189" s="5">
        <v>3.2209343665251404E-2</v>
      </c>
      <c r="M189" s="19">
        <f t="shared" si="34"/>
        <v>2.8654132091227211</v>
      </c>
      <c r="N189" s="5">
        <v>2.8654132091227212E-2</v>
      </c>
      <c r="O189" s="19">
        <f t="shared" si="35"/>
        <v>7.6499999999999995</v>
      </c>
      <c r="P189" s="8">
        <v>7.6499999999999999E-2</v>
      </c>
      <c r="Q189" s="19">
        <f t="shared" si="36"/>
        <v>23.208368333333301</v>
      </c>
      <c r="R189" s="12">
        <v>23208.368333333299</v>
      </c>
      <c r="S189" s="4">
        <f t="shared" si="37"/>
        <v>3.2580965380214821</v>
      </c>
      <c r="T189" s="13">
        <v>1995</v>
      </c>
      <c r="U189" s="14">
        <v>118.69</v>
      </c>
      <c r="V189" s="14">
        <v>168.78</v>
      </c>
      <c r="W189" s="4">
        <f t="shared" si="38"/>
        <v>16.320661437867813</v>
      </c>
      <c r="X189" s="18">
        <f t="shared" si="39"/>
        <v>3.3035718488047552</v>
      </c>
      <c r="Y189" s="18">
        <f t="shared" si="40"/>
        <v>2.4209124898252004</v>
      </c>
      <c r="Z189" s="18">
        <f t="shared" si="41"/>
        <v>0.36459779636367057</v>
      </c>
      <c r="AA189" s="12">
        <f t="shared" si="42"/>
        <v>1.8721523106964633</v>
      </c>
      <c r="AB189">
        <f t="shared" si="43"/>
        <v>5.8393676875447351</v>
      </c>
      <c r="AC189" s="18">
        <f t="shared" si="32"/>
        <v>0.51301684532924963</v>
      </c>
      <c r="AD189" s="18">
        <f t="shared" si="44"/>
        <v>4.2908598538236253</v>
      </c>
      <c r="AE189" s="12">
        <v>287.09899999999999</v>
      </c>
      <c r="AF189" s="12">
        <v>296.39600000000002</v>
      </c>
      <c r="AG189" s="8">
        <f t="shared" si="45"/>
        <v>-3.1366820065048193E-2</v>
      </c>
      <c r="AH189">
        <f t="shared" si="46"/>
        <v>3.5193383038210624</v>
      </c>
      <c r="AI189">
        <f t="shared" si="47"/>
        <v>5.146570291680356</v>
      </c>
    </row>
    <row r="190" spans="1:35" x14ac:dyDescent="0.3">
      <c r="A190" t="s">
        <v>29</v>
      </c>
      <c r="B190" s="11">
        <v>2020</v>
      </c>
      <c r="C190" s="12">
        <v>47.91</v>
      </c>
      <c r="D190" s="12">
        <v>864.48500000000001</v>
      </c>
      <c r="E190" s="12">
        <v>305.61099999999999</v>
      </c>
      <c r="F190" s="12">
        <v>15.265000000000001</v>
      </c>
      <c r="G190" s="12">
        <v>1170.096</v>
      </c>
      <c r="H190" s="12">
        <v>734.81</v>
      </c>
      <c r="I190" s="12">
        <v>435.286</v>
      </c>
      <c r="J190" s="12">
        <v>734.52</v>
      </c>
      <c r="K190" s="4">
        <f t="shared" si="33"/>
        <v>3.2209343665251402</v>
      </c>
      <c r="L190" s="5">
        <v>3.2209343665251404E-2</v>
      </c>
      <c r="M190" s="19">
        <f t="shared" si="34"/>
        <v>2.8654132091227211</v>
      </c>
      <c r="N190" s="5">
        <v>2.8654132091227212E-2</v>
      </c>
      <c r="O190" s="19">
        <f t="shared" si="35"/>
        <v>7.6499999999999995</v>
      </c>
      <c r="P190" s="8">
        <v>7.6499999999999999E-2</v>
      </c>
      <c r="Q190" s="19">
        <f t="shared" si="36"/>
        <v>23.208368333333301</v>
      </c>
      <c r="R190" s="12">
        <v>23208.368333333299</v>
      </c>
      <c r="S190" s="4">
        <f t="shared" si="37"/>
        <v>3.8286413964890951</v>
      </c>
      <c r="T190" s="13">
        <v>1975</v>
      </c>
      <c r="U190" s="14">
        <v>118.69</v>
      </c>
      <c r="V190" s="14">
        <v>168.78</v>
      </c>
      <c r="W190" s="4">
        <f t="shared" si="38"/>
        <v>16.320661437867813</v>
      </c>
      <c r="X190" s="18">
        <f t="shared" si="39"/>
        <v>11.006556608758379</v>
      </c>
      <c r="Y190" s="18">
        <f t="shared" si="40"/>
        <v>4.0945358329572956</v>
      </c>
      <c r="Z190" s="18">
        <f t="shared" si="41"/>
        <v>1.6881085079694729</v>
      </c>
      <c r="AA190" s="12">
        <f t="shared" si="42"/>
        <v>1.1769386810434026</v>
      </c>
      <c r="AB190">
        <f t="shared" si="43"/>
        <v>6.5414151699661014</v>
      </c>
      <c r="AC190" s="18">
        <f t="shared" si="32"/>
        <v>1.3045938111060973E-2</v>
      </c>
      <c r="AD190" s="18">
        <f t="shared" si="44"/>
        <v>4.2908598538236253</v>
      </c>
      <c r="AE190" s="12">
        <v>1103.9960000000001</v>
      </c>
      <c r="AF190" s="12">
        <v>790.96400000000006</v>
      </c>
      <c r="AG190" s="8">
        <f t="shared" si="45"/>
        <v>0.39576011044750459</v>
      </c>
      <c r="AH190">
        <f t="shared" si="46"/>
        <v>4.9779151277606086</v>
      </c>
      <c r="AI190">
        <f t="shared" si="47"/>
        <v>8.1851036616199178</v>
      </c>
    </row>
    <row r="191" spans="1:35" x14ac:dyDescent="0.3">
      <c r="A191" t="s">
        <v>30</v>
      </c>
      <c r="B191" s="11">
        <v>2020</v>
      </c>
      <c r="C191" s="12">
        <v>14.288</v>
      </c>
      <c r="D191" s="12">
        <v>258.32</v>
      </c>
      <c r="E191" s="12">
        <v>285.35500000000002</v>
      </c>
      <c r="F191" s="12">
        <v>64.001000000000005</v>
      </c>
      <c r="G191" s="12">
        <v>543.67499999999995</v>
      </c>
      <c r="H191" s="12">
        <v>132.99199999999999</v>
      </c>
      <c r="I191" s="12">
        <v>410.68299999999999</v>
      </c>
      <c r="J191" s="12">
        <v>128.44</v>
      </c>
      <c r="K191" s="4">
        <f t="shared" si="33"/>
        <v>3.2209343665251402</v>
      </c>
      <c r="L191" s="5">
        <v>3.2209343665251404E-2</v>
      </c>
      <c r="M191" s="19">
        <f t="shared" si="34"/>
        <v>2.8654132091227211</v>
      </c>
      <c r="N191" s="5">
        <v>2.8654132091227212E-2</v>
      </c>
      <c r="O191" s="19">
        <f t="shared" si="35"/>
        <v>7.6499999999999995</v>
      </c>
      <c r="P191" s="8">
        <v>7.6499999999999999E-2</v>
      </c>
      <c r="Q191" s="19">
        <f t="shared" si="36"/>
        <v>23.208368333333301</v>
      </c>
      <c r="R191" s="12">
        <v>23208.368333333299</v>
      </c>
      <c r="S191" s="4">
        <f t="shared" si="37"/>
        <v>3.784189633918261</v>
      </c>
      <c r="T191" s="13">
        <v>1977</v>
      </c>
      <c r="U191" s="14">
        <v>118.69</v>
      </c>
      <c r="V191" s="14">
        <v>168.78</v>
      </c>
      <c r="W191" s="4">
        <f t="shared" si="38"/>
        <v>16.320661437867813</v>
      </c>
      <c r="X191" s="18">
        <f t="shared" si="39"/>
        <v>3.4790824066250616</v>
      </c>
      <c r="Y191" s="18">
        <f t="shared" si="40"/>
        <v>2.6280406492849591</v>
      </c>
      <c r="Z191" s="18">
        <f t="shared" si="41"/>
        <v>0.32383127619112551</v>
      </c>
      <c r="AA191" s="12">
        <f t="shared" si="42"/>
        <v>2.0112114606041733</v>
      </c>
      <c r="AB191">
        <f t="shared" si="43"/>
        <v>5.7749257361133219</v>
      </c>
      <c r="AC191" s="18">
        <f t="shared" si="32"/>
        <v>0.11771922564031823</v>
      </c>
      <c r="AD191" s="18">
        <f t="shared" si="44"/>
        <v>4.2908598538236253</v>
      </c>
      <c r="AE191" s="12">
        <v>331.31400000000002</v>
      </c>
      <c r="AF191" s="12">
        <v>361.15</v>
      </c>
      <c r="AG191" s="8">
        <f t="shared" si="45"/>
        <v>-8.2613872352208101E-2</v>
      </c>
      <c r="AH191">
        <f t="shared" si="46"/>
        <v>9.0433493914148073</v>
      </c>
      <c r="AI191">
        <f t="shared" si="47"/>
        <v>11.786504398003592</v>
      </c>
    </row>
    <row r="192" spans="1:35" x14ac:dyDescent="0.3">
      <c r="A192" t="s">
        <v>31</v>
      </c>
      <c r="B192" s="11">
        <v>2020</v>
      </c>
      <c r="C192" s="12">
        <v>28.183</v>
      </c>
      <c r="D192" s="12">
        <v>1320.454</v>
      </c>
      <c r="E192" s="12">
        <v>339.08800000000002</v>
      </c>
      <c r="F192" s="12">
        <v>322.25799999999998</v>
      </c>
      <c r="G192" s="12">
        <v>1659.5419999999999</v>
      </c>
      <c r="H192" s="12">
        <v>965.08199999999999</v>
      </c>
      <c r="I192" s="12">
        <v>694.46</v>
      </c>
      <c r="J192" s="12">
        <v>965.08</v>
      </c>
      <c r="K192" s="4">
        <f t="shared" si="33"/>
        <v>3.2209343665251402</v>
      </c>
      <c r="L192" s="5">
        <v>3.2209343665251404E-2</v>
      </c>
      <c r="M192" s="19">
        <f t="shared" si="34"/>
        <v>2.8654132091227211</v>
      </c>
      <c r="N192" s="5">
        <v>2.8654132091227212E-2</v>
      </c>
      <c r="O192" s="19">
        <f t="shared" si="35"/>
        <v>7.6499999999999995</v>
      </c>
      <c r="P192" s="8">
        <v>7.6499999999999999E-2</v>
      </c>
      <c r="Q192" s="19">
        <f t="shared" si="36"/>
        <v>23.208368333333301</v>
      </c>
      <c r="R192" s="12">
        <v>23208.368333333299</v>
      </c>
      <c r="S192" s="4">
        <f t="shared" si="37"/>
        <v>2.8903717578961645</v>
      </c>
      <c r="T192" s="13">
        <v>2003</v>
      </c>
      <c r="U192" s="14">
        <v>118.69</v>
      </c>
      <c r="V192" s="14">
        <v>168.78</v>
      </c>
      <c r="W192" s="4">
        <f t="shared" si="38"/>
        <v>16.320661437867813</v>
      </c>
      <c r="X192" s="18">
        <f t="shared" si="39"/>
        <v>4.0582610949514732</v>
      </c>
      <c r="Y192" s="18">
        <f t="shared" si="40"/>
        <v>1.698239634790804</v>
      </c>
      <c r="Z192" s="18">
        <f t="shared" si="41"/>
        <v>1.3896869510122973</v>
      </c>
      <c r="AA192" s="12">
        <f t="shared" si="42"/>
        <v>1.3682326853732332</v>
      </c>
      <c r="AB192">
        <f t="shared" si="43"/>
        <v>6.8908710339259978</v>
      </c>
      <c r="AC192" s="18">
        <f t="shared" si="32"/>
        <v>0.19418490161743421</v>
      </c>
      <c r="AD192" s="18">
        <f t="shared" si="44"/>
        <v>4.2908598538236253</v>
      </c>
      <c r="AE192" s="12">
        <v>959.13300000000004</v>
      </c>
      <c r="AF192" s="12">
        <v>1423.6659999999999</v>
      </c>
      <c r="AG192" s="8">
        <f t="shared" si="45"/>
        <v>-0.32629352671202372</v>
      </c>
      <c r="AH192">
        <f t="shared" si="46"/>
        <v>9.6984782245679533</v>
      </c>
      <c r="AI192">
        <f t="shared" si="47"/>
        <v>21.269413876531647</v>
      </c>
    </row>
    <row r="193" spans="1:35" x14ac:dyDescent="0.3">
      <c r="A193" t="s">
        <v>32</v>
      </c>
      <c r="B193" s="11">
        <v>2020</v>
      </c>
      <c r="C193" s="12">
        <v>24.442</v>
      </c>
      <c r="D193" s="12">
        <v>1519.0889999999999</v>
      </c>
      <c r="E193" s="12">
        <v>318.80200000000002</v>
      </c>
      <c r="F193" s="12">
        <v>273.85000000000002</v>
      </c>
      <c r="G193" s="12">
        <v>1837.8910000000001</v>
      </c>
      <c r="H193" s="12">
        <v>1415.7470000000001</v>
      </c>
      <c r="I193" s="12">
        <v>422.14400000000001</v>
      </c>
      <c r="J193" s="12">
        <v>1317.85</v>
      </c>
      <c r="K193" s="4">
        <f t="shared" si="33"/>
        <v>3.2209343665251402</v>
      </c>
      <c r="L193" s="5">
        <v>3.2209343665251404E-2</v>
      </c>
      <c r="M193" s="19">
        <f t="shared" si="34"/>
        <v>2.8654132091227211</v>
      </c>
      <c r="N193" s="5">
        <v>2.8654132091227212E-2</v>
      </c>
      <c r="O193" s="19">
        <f t="shared" si="35"/>
        <v>7.6499999999999995</v>
      </c>
      <c r="P193" s="8">
        <v>7.6499999999999999E-2</v>
      </c>
      <c r="Q193" s="19">
        <f t="shared" si="36"/>
        <v>23.208368333333301</v>
      </c>
      <c r="R193" s="12">
        <v>23208.368333333299</v>
      </c>
      <c r="S193" s="4">
        <f t="shared" si="37"/>
        <v>2.7080502011022101</v>
      </c>
      <c r="T193" s="13">
        <v>2006</v>
      </c>
      <c r="U193" s="14">
        <v>118.69</v>
      </c>
      <c r="V193" s="14">
        <v>168.78</v>
      </c>
      <c r="W193" s="4">
        <f t="shared" si="38"/>
        <v>16.320661437867813</v>
      </c>
      <c r="X193" s="18">
        <f t="shared" si="39"/>
        <v>5.7899674044875686</v>
      </c>
      <c r="Y193" s="18">
        <f t="shared" si="40"/>
        <v>1.3298938838048611</v>
      </c>
      <c r="Z193" s="18">
        <f t="shared" si="41"/>
        <v>3.3537063182231659</v>
      </c>
      <c r="AA193" s="12">
        <f t="shared" si="42"/>
        <v>1.1527025078726714</v>
      </c>
      <c r="AB193">
        <f t="shared" si="43"/>
        <v>6.9929480918245162</v>
      </c>
      <c r="AC193" s="18">
        <f t="shared" si="32"/>
        <v>0.14900230753619231</v>
      </c>
      <c r="AD193" s="18">
        <f t="shared" si="44"/>
        <v>4.2908598538236253</v>
      </c>
      <c r="AE193" s="12">
        <v>1339.2909999999999</v>
      </c>
      <c r="AF193" s="12">
        <v>1705.1420000000001</v>
      </c>
      <c r="AG193" s="8">
        <f t="shared" si="45"/>
        <v>-0.21455749726415754</v>
      </c>
      <c r="AH193">
        <f t="shared" si="46"/>
        <v>0.47776643901324678</v>
      </c>
      <c r="AI193">
        <f t="shared" si="47"/>
        <v>2.0545362533117677</v>
      </c>
    </row>
    <row r="194" spans="1:35" x14ac:dyDescent="0.3">
      <c r="A194" t="s">
        <v>33</v>
      </c>
      <c r="B194" s="11">
        <v>2020</v>
      </c>
      <c r="C194" s="12">
        <v>24.753</v>
      </c>
      <c r="D194" s="12">
        <v>580.87699999999995</v>
      </c>
      <c r="E194" s="12">
        <v>177.72900000000001</v>
      </c>
      <c r="F194" s="12">
        <v>120.036</v>
      </c>
      <c r="G194" s="12">
        <v>758.60599999999999</v>
      </c>
      <c r="H194" s="12">
        <v>319.66000000000003</v>
      </c>
      <c r="I194" s="12">
        <v>438.94600000000003</v>
      </c>
      <c r="J194" s="12">
        <v>315.63</v>
      </c>
      <c r="K194" s="4">
        <f t="shared" si="33"/>
        <v>3.2209343665251402</v>
      </c>
      <c r="L194" s="5">
        <v>3.2209343665251404E-2</v>
      </c>
      <c r="M194" s="19">
        <f t="shared" si="34"/>
        <v>2.8654132091227211</v>
      </c>
      <c r="N194" s="5">
        <v>2.8654132091227212E-2</v>
      </c>
      <c r="O194" s="19">
        <f t="shared" si="35"/>
        <v>7.6499999999999995</v>
      </c>
      <c r="P194" s="8">
        <v>7.6499999999999999E-2</v>
      </c>
      <c r="Q194" s="19">
        <f t="shared" si="36"/>
        <v>23.208368333333301</v>
      </c>
      <c r="R194" s="12">
        <v>23208.368333333299</v>
      </c>
      <c r="S194" s="4">
        <f t="shared" si="37"/>
        <v>3.8066624897703196</v>
      </c>
      <c r="T194" s="13">
        <v>1976</v>
      </c>
      <c r="U194" s="14">
        <v>118.69</v>
      </c>
      <c r="V194" s="14">
        <v>168.78</v>
      </c>
      <c r="W194" s="4">
        <f t="shared" si="38"/>
        <v>16.320661437867813</v>
      </c>
      <c r="X194" s="18">
        <f t="shared" si="39"/>
        <v>5.6391902420798914</v>
      </c>
      <c r="Y194" s="18">
        <f t="shared" si="40"/>
        <v>3.262958637289977</v>
      </c>
      <c r="Z194" s="18">
        <f t="shared" si="41"/>
        <v>0.72824447654153357</v>
      </c>
      <c r="AA194" s="12">
        <f t="shared" si="42"/>
        <v>1.8403732218103475</v>
      </c>
      <c r="AB194">
        <f t="shared" si="43"/>
        <v>6.1080566327884087</v>
      </c>
      <c r="AC194" s="18">
        <f t="shared" ref="AC194:AC257" si="48">F194/G194</f>
        <v>0.15823233668070119</v>
      </c>
      <c r="AD194" s="18">
        <f t="shared" si="44"/>
        <v>4.2908598538236253</v>
      </c>
      <c r="AE194" s="12">
        <v>1961.4</v>
      </c>
      <c r="AF194" s="12">
        <v>2120.4789999999998</v>
      </c>
      <c r="AG194" s="8">
        <f t="shared" si="45"/>
        <v>-7.5020313806455866E-2</v>
      </c>
      <c r="AH194">
        <f t="shared" si="46"/>
        <v>5.2225080369193142</v>
      </c>
      <c r="AI194">
        <f t="shared" si="47"/>
        <v>9.1355434516634801</v>
      </c>
    </row>
    <row r="195" spans="1:35" x14ac:dyDescent="0.3">
      <c r="A195" t="s">
        <v>34</v>
      </c>
      <c r="B195" s="11">
        <v>2020</v>
      </c>
      <c r="C195" s="12">
        <v>202.17</v>
      </c>
      <c r="D195" s="12">
        <v>2783.81</v>
      </c>
      <c r="E195" s="12">
        <v>2050.27</v>
      </c>
      <c r="F195" s="12">
        <v>1019.1130000000001</v>
      </c>
      <c r="G195" s="12">
        <v>4834.08</v>
      </c>
      <c r="H195" s="12">
        <v>2500.105</v>
      </c>
      <c r="I195" s="12">
        <v>2333.9740000000002</v>
      </c>
      <c r="J195" s="12">
        <v>2338.9899999999998</v>
      </c>
      <c r="K195" s="4">
        <f t="shared" ref="K195:K258" si="49">L195*100</f>
        <v>3.2209343665251402</v>
      </c>
      <c r="L195" s="5">
        <v>3.2209343665251404E-2</v>
      </c>
      <c r="M195" s="19">
        <f t="shared" ref="M195:M258" si="50">N195*100</f>
        <v>2.8654132091227211</v>
      </c>
      <c r="N195" s="5">
        <v>2.8654132091227212E-2</v>
      </c>
      <c r="O195" s="19">
        <f t="shared" ref="O195:O258" si="51">P195*100</f>
        <v>7.6499999999999995</v>
      </c>
      <c r="P195" s="8">
        <v>7.6499999999999999E-2</v>
      </c>
      <c r="Q195" s="19">
        <f t="shared" ref="Q195:Q258" si="52">R195/1000</f>
        <v>23.208368333333301</v>
      </c>
      <c r="R195" s="12">
        <v>23208.368333333299</v>
      </c>
      <c r="S195" s="4">
        <f t="shared" ref="S195:S258" si="53">LN(B195-T195+1)</f>
        <v>3.3322045101752038</v>
      </c>
      <c r="T195" s="13">
        <v>1993</v>
      </c>
      <c r="U195" s="14">
        <v>118.69</v>
      </c>
      <c r="V195" s="14">
        <v>168.78</v>
      </c>
      <c r="W195" s="4">
        <f t="shared" ref="W195:W258" si="54">R195*U195/(1000*V195)</f>
        <v>16.320661437867813</v>
      </c>
      <c r="X195" s="18">
        <f t="shared" ref="X195:X258" si="55">C195/I195*100</f>
        <v>8.6620502199253284</v>
      </c>
      <c r="Y195" s="18">
        <f t="shared" ref="Y195:Y258" si="56">C195/G195*100</f>
        <v>4.1821815112699827</v>
      </c>
      <c r="Z195" s="18">
        <f t="shared" ref="Z195:Z258" si="57">H195/I195</f>
        <v>1.0711794561550385</v>
      </c>
      <c r="AA195" s="12">
        <f t="shared" ref="AA195:AA258" si="58">D195/J195</f>
        <v>1.1901761016507126</v>
      </c>
      <c r="AB195">
        <f t="shared" ref="AB195:AB258" si="59">LN(100*G195/V195)</f>
        <v>7.9600202048262148</v>
      </c>
      <c r="AC195" s="18">
        <f t="shared" si="48"/>
        <v>0.21081839770959523</v>
      </c>
      <c r="AD195" s="18">
        <f t="shared" ref="AD195:AD258" si="60">((100+O195)/(100+K195)-1)*100</f>
        <v>4.2908598538236253</v>
      </c>
      <c r="AE195" s="12">
        <v>3477.498</v>
      </c>
      <c r="AF195" s="12">
        <v>4519.1530000000002</v>
      </c>
      <c r="AG195" s="8">
        <f t="shared" ref="AG195:AG258" si="61">(AE195-AF195)/AF195</f>
        <v>-0.23049783886493777</v>
      </c>
      <c r="AH195">
        <f t="shared" ref="AH195:AH249" si="62">C257*100/G257</f>
        <v>17.028112527505694</v>
      </c>
      <c r="AI195">
        <f t="shared" ref="AI195:AI249" si="63">C257*100/I257</f>
        <v>29.506550547764935</v>
      </c>
    </row>
    <row r="196" spans="1:35" x14ac:dyDescent="0.3">
      <c r="A196" t="s">
        <v>35</v>
      </c>
      <c r="B196" s="11">
        <v>2020</v>
      </c>
      <c r="C196" s="12">
        <v>572.35699999999997</v>
      </c>
      <c r="D196" s="12">
        <v>8321.8220000000001</v>
      </c>
      <c r="E196" s="12">
        <v>9282.7729999999992</v>
      </c>
      <c r="F196" s="12">
        <v>6957.4539999999997</v>
      </c>
      <c r="G196" s="12">
        <v>17604.595000000001</v>
      </c>
      <c r="H196" s="12">
        <v>10732.486999999999</v>
      </c>
      <c r="I196" s="12">
        <v>6872.1090000000004</v>
      </c>
      <c r="J196" s="12">
        <v>6533.71</v>
      </c>
      <c r="K196" s="4">
        <f t="shared" si="49"/>
        <v>3.2209343665251402</v>
      </c>
      <c r="L196" s="5">
        <v>3.2209343665251404E-2</v>
      </c>
      <c r="M196" s="19">
        <f t="shared" si="50"/>
        <v>2.8654132091227211</v>
      </c>
      <c r="N196" s="5">
        <v>2.8654132091227212E-2</v>
      </c>
      <c r="O196" s="19">
        <f t="shared" si="51"/>
        <v>7.6499999999999995</v>
      </c>
      <c r="P196" s="8">
        <v>7.6499999999999999E-2</v>
      </c>
      <c r="Q196" s="19">
        <f t="shared" si="52"/>
        <v>23.208368333333301</v>
      </c>
      <c r="R196" s="12">
        <v>23208.368333333299</v>
      </c>
      <c r="S196" s="4">
        <f t="shared" si="53"/>
        <v>3.1780538303479458</v>
      </c>
      <c r="T196" s="13">
        <v>1997</v>
      </c>
      <c r="U196" s="14">
        <v>118.69</v>
      </c>
      <c r="V196" s="14">
        <v>168.78</v>
      </c>
      <c r="W196" s="4">
        <f t="shared" si="54"/>
        <v>16.320661437867813</v>
      </c>
      <c r="X196" s="18">
        <f t="shared" si="55"/>
        <v>8.3286950192437281</v>
      </c>
      <c r="Y196" s="18">
        <f t="shared" si="56"/>
        <v>3.2511795926006815</v>
      </c>
      <c r="Z196" s="18">
        <f t="shared" si="57"/>
        <v>1.5617457464658955</v>
      </c>
      <c r="AA196" s="12">
        <f t="shared" si="58"/>
        <v>1.2736748340529347</v>
      </c>
      <c r="AB196">
        <f t="shared" si="59"/>
        <v>9.2524893207546342</v>
      </c>
      <c r="AC196" s="18">
        <f t="shared" si="48"/>
        <v>0.39520670597647939</v>
      </c>
      <c r="AD196" s="18">
        <f t="shared" si="60"/>
        <v>4.2908598538236253</v>
      </c>
      <c r="AE196" s="12">
        <v>12641.344999999999</v>
      </c>
      <c r="AF196" s="12">
        <v>14409.84</v>
      </c>
      <c r="AG196" s="8">
        <f t="shared" si="61"/>
        <v>-0.12272828844733882</v>
      </c>
      <c r="AH196">
        <f t="shared" si="62"/>
        <v>5.2791198329451214</v>
      </c>
      <c r="AI196">
        <f t="shared" si="63"/>
        <v>13.065133661870629</v>
      </c>
    </row>
    <row r="197" spans="1:35" x14ac:dyDescent="0.3">
      <c r="A197" t="s">
        <v>36</v>
      </c>
      <c r="B197" s="11">
        <v>2020</v>
      </c>
      <c r="C197" s="12">
        <v>45.826999999999998</v>
      </c>
      <c r="D197" s="12">
        <v>4665.3860000000004</v>
      </c>
      <c r="E197" s="12">
        <v>580.447</v>
      </c>
      <c r="F197" s="12">
        <v>213.768</v>
      </c>
      <c r="G197" s="12">
        <v>5245.8329999999996</v>
      </c>
      <c r="H197" s="12">
        <v>4680.2439999999997</v>
      </c>
      <c r="I197" s="12">
        <v>565.58799999999997</v>
      </c>
      <c r="J197" s="12">
        <v>4615.93</v>
      </c>
      <c r="K197" s="4">
        <f t="shared" si="49"/>
        <v>3.2209343665251402</v>
      </c>
      <c r="L197" s="5">
        <v>3.2209343665251404E-2</v>
      </c>
      <c r="M197" s="19">
        <f t="shared" si="50"/>
        <v>2.8654132091227211</v>
      </c>
      <c r="N197" s="5">
        <v>2.8654132091227212E-2</v>
      </c>
      <c r="O197" s="19">
        <f t="shared" si="51"/>
        <v>7.6499999999999995</v>
      </c>
      <c r="P197" s="8">
        <v>7.6499999999999999E-2</v>
      </c>
      <c r="Q197" s="19">
        <f t="shared" si="52"/>
        <v>23.208368333333301</v>
      </c>
      <c r="R197" s="12">
        <v>23208.368333333299</v>
      </c>
      <c r="S197" s="4">
        <f t="shared" si="53"/>
        <v>1.3862943611198906</v>
      </c>
      <c r="T197" s="13">
        <v>2017</v>
      </c>
      <c r="U197" s="14">
        <v>118.69</v>
      </c>
      <c r="V197" s="14">
        <v>168.78</v>
      </c>
      <c r="W197" s="4">
        <f t="shared" si="54"/>
        <v>16.320661437867813</v>
      </c>
      <c r="X197" s="18">
        <f t="shared" si="55"/>
        <v>8.102541072299978</v>
      </c>
      <c r="Y197" s="18">
        <f t="shared" si="56"/>
        <v>0.87358861786107178</v>
      </c>
      <c r="Z197" s="18">
        <f t="shared" si="57"/>
        <v>8.2750058346358131</v>
      </c>
      <c r="AA197" s="12">
        <f t="shared" si="58"/>
        <v>1.0107142006052952</v>
      </c>
      <c r="AB197">
        <f t="shared" si="59"/>
        <v>8.041763420400267</v>
      </c>
      <c r="AC197" s="18">
        <f t="shared" si="48"/>
        <v>4.0750058189042621E-2</v>
      </c>
      <c r="AD197" s="18">
        <f t="shared" si="60"/>
        <v>4.2908598538236253</v>
      </c>
      <c r="AE197" s="12">
        <v>12845.638000000001</v>
      </c>
      <c r="AF197" s="12">
        <v>17288.066999999999</v>
      </c>
      <c r="AG197" s="8">
        <f t="shared" si="61"/>
        <v>-0.25696504993878139</v>
      </c>
      <c r="AH197">
        <f t="shared" si="62"/>
        <v>0.20448962010057231</v>
      </c>
      <c r="AI197">
        <f t="shared" si="63"/>
        <v>10.821462567425394</v>
      </c>
    </row>
    <row r="198" spans="1:35" x14ac:dyDescent="0.3">
      <c r="A198" t="s">
        <v>37</v>
      </c>
      <c r="B198" s="11">
        <v>2020</v>
      </c>
      <c r="C198" s="12">
        <v>96.616</v>
      </c>
      <c r="D198" s="12">
        <v>717.59</v>
      </c>
      <c r="E198" s="12">
        <v>825.51199999999994</v>
      </c>
      <c r="F198" s="12">
        <v>474.71899999999999</v>
      </c>
      <c r="G198" s="12">
        <v>1543.1020000000001</v>
      </c>
      <c r="H198" s="12">
        <v>447.38</v>
      </c>
      <c r="I198" s="12">
        <v>1095.722</v>
      </c>
      <c r="J198" s="12">
        <v>430.84</v>
      </c>
      <c r="K198" s="4">
        <f t="shared" si="49"/>
        <v>3.2209343665251402</v>
      </c>
      <c r="L198" s="5">
        <v>3.2209343665251404E-2</v>
      </c>
      <c r="M198" s="19">
        <f t="shared" si="50"/>
        <v>2.8654132091227211</v>
      </c>
      <c r="N198" s="5">
        <v>2.8654132091227212E-2</v>
      </c>
      <c r="O198" s="19">
        <f t="shared" si="51"/>
        <v>7.6499999999999995</v>
      </c>
      <c r="P198" s="8">
        <v>7.6499999999999999E-2</v>
      </c>
      <c r="Q198" s="19">
        <f t="shared" si="52"/>
        <v>23.208368333333301</v>
      </c>
      <c r="R198" s="12">
        <v>23208.368333333299</v>
      </c>
      <c r="S198" s="4">
        <f t="shared" si="53"/>
        <v>3.0910424533583161</v>
      </c>
      <c r="T198" s="13">
        <v>1999</v>
      </c>
      <c r="U198" s="14">
        <v>118.69</v>
      </c>
      <c r="V198" s="14">
        <v>168.78</v>
      </c>
      <c r="W198" s="4">
        <f t="shared" si="54"/>
        <v>16.320661437867813</v>
      </c>
      <c r="X198" s="18">
        <f t="shared" si="55"/>
        <v>8.8175650393074143</v>
      </c>
      <c r="Y198" s="18">
        <f t="shared" si="56"/>
        <v>6.2611544797427516</v>
      </c>
      <c r="Z198" s="18">
        <f t="shared" si="57"/>
        <v>0.40829699504071287</v>
      </c>
      <c r="AA198" s="12">
        <f t="shared" si="58"/>
        <v>1.6655603008077247</v>
      </c>
      <c r="AB198">
        <f t="shared" si="59"/>
        <v>6.8181240494268716</v>
      </c>
      <c r="AC198" s="18">
        <f t="shared" si="48"/>
        <v>0.30763941722582172</v>
      </c>
      <c r="AD198" s="18">
        <f t="shared" si="60"/>
        <v>4.2908598538236253</v>
      </c>
      <c r="AE198" s="12">
        <v>1228.7629999999999</v>
      </c>
      <c r="AF198" s="12">
        <v>1513.816</v>
      </c>
      <c r="AG198" s="8">
        <f t="shared" si="61"/>
        <v>-0.18830095599465199</v>
      </c>
      <c r="AH198">
        <f t="shared" si="62"/>
        <v>6.0768646908398107</v>
      </c>
      <c r="AI198">
        <f t="shared" si="63"/>
        <v>9.5065431322761658</v>
      </c>
    </row>
    <row r="199" spans="1:35" x14ac:dyDescent="0.3">
      <c r="A199" t="s">
        <v>38</v>
      </c>
      <c r="B199" s="11">
        <v>2020</v>
      </c>
      <c r="C199" s="12">
        <v>660.58900000000006</v>
      </c>
      <c r="D199" s="12">
        <v>4500.7629999999999</v>
      </c>
      <c r="E199" s="12">
        <v>3183.319</v>
      </c>
      <c r="F199" s="12">
        <v>2556.0210000000002</v>
      </c>
      <c r="G199" s="12">
        <v>7684.0829999999996</v>
      </c>
      <c r="H199" s="12">
        <v>1948.5450000000001</v>
      </c>
      <c r="I199" s="12">
        <v>5735.5379999999996</v>
      </c>
      <c r="J199" s="12">
        <v>1746.19</v>
      </c>
      <c r="K199" s="4">
        <f t="shared" si="49"/>
        <v>3.2209343665251402</v>
      </c>
      <c r="L199" s="5">
        <v>3.2209343665251404E-2</v>
      </c>
      <c r="M199" s="19">
        <f t="shared" si="50"/>
        <v>2.8654132091227211</v>
      </c>
      <c r="N199" s="5">
        <v>2.8654132091227212E-2</v>
      </c>
      <c r="O199" s="19">
        <f t="shared" si="51"/>
        <v>7.6499999999999995</v>
      </c>
      <c r="P199" s="8">
        <v>7.6499999999999999E-2</v>
      </c>
      <c r="Q199" s="19">
        <f t="shared" si="52"/>
        <v>23.208368333333301</v>
      </c>
      <c r="R199" s="12">
        <v>23208.368333333299</v>
      </c>
      <c r="S199" s="4">
        <f t="shared" si="53"/>
        <v>4.8751973232011512</v>
      </c>
      <c r="T199" s="13">
        <v>1890</v>
      </c>
      <c r="U199" s="14">
        <v>118.69</v>
      </c>
      <c r="V199" s="14">
        <v>168.78</v>
      </c>
      <c r="W199" s="4">
        <f t="shared" si="54"/>
        <v>16.320661437867813</v>
      </c>
      <c r="X199" s="18">
        <f t="shared" si="55"/>
        <v>11.517472292921783</v>
      </c>
      <c r="Y199" s="18">
        <f t="shared" si="56"/>
        <v>8.5968488367447371</v>
      </c>
      <c r="Z199" s="18">
        <f t="shared" si="57"/>
        <v>0.33973186124823868</v>
      </c>
      <c r="AA199" s="12">
        <f t="shared" si="58"/>
        <v>2.5774761051202901</v>
      </c>
      <c r="AB199">
        <f t="shared" si="59"/>
        <v>8.4234804197541795</v>
      </c>
      <c r="AC199" s="18">
        <f t="shared" si="48"/>
        <v>0.33263839029328551</v>
      </c>
      <c r="AD199" s="18">
        <f t="shared" si="60"/>
        <v>4.2908598538236253</v>
      </c>
      <c r="AE199" s="12">
        <v>7514.3710000000001</v>
      </c>
      <c r="AF199" s="12">
        <v>9405.06</v>
      </c>
      <c r="AG199" s="8">
        <f t="shared" si="61"/>
        <v>-0.20102891422276939</v>
      </c>
      <c r="AH199">
        <f t="shared" si="62"/>
        <v>6.730779128007395</v>
      </c>
      <c r="AI199">
        <f t="shared" si="63"/>
        <v>10.095949812826747</v>
      </c>
    </row>
    <row r="200" spans="1:35" x14ac:dyDescent="0.3">
      <c r="A200" t="s">
        <v>39</v>
      </c>
      <c r="B200" s="11">
        <v>2020</v>
      </c>
      <c r="C200" s="12">
        <v>20.152999999999999</v>
      </c>
      <c r="D200" s="12">
        <v>326.72500000000002</v>
      </c>
      <c r="E200" s="12">
        <v>124.03</v>
      </c>
      <c r="F200" s="12">
        <v>41.908999999999999</v>
      </c>
      <c r="G200" s="12">
        <v>450.755</v>
      </c>
      <c r="H200" s="12">
        <v>73.227000000000004</v>
      </c>
      <c r="I200" s="12">
        <v>377.52800000000002</v>
      </c>
      <c r="J200" s="12">
        <v>67.11</v>
      </c>
      <c r="K200" s="4">
        <f t="shared" si="49"/>
        <v>3.2209343665251402</v>
      </c>
      <c r="L200" s="5">
        <v>3.2209343665251404E-2</v>
      </c>
      <c r="M200" s="19">
        <f t="shared" si="50"/>
        <v>2.8654132091227211</v>
      </c>
      <c r="N200" s="5">
        <v>2.8654132091227212E-2</v>
      </c>
      <c r="O200" s="19">
        <f t="shared" si="51"/>
        <v>7.6499999999999995</v>
      </c>
      <c r="P200" s="8">
        <v>7.6499999999999999E-2</v>
      </c>
      <c r="Q200" s="19">
        <f t="shared" si="52"/>
        <v>23.208368333333301</v>
      </c>
      <c r="R200" s="12">
        <v>23208.368333333299</v>
      </c>
      <c r="S200" s="4">
        <f t="shared" si="53"/>
        <v>1.791759469228055</v>
      </c>
      <c r="T200" s="13">
        <v>2015</v>
      </c>
      <c r="U200" s="14">
        <v>118.69</v>
      </c>
      <c r="V200" s="14">
        <v>168.78</v>
      </c>
      <c r="W200" s="4">
        <f t="shared" si="54"/>
        <v>16.320661437867813</v>
      </c>
      <c r="X200" s="18">
        <f t="shared" si="55"/>
        <v>5.338147104320738</v>
      </c>
      <c r="Y200" s="18">
        <f t="shared" si="56"/>
        <v>4.4709431953056535</v>
      </c>
      <c r="Z200" s="18">
        <f t="shared" si="57"/>
        <v>0.19396442118200505</v>
      </c>
      <c r="AA200" s="12">
        <f t="shared" si="58"/>
        <v>4.8684994784681868</v>
      </c>
      <c r="AB200">
        <f t="shared" si="59"/>
        <v>5.5874980489035799</v>
      </c>
      <c r="AC200" s="18">
        <f t="shared" si="48"/>
        <v>9.2975119521691379E-2</v>
      </c>
      <c r="AD200" s="18">
        <f t="shared" si="60"/>
        <v>4.2908598538236253</v>
      </c>
      <c r="AE200" s="12">
        <v>361.267</v>
      </c>
      <c r="AF200" s="12">
        <v>422.70600000000002</v>
      </c>
      <c r="AG200" s="8">
        <f t="shared" si="61"/>
        <v>-0.14534688412277094</v>
      </c>
      <c r="AH200">
        <f t="shared" si="62"/>
        <v>4.8495408892456489</v>
      </c>
      <c r="AI200">
        <f t="shared" si="63"/>
        <v>5.5448758307100379</v>
      </c>
    </row>
    <row r="201" spans="1:35" x14ac:dyDescent="0.3">
      <c r="A201" t="s">
        <v>40</v>
      </c>
      <c r="B201" s="11">
        <v>2020</v>
      </c>
      <c r="C201" s="12">
        <v>128.94800000000001</v>
      </c>
      <c r="D201" s="12">
        <v>839.01599999999996</v>
      </c>
      <c r="E201" s="12">
        <v>72.603999999999999</v>
      </c>
      <c r="F201" s="12">
        <v>58.948</v>
      </c>
      <c r="G201" s="12">
        <v>911.62</v>
      </c>
      <c r="H201" s="12">
        <v>180.982</v>
      </c>
      <c r="I201" s="12">
        <v>730.63800000000003</v>
      </c>
      <c r="J201" s="12">
        <v>180.48</v>
      </c>
      <c r="K201" s="4">
        <f t="shared" si="49"/>
        <v>3.2209343665251402</v>
      </c>
      <c r="L201" s="5">
        <v>3.2209343665251404E-2</v>
      </c>
      <c r="M201" s="19">
        <f t="shared" si="50"/>
        <v>2.8654132091227211</v>
      </c>
      <c r="N201" s="5">
        <v>2.8654132091227212E-2</v>
      </c>
      <c r="O201" s="19">
        <f t="shared" si="51"/>
        <v>7.6499999999999995</v>
      </c>
      <c r="P201" s="8">
        <v>7.6499999999999999E-2</v>
      </c>
      <c r="Q201" s="19">
        <f t="shared" si="52"/>
        <v>23.208368333333301</v>
      </c>
      <c r="R201" s="12">
        <v>23208.368333333299</v>
      </c>
      <c r="S201" s="4">
        <f t="shared" si="53"/>
        <v>3.3672958299864741</v>
      </c>
      <c r="T201" s="13">
        <v>1992</v>
      </c>
      <c r="U201" s="14">
        <v>118.69</v>
      </c>
      <c r="V201" s="14">
        <v>168.78</v>
      </c>
      <c r="W201" s="4">
        <f t="shared" si="54"/>
        <v>16.320661437867813</v>
      </c>
      <c r="X201" s="18">
        <f t="shared" si="55"/>
        <v>17.648685121770288</v>
      </c>
      <c r="Y201" s="18">
        <f t="shared" si="56"/>
        <v>14.14492880805599</v>
      </c>
      <c r="Z201" s="18">
        <f t="shared" si="57"/>
        <v>0.24770406138197026</v>
      </c>
      <c r="AA201" s="12">
        <f t="shared" si="58"/>
        <v>4.6488031914893622</v>
      </c>
      <c r="AB201">
        <f t="shared" si="59"/>
        <v>6.2917973308362596</v>
      </c>
      <c r="AC201" s="18">
        <f t="shared" si="48"/>
        <v>6.4662907790526761E-2</v>
      </c>
      <c r="AD201" s="18">
        <f t="shared" si="60"/>
        <v>4.2908598538236253</v>
      </c>
      <c r="AE201" s="12">
        <v>1899.749</v>
      </c>
      <c r="AF201" s="12">
        <v>1928.712</v>
      </c>
      <c r="AG201" s="8">
        <f t="shared" si="61"/>
        <v>-1.5016757297097734E-2</v>
      </c>
      <c r="AH201">
        <f t="shared" si="62"/>
        <v>13.72032203176388</v>
      </c>
      <c r="AI201">
        <f t="shared" si="63"/>
        <v>20.282035260179835</v>
      </c>
    </row>
    <row r="202" spans="1:35" x14ac:dyDescent="0.3">
      <c r="A202" t="s">
        <v>41</v>
      </c>
      <c r="B202" s="11">
        <v>2020</v>
      </c>
      <c r="C202" s="12">
        <v>60.145000000000003</v>
      </c>
      <c r="D202" s="12">
        <v>929.79700000000003</v>
      </c>
      <c r="E202" s="12">
        <v>562.87099999999998</v>
      </c>
      <c r="F202" s="12">
        <v>341.59399999999999</v>
      </c>
      <c r="G202" s="12">
        <v>1492.6679999999999</v>
      </c>
      <c r="H202" s="12">
        <v>934.97400000000005</v>
      </c>
      <c r="I202" s="12">
        <v>557.69399999999996</v>
      </c>
      <c r="J202" s="12">
        <v>902.69</v>
      </c>
      <c r="K202" s="4">
        <f t="shared" si="49"/>
        <v>3.2209343665251402</v>
      </c>
      <c r="L202" s="5">
        <v>3.2209343665251404E-2</v>
      </c>
      <c r="M202" s="19">
        <f t="shared" si="50"/>
        <v>2.8654132091227211</v>
      </c>
      <c r="N202" s="5">
        <v>2.8654132091227212E-2</v>
      </c>
      <c r="O202" s="19">
        <f t="shared" si="51"/>
        <v>7.6499999999999995</v>
      </c>
      <c r="P202" s="8">
        <v>7.6499999999999999E-2</v>
      </c>
      <c r="Q202" s="19">
        <f t="shared" si="52"/>
        <v>23.208368333333301</v>
      </c>
      <c r="R202" s="12">
        <v>23208.368333333299</v>
      </c>
      <c r="S202" s="4">
        <f t="shared" si="53"/>
        <v>3.784189633918261</v>
      </c>
      <c r="T202" s="13">
        <v>1977</v>
      </c>
      <c r="U202" s="14">
        <v>118.69</v>
      </c>
      <c r="V202" s="14">
        <v>168.78</v>
      </c>
      <c r="W202" s="4">
        <f t="shared" si="54"/>
        <v>16.320661437867813</v>
      </c>
      <c r="X202" s="18">
        <f t="shared" si="55"/>
        <v>10.784587964008937</v>
      </c>
      <c r="Y202" s="18">
        <f t="shared" si="56"/>
        <v>4.0293621890467275</v>
      </c>
      <c r="Z202" s="18">
        <f t="shared" si="57"/>
        <v>1.6765000161378822</v>
      </c>
      <c r="AA202" s="12">
        <f t="shared" si="58"/>
        <v>1.0300291351405244</v>
      </c>
      <c r="AB202">
        <f t="shared" si="59"/>
        <v>6.7848944960043802</v>
      </c>
      <c r="AC202" s="18">
        <f t="shared" si="48"/>
        <v>0.22884794207419198</v>
      </c>
      <c r="AD202" s="18">
        <f t="shared" si="60"/>
        <v>4.2908598538236253</v>
      </c>
      <c r="AE202" s="12">
        <v>1436.5229999999999</v>
      </c>
      <c r="AF202" s="12">
        <v>958.16899999999998</v>
      </c>
      <c r="AG202" s="8">
        <f t="shared" si="61"/>
        <v>0.4992376083968485</v>
      </c>
      <c r="AH202">
        <f t="shared" si="62"/>
        <v>5.4607542091704149</v>
      </c>
      <c r="AI202">
        <f t="shared" si="63"/>
        <v>22.571037077464378</v>
      </c>
    </row>
    <row r="203" spans="1:35" x14ac:dyDescent="0.3">
      <c r="A203" t="s">
        <v>42</v>
      </c>
      <c r="B203" s="11">
        <v>2020</v>
      </c>
      <c r="C203" s="12">
        <v>90.661000000000001</v>
      </c>
      <c r="D203" s="12">
        <v>2255.6570000000002</v>
      </c>
      <c r="E203" s="12">
        <v>1557.5920000000001</v>
      </c>
      <c r="F203" s="12">
        <v>1470.7090000000001</v>
      </c>
      <c r="G203" s="12">
        <v>3813.25</v>
      </c>
      <c r="H203" s="12">
        <v>2537.8029999999999</v>
      </c>
      <c r="I203" s="12">
        <v>1275.4469999999999</v>
      </c>
      <c r="J203" s="12">
        <v>2179.9</v>
      </c>
      <c r="K203" s="4">
        <f t="shared" si="49"/>
        <v>3.2209343665251402</v>
      </c>
      <c r="L203" s="5">
        <v>3.2209343665251404E-2</v>
      </c>
      <c r="M203" s="19">
        <f t="shared" si="50"/>
        <v>2.8654132091227211</v>
      </c>
      <c r="N203" s="5">
        <v>2.8654132091227212E-2</v>
      </c>
      <c r="O203" s="19">
        <f t="shared" si="51"/>
        <v>7.6499999999999995</v>
      </c>
      <c r="P203" s="8">
        <v>7.6499999999999999E-2</v>
      </c>
      <c r="Q203" s="19">
        <f t="shared" si="52"/>
        <v>23.208368333333301</v>
      </c>
      <c r="R203" s="12">
        <v>23208.368333333299</v>
      </c>
      <c r="S203" s="4">
        <f t="shared" si="53"/>
        <v>3.8066624897703196</v>
      </c>
      <c r="T203" s="13">
        <v>1976</v>
      </c>
      <c r="U203" s="14">
        <v>118.69</v>
      </c>
      <c r="V203" s="14">
        <v>168.78</v>
      </c>
      <c r="W203" s="4">
        <f t="shared" si="54"/>
        <v>16.320661437867813</v>
      </c>
      <c r="X203" s="18">
        <f t="shared" si="55"/>
        <v>7.1081746242689832</v>
      </c>
      <c r="Y203" s="18">
        <f t="shared" si="56"/>
        <v>2.3775257326427588</v>
      </c>
      <c r="Z203" s="18">
        <f t="shared" si="57"/>
        <v>1.9897361474055764</v>
      </c>
      <c r="AA203" s="12">
        <f t="shared" si="58"/>
        <v>1.0347525115831002</v>
      </c>
      <c r="AB203">
        <f t="shared" si="59"/>
        <v>7.7228112171383136</v>
      </c>
      <c r="AC203" s="18">
        <f t="shared" si="48"/>
        <v>0.38568386546908806</v>
      </c>
      <c r="AD203" s="18">
        <f t="shared" si="60"/>
        <v>4.2908598538236253</v>
      </c>
      <c r="AE203" s="12">
        <v>4799.4690000000001</v>
      </c>
      <c r="AF203" s="12">
        <v>4363.2619999999997</v>
      </c>
      <c r="AG203" s="8">
        <f t="shared" si="61"/>
        <v>9.9972680989589988E-2</v>
      </c>
      <c r="AH203">
        <f t="shared" si="62"/>
        <v>1.3744676067203998</v>
      </c>
      <c r="AI203">
        <f t="shared" si="63"/>
        <v>4.2266210239946362</v>
      </c>
    </row>
    <row r="204" spans="1:35" x14ac:dyDescent="0.3">
      <c r="A204" t="s">
        <v>43</v>
      </c>
      <c r="B204" s="11">
        <v>2020</v>
      </c>
      <c r="C204" s="12">
        <v>1.43</v>
      </c>
      <c r="D204" s="12">
        <v>968.20100000000002</v>
      </c>
      <c r="E204" s="12">
        <v>610.49599999999998</v>
      </c>
      <c r="F204" s="12">
        <v>160.852</v>
      </c>
      <c r="G204" s="12">
        <v>1578.6969999999999</v>
      </c>
      <c r="H204" s="12">
        <v>1046.364</v>
      </c>
      <c r="I204" s="12">
        <v>532.33299999999997</v>
      </c>
      <c r="J204" s="12">
        <v>869.32</v>
      </c>
      <c r="K204" s="4">
        <f t="shared" si="49"/>
        <v>3.2209343665251402</v>
      </c>
      <c r="L204" s="5">
        <v>3.2209343665251404E-2</v>
      </c>
      <c r="M204" s="19">
        <f t="shared" si="50"/>
        <v>2.8654132091227211</v>
      </c>
      <c r="N204" s="5">
        <v>2.8654132091227212E-2</v>
      </c>
      <c r="O204" s="19">
        <f t="shared" si="51"/>
        <v>7.6499999999999995</v>
      </c>
      <c r="P204" s="8">
        <v>7.6499999999999999E-2</v>
      </c>
      <c r="Q204" s="19">
        <f t="shared" si="52"/>
        <v>23.208368333333301</v>
      </c>
      <c r="R204" s="12">
        <v>23208.368333333299</v>
      </c>
      <c r="S204" s="4">
        <f t="shared" si="53"/>
        <v>2.4849066497880004</v>
      </c>
      <c r="T204" s="13">
        <v>2009</v>
      </c>
      <c r="U204" s="14">
        <v>118.69</v>
      </c>
      <c r="V204" s="14">
        <v>168.78</v>
      </c>
      <c r="W204" s="4">
        <f t="shared" si="54"/>
        <v>16.320661437867813</v>
      </c>
      <c r="X204" s="18">
        <f t="shared" si="55"/>
        <v>0.268628846981119</v>
      </c>
      <c r="Y204" s="18">
        <f t="shared" si="56"/>
        <v>9.0581029798625076E-2</v>
      </c>
      <c r="Z204" s="18">
        <f t="shared" si="57"/>
        <v>1.9656192646332278</v>
      </c>
      <c r="AA204" s="12">
        <f t="shared" si="58"/>
        <v>1.1137452261537752</v>
      </c>
      <c r="AB204">
        <f t="shared" si="59"/>
        <v>6.8409291964964334</v>
      </c>
      <c r="AC204" s="18">
        <f t="shared" si="48"/>
        <v>0.10188908954663245</v>
      </c>
      <c r="AD204" s="18">
        <f t="shared" si="60"/>
        <v>4.2908598538236253</v>
      </c>
      <c r="AE204" s="12">
        <v>5733.5020000000004</v>
      </c>
      <c r="AF204" s="12">
        <v>6479.1940000000004</v>
      </c>
      <c r="AG204" s="8">
        <f t="shared" si="61"/>
        <v>-0.11509024116271252</v>
      </c>
      <c r="AH204">
        <f t="shared" si="62"/>
        <v>2.8398883722373451</v>
      </c>
      <c r="AI204">
        <f t="shared" si="63"/>
        <v>8.2498910806303787</v>
      </c>
    </row>
    <row r="205" spans="1:35" x14ac:dyDescent="0.3">
      <c r="A205" t="s">
        <v>44</v>
      </c>
      <c r="B205" s="11">
        <v>2020</v>
      </c>
      <c r="C205" s="12">
        <v>51.920999999999999</v>
      </c>
      <c r="D205" s="12">
        <v>1095.7760000000001</v>
      </c>
      <c r="E205" s="12">
        <v>543.39</v>
      </c>
      <c r="F205" s="12">
        <v>308.07600000000002</v>
      </c>
      <c r="G205" s="12">
        <v>1639.1659999999999</v>
      </c>
      <c r="H205" s="12">
        <v>992.89300000000003</v>
      </c>
      <c r="I205" s="12">
        <v>646.27300000000002</v>
      </c>
      <c r="J205" s="12">
        <v>841.37</v>
      </c>
      <c r="K205" s="4">
        <f t="shared" si="49"/>
        <v>3.2209343665251402</v>
      </c>
      <c r="L205" s="5">
        <v>3.2209343665251404E-2</v>
      </c>
      <c r="M205" s="19">
        <f t="shared" si="50"/>
        <v>2.8654132091227211</v>
      </c>
      <c r="N205" s="5">
        <v>2.8654132091227212E-2</v>
      </c>
      <c r="O205" s="19">
        <f t="shared" si="51"/>
        <v>7.6499999999999995</v>
      </c>
      <c r="P205" s="8">
        <v>7.6499999999999999E-2</v>
      </c>
      <c r="Q205" s="19">
        <f t="shared" si="52"/>
        <v>23.208368333333301</v>
      </c>
      <c r="R205" s="12">
        <v>23208.368333333299</v>
      </c>
      <c r="S205" s="4">
        <f t="shared" si="53"/>
        <v>2.5649493574615367</v>
      </c>
      <c r="T205" s="13">
        <v>2008</v>
      </c>
      <c r="U205" s="14">
        <v>118.69</v>
      </c>
      <c r="V205" s="14">
        <v>168.78</v>
      </c>
      <c r="W205" s="4">
        <f t="shared" si="54"/>
        <v>16.320661437867813</v>
      </c>
      <c r="X205" s="18">
        <f t="shared" si="55"/>
        <v>8.0339113656303134</v>
      </c>
      <c r="Y205" s="18">
        <f t="shared" si="56"/>
        <v>3.1675254367159886</v>
      </c>
      <c r="Z205" s="18">
        <f t="shared" si="57"/>
        <v>1.5363368112237399</v>
      </c>
      <c r="AA205" s="12">
        <f t="shared" si="58"/>
        <v>1.302371132795322</v>
      </c>
      <c r="AB205">
        <f t="shared" si="59"/>
        <v>6.8785169491425657</v>
      </c>
      <c r="AC205" s="18">
        <f t="shared" si="48"/>
        <v>0.1879467973347422</v>
      </c>
      <c r="AD205" s="18">
        <f t="shared" si="60"/>
        <v>4.2908598538236253</v>
      </c>
      <c r="AE205" s="12">
        <v>2159.8850000000002</v>
      </c>
      <c r="AF205" s="12">
        <v>2493.2759999999998</v>
      </c>
      <c r="AG205" s="8">
        <f t="shared" si="61"/>
        <v>-0.13371604266836068</v>
      </c>
      <c r="AH205">
        <f t="shared" si="62"/>
        <v>3.9528968464805616</v>
      </c>
      <c r="AI205">
        <f t="shared" si="63"/>
        <v>10.566234947374136</v>
      </c>
    </row>
    <row r="206" spans="1:35" x14ac:dyDescent="0.3">
      <c r="A206" t="s">
        <v>45</v>
      </c>
      <c r="B206" s="11">
        <v>2020</v>
      </c>
      <c r="C206" s="12">
        <v>1400.296</v>
      </c>
      <c r="D206" s="12">
        <v>4653.09</v>
      </c>
      <c r="E206" s="12">
        <v>5448.1809999999996</v>
      </c>
      <c r="F206" s="12">
        <v>4455.4690000000001</v>
      </c>
      <c r="G206" s="12">
        <v>10101.271000000001</v>
      </c>
      <c r="H206" s="12">
        <v>5894.3109999999997</v>
      </c>
      <c r="I206" s="12">
        <v>4206.96</v>
      </c>
      <c r="J206" s="12">
        <v>4254.59</v>
      </c>
      <c r="K206" s="4">
        <f t="shared" si="49"/>
        <v>3.2209343665251402</v>
      </c>
      <c r="L206" s="5">
        <v>3.2209343665251404E-2</v>
      </c>
      <c r="M206" s="19">
        <f t="shared" si="50"/>
        <v>2.8654132091227211</v>
      </c>
      <c r="N206" s="5">
        <v>2.8654132091227212E-2</v>
      </c>
      <c r="O206" s="19">
        <f t="shared" si="51"/>
        <v>7.6499999999999995</v>
      </c>
      <c r="P206" s="8">
        <v>7.6499999999999999E-2</v>
      </c>
      <c r="Q206" s="19">
        <f t="shared" si="52"/>
        <v>23.208368333333301</v>
      </c>
      <c r="R206" s="12">
        <v>23208.368333333299</v>
      </c>
      <c r="S206" s="4">
        <f t="shared" si="53"/>
        <v>3.2188758248682006</v>
      </c>
      <c r="T206" s="13">
        <v>1996</v>
      </c>
      <c r="U206" s="14">
        <v>118.69</v>
      </c>
      <c r="V206" s="14">
        <v>168.78</v>
      </c>
      <c r="W206" s="4">
        <f t="shared" si="54"/>
        <v>16.320661437867813</v>
      </c>
      <c r="X206" s="18">
        <f t="shared" si="55"/>
        <v>33.285222583528252</v>
      </c>
      <c r="Y206" s="18">
        <f t="shared" si="56"/>
        <v>13.862572343618936</v>
      </c>
      <c r="Z206" s="18">
        <f t="shared" si="57"/>
        <v>1.4010855819879438</v>
      </c>
      <c r="AA206" s="12">
        <f t="shared" si="58"/>
        <v>1.0936635492491638</v>
      </c>
      <c r="AB206">
        <f t="shared" si="59"/>
        <v>8.6969906307543923</v>
      </c>
      <c r="AC206" s="18">
        <f t="shared" si="48"/>
        <v>0.44108003834368958</v>
      </c>
      <c r="AD206" s="18">
        <f t="shared" si="60"/>
        <v>4.2908598538236253</v>
      </c>
      <c r="AE206" s="12">
        <v>10189.066999999999</v>
      </c>
      <c r="AF206" s="12">
        <v>7299.9309999999996</v>
      </c>
      <c r="AG206" s="8">
        <f t="shared" si="61"/>
        <v>0.39577579568902771</v>
      </c>
      <c r="AH206">
        <f t="shared" si="62"/>
        <v>3.1811132801809858</v>
      </c>
      <c r="AI206">
        <f t="shared" si="63"/>
        <v>10.083752016304263</v>
      </c>
    </row>
    <row r="207" spans="1:35" x14ac:dyDescent="0.3">
      <c r="A207" t="s">
        <v>46</v>
      </c>
      <c r="B207" s="11">
        <v>2020</v>
      </c>
      <c r="C207" s="12">
        <v>18.263999999999999</v>
      </c>
      <c r="D207" s="12">
        <v>930.82500000000005</v>
      </c>
      <c r="E207" s="12">
        <v>478.82299999999998</v>
      </c>
      <c r="F207" s="12">
        <v>380.72199999999998</v>
      </c>
      <c r="G207" s="12">
        <v>1409.6489999999999</v>
      </c>
      <c r="H207" s="12">
        <v>486.46100000000001</v>
      </c>
      <c r="I207" s="12">
        <v>923.18799999999999</v>
      </c>
      <c r="J207" s="12">
        <v>432.76</v>
      </c>
      <c r="K207" s="4">
        <f t="shared" si="49"/>
        <v>3.2209343665251402</v>
      </c>
      <c r="L207" s="5">
        <v>3.2209343665251404E-2</v>
      </c>
      <c r="M207" s="19">
        <f t="shared" si="50"/>
        <v>2.8654132091227211</v>
      </c>
      <c r="N207" s="5">
        <v>2.8654132091227212E-2</v>
      </c>
      <c r="O207" s="19">
        <f t="shared" si="51"/>
        <v>7.6499999999999995</v>
      </c>
      <c r="P207" s="8">
        <v>7.6499999999999999E-2</v>
      </c>
      <c r="Q207" s="19">
        <f t="shared" si="52"/>
        <v>23.208368333333301</v>
      </c>
      <c r="R207" s="12">
        <v>23208.368333333299</v>
      </c>
      <c r="S207" s="4">
        <f t="shared" si="53"/>
        <v>3.8712010109078911</v>
      </c>
      <c r="T207" s="13">
        <v>1973</v>
      </c>
      <c r="U207" s="14">
        <v>118.69</v>
      </c>
      <c r="V207" s="14">
        <v>168.78</v>
      </c>
      <c r="W207" s="4">
        <f t="shared" si="54"/>
        <v>16.320661437867813</v>
      </c>
      <c r="X207" s="18">
        <f t="shared" si="55"/>
        <v>1.9783619371135672</v>
      </c>
      <c r="Y207" s="18">
        <f t="shared" si="56"/>
        <v>1.29564168101421</v>
      </c>
      <c r="Z207" s="18">
        <f t="shared" si="57"/>
        <v>0.52693600870028645</v>
      </c>
      <c r="AA207" s="12">
        <f t="shared" si="58"/>
        <v>2.1509035030964045</v>
      </c>
      <c r="AB207">
        <f t="shared" si="59"/>
        <v>6.7276701104705205</v>
      </c>
      <c r="AC207" s="18">
        <f t="shared" si="48"/>
        <v>0.27008283622376916</v>
      </c>
      <c r="AD207" s="18">
        <f t="shared" si="60"/>
        <v>4.2908598538236253</v>
      </c>
      <c r="AE207" s="12">
        <v>946.476</v>
      </c>
      <c r="AF207" s="12">
        <v>830.51499999999999</v>
      </c>
      <c r="AG207" s="8">
        <f t="shared" si="61"/>
        <v>0.13962541314726407</v>
      </c>
      <c r="AH207">
        <f t="shared" si="62"/>
        <v>1.9680515351081591</v>
      </c>
      <c r="AI207">
        <f t="shared" si="63"/>
        <v>3.039797792416393</v>
      </c>
    </row>
    <row r="208" spans="1:35" x14ac:dyDescent="0.3">
      <c r="A208" t="s">
        <v>47</v>
      </c>
      <c r="B208" s="11">
        <v>2020</v>
      </c>
      <c r="C208" s="12">
        <v>256.31700000000001</v>
      </c>
      <c r="D208" s="12">
        <v>1311.509</v>
      </c>
      <c r="E208" s="12">
        <v>1119.2</v>
      </c>
      <c r="F208" s="12">
        <v>1063.6010000000001</v>
      </c>
      <c r="G208" s="12">
        <v>2430.71</v>
      </c>
      <c r="H208" s="12">
        <v>743.41700000000003</v>
      </c>
      <c r="I208" s="12">
        <v>1687.2929999999999</v>
      </c>
      <c r="J208" s="12">
        <v>742.18</v>
      </c>
      <c r="K208" s="4">
        <f t="shared" si="49"/>
        <v>3.2209343665251402</v>
      </c>
      <c r="L208" s="5">
        <v>3.2209343665251404E-2</v>
      </c>
      <c r="M208" s="19">
        <f t="shared" si="50"/>
        <v>2.8654132091227211</v>
      </c>
      <c r="N208" s="5">
        <v>2.8654132091227212E-2</v>
      </c>
      <c r="O208" s="19">
        <f t="shared" si="51"/>
        <v>7.6499999999999995</v>
      </c>
      <c r="P208" s="8">
        <v>7.6499999999999999E-2</v>
      </c>
      <c r="Q208" s="19">
        <f t="shared" si="52"/>
        <v>23.208368333333301</v>
      </c>
      <c r="R208" s="12">
        <v>23208.368333333299</v>
      </c>
      <c r="S208" s="4">
        <f t="shared" si="53"/>
        <v>3.8286413964890951</v>
      </c>
      <c r="T208" s="13">
        <v>1975</v>
      </c>
      <c r="U208" s="14">
        <v>118.69</v>
      </c>
      <c r="V208" s="14">
        <v>168.78</v>
      </c>
      <c r="W208" s="4">
        <f t="shared" si="54"/>
        <v>16.320661437867813</v>
      </c>
      <c r="X208" s="18">
        <f t="shared" si="55"/>
        <v>15.191018987217989</v>
      </c>
      <c r="Y208" s="18">
        <f t="shared" si="56"/>
        <v>10.544943658437248</v>
      </c>
      <c r="Z208" s="18">
        <f t="shared" si="57"/>
        <v>0.44059745402843492</v>
      </c>
      <c r="AA208" s="12">
        <f t="shared" si="58"/>
        <v>1.767103667573904</v>
      </c>
      <c r="AB208">
        <f t="shared" si="59"/>
        <v>7.2725127689862479</v>
      </c>
      <c r="AC208" s="18">
        <f t="shared" si="48"/>
        <v>0.43756803567681873</v>
      </c>
      <c r="AD208" s="18">
        <f t="shared" si="60"/>
        <v>4.2908598538236253</v>
      </c>
      <c r="AE208" s="12">
        <v>3818.7649999999999</v>
      </c>
      <c r="AF208" s="12">
        <v>4036.96</v>
      </c>
      <c r="AG208" s="8">
        <f t="shared" si="61"/>
        <v>-5.4049334152431572E-2</v>
      </c>
      <c r="AH208">
        <f t="shared" si="62"/>
        <v>9.2503695148324727</v>
      </c>
      <c r="AI208">
        <f t="shared" si="63"/>
        <v>15.350001930039442</v>
      </c>
    </row>
    <row r="209" spans="1:35" x14ac:dyDescent="0.3">
      <c r="A209" t="s">
        <v>48</v>
      </c>
      <c r="B209" s="11">
        <v>2020</v>
      </c>
      <c r="C209" s="12">
        <v>42.057000000000002</v>
      </c>
      <c r="D209" s="12">
        <v>1087.29</v>
      </c>
      <c r="E209" s="12">
        <v>265.74299999999999</v>
      </c>
      <c r="F209" s="12">
        <v>206.17099999999999</v>
      </c>
      <c r="G209" s="12">
        <v>1353.0329999999999</v>
      </c>
      <c r="H209" s="12">
        <v>408.70600000000002</v>
      </c>
      <c r="I209" s="12">
        <v>944.327</v>
      </c>
      <c r="J209" s="12">
        <v>153.16999999999999</v>
      </c>
      <c r="K209" s="4">
        <f t="shared" si="49"/>
        <v>3.2209343665251402</v>
      </c>
      <c r="L209" s="5">
        <v>3.2209343665251404E-2</v>
      </c>
      <c r="M209" s="19">
        <f t="shared" si="50"/>
        <v>2.8654132091227211</v>
      </c>
      <c r="N209" s="5">
        <v>2.8654132091227212E-2</v>
      </c>
      <c r="O209" s="19">
        <f t="shared" si="51"/>
        <v>7.6499999999999995</v>
      </c>
      <c r="P209" s="8">
        <v>7.6499999999999999E-2</v>
      </c>
      <c r="Q209" s="19">
        <f t="shared" si="52"/>
        <v>23.208368333333301</v>
      </c>
      <c r="R209" s="12">
        <v>23208.368333333299</v>
      </c>
      <c r="S209" s="4">
        <f t="shared" si="53"/>
        <v>3.3322045101752038</v>
      </c>
      <c r="T209" s="13">
        <v>1993</v>
      </c>
      <c r="U209" s="14">
        <v>118.69</v>
      </c>
      <c r="V209" s="14">
        <v>168.78</v>
      </c>
      <c r="W209" s="4">
        <f t="shared" si="54"/>
        <v>16.320661437867813</v>
      </c>
      <c r="X209" s="18">
        <f t="shared" si="55"/>
        <v>4.4536479418675947</v>
      </c>
      <c r="Y209" s="18">
        <f t="shared" si="56"/>
        <v>3.1083499072084719</v>
      </c>
      <c r="Z209" s="18">
        <f t="shared" si="57"/>
        <v>0.43280134953252425</v>
      </c>
      <c r="AA209" s="12">
        <f t="shared" si="58"/>
        <v>7.0985832734869758</v>
      </c>
      <c r="AB209">
        <f t="shared" si="59"/>
        <v>6.6866781123755237</v>
      </c>
      <c r="AC209" s="18">
        <f t="shared" si="48"/>
        <v>0.15237691911431578</v>
      </c>
      <c r="AD209" s="18">
        <f t="shared" si="60"/>
        <v>4.2908598538236253</v>
      </c>
      <c r="AE209" s="12">
        <v>855.77499999999998</v>
      </c>
      <c r="AF209" s="12">
        <v>1007.852</v>
      </c>
      <c r="AG209" s="8">
        <f t="shared" si="61"/>
        <v>-0.15089219448887337</v>
      </c>
      <c r="AH209">
        <f t="shared" si="62"/>
        <v>4.6752378493437643</v>
      </c>
      <c r="AI209">
        <f t="shared" si="63"/>
        <v>7.6596542671076406</v>
      </c>
    </row>
    <row r="210" spans="1:35" x14ac:dyDescent="0.3">
      <c r="A210" t="s">
        <v>49</v>
      </c>
      <c r="B210" s="11">
        <v>2020</v>
      </c>
      <c r="C210" s="12">
        <v>225.96299999999999</v>
      </c>
      <c r="D210" s="12">
        <v>1221.0060000000001</v>
      </c>
      <c r="E210" s="12">
        <v>490.15499999999997</v>
      </c>
      <c r="F210" s="12">
        <v>307.81799999999998</v>
      </c>
      <c r="G210" s="12">
        <v>1711.162</v>
      </c>
      <c r="H210" s="12">
        <v>630.01400000000001</v>
      </c>
      <c r="I210" s="12">
        <v>1081.1469999999999</v>
      </c>
      <c r="J210" s="12">
        <v>619.65</v>
      </c>
      <c r="K210" s="4">
        <f t="shared" si="49"/>
        <v>3.2209343665251402</v>
      </c>
      <c r="L210" s="5">
        <v>3.2209343665251404E-2</v>
      </c>
      <c r="M210" s="19">
        <f t="shared" si="50"/>
        <v>2.8654132091227211</v>
      </c>
      <c r="N210" s="5">
        <v>2.8654132091227212E-2</v>
      </c>
      <c r="O210" s="19">
        <f t="shared" si="51"/>
        <v>7.6499999999999995</v>
      </c>
      <c r="P210" s="8">
        <v>7.6499999999999999E-2</v>
      </c>
      <c r="Q210" s="19">
        <f t="shared" si="52"/>
        <v>23.208368333333301</v>
      </c>
      <c r="R210" s="12">
        <v>23208.368333333299</v>
      </c>
      <c r="S210" s="4">
        <f t="shared" si="53"/>
        <v>3.2188758248682006</v>
      </c>
      <c r="T210" s="13">
        <v>1996</v>
      </c>
      <c r="U210" s="14">
        <v>118.69</v>
      </c>
      <c r="V210" s="14">
        <v>168.78</v>
      </c>
      <c r="W210" s="4">
        <f t="shared" si="54"/>
        <v>16.320661437867813</v>
      </c>
      <c r="X210" s="18">
        <f t="shared" si="55"/>
        <v>20.900303104018235</v>
      </c>
      <c r="Y210" s="18">
        <f t="shared" si="56"/>
        <v>13.205237142947308</v>
      </c>
      <c r="Z210" s="18">
        <f t="shared" si="57"/>
        <v>0.58272741819567553</v>
      </c>
      <c r="AA210" s="12">
        <f t="shared" si="58"/>
        <v>1.9704768821108694</v>
      </c>
      <c r="AB210">
        <f t="shared" si="59"/>
        <v>6.9215020451412794</v>
      </c>
      <c r="AC210" s="18">
        <f t="shared" si="48"/>
        <v>0.1798882864392734</v>
      </c>
      <c r="AD210" s="18">
        <f t="shared" si="60"/>
        <v>4.2908598538236253</v>
      </c>
      <c r="AE210" s="12">
        <v>4433.2340000000004</v>
      </c>
      <c r="AF210" s="12">
        <v>3730.0909999999999</v>
      </c>
      <c r="AG210" s="8">
        <f t="shared" si="61"/>
        <v>0.18850558873764756</v>
      </c>
      <c r="AH210">
        <f t="shared" si="62"/>
        <v>15.108502609414936</v>
      </c>
      <c r="AI210">
        <f t="shared" si="63"/>
        <v>24.476595672154062</v>
      </c>
    </row>
    <row r="211" spans="1:35" x14ac:dyDescent="0.3">
      <c r="A211" t="s">
        <v>50</v>
      </c>
      <c r="B211" s="11">
        <v>2020</v>
      </c>
      <c r="C211" s="12">
        <v>79.977000000000004</v>
      </c>
      <c r="D211" s="12">
        <v>296.18099999999998</v>
      </c>
      <c r="E211" s="12">
        <v>102.681</v>
      </c>
      <c r="F211" s="12">
        <v>98.167000000000002</v>
      </c>
      <c r="G211" s="12">
        <v>398.86200000000002</v>
      </c>
      <c r="H211" s="12">
        <v>128.327</v>
      </c>
      <c r="I211" s="12">
        <v>270.53399999999999</v>
      </c>
      <c r="J211" s="12">
        <v>123.93</v>
      </c>
      <c r="K211" s="4">
        <f t="shared" si="49"/>
        <v>3.2209343665251402</v>
      </c>
      <c r="L211" s="5">
        <v>3.2209343665251404E-2</v>
      </c>
      <c r="M211" s="19">
        <f t="shared" si="50"/>
        <v>2.8654132091227211</v>
      </c>
      <c r="N211" s="5">
        <v>2.8654132091227212E-2</v>
      </c>
      <c r="O211" s="19">
        <f t="shared" si="51"/>
        <v>7.6499999999999995</v>
      </c>
      <c r="P211" s="8">
        <v>7.6499999999999999E-2</v>
      </c>
      <c r="Q211" s="19">
        <f t="shared" si="52"/>
        <v>23.208368333333301</v>
      </c>
      <c r="R211" s="12">
        <v>23208.368333333299</v>
      </c>
      <c r="S211" s="4">
        <f t="shared" si="53"/>
        <v>3.4011973816621555</v>
      </c>
      <c r="T211" s="13">
        <v>1991</v>
      </c>
      <c r="U211" s="14">
        <v>118.69</v>
      </c>
      <c r="V211" s="14">
        <v>168.78</v>
      </c>
      <c r="W211" s="4">
        <f t="shared" si="54"/>
        <v>16.320661437867813</v>
      </c>
      <c r="X211" s="18">
        <f t="shared" si="55"/>
        <v>29.562642773181931</v>
      </c>
      <c r="Y211" s="18">
        <f t="shared" si="56"/>
        <v>20.051295936940598</v>
      </c>
      <c r="Z211" s="18">
        <f t="shared" si="57"/>
        <v>0.47434703216601243</v>
      </c>
      <c r="AA211" s="12">
        <f t="shared" si="58"/>
        <v>2.3899055918663761</v>
      </c>
      <c r="AB211">
        <f t="shared" si="59"/>
        <v>5.4651895866615039</v>
      </c>
      <c r="AC211" s="18">
        <f t="shared" si="48"/>
        <v>0.24611770487035614</v>
      </c>
      <c r="AD211" s="18">
        <f t="shared" si="60"/>
        <v>4.2908598538236253</v>
      </c>
      <c r="AE211" s="12">
        <v>402.97500000000002</v>
      </c>
      <c r="AF211" s="12">
        <v>345.63400000000001</v>
      </c>
      <c r="AG211" s="8">
        <f t="shared" si="61"/>
        <v>0.16590092409890234</v>
      </c>
      <c r="AH211">
        <f t="shared" si="62"/>
        <v>19.159739790386702</v>
      </c>
      <c r="AI211">
        <f t="shared" si="63"/>
        <v>26.667025958861046</v>
      </c>
    </row>
    <row r="212" spans="1:35" x14ac:dyDescent="0.3">
      <c r="A212" t="s">
        <v>51</v>
      </c>
      <c r="B212" s="11">
        <v>2020</v>
      </c>
      <c r="C212" s="12">
        <v>309.27699999999999</v>
      </c>
      <c r="D212" s="12">
        <v>2160.5329999999999</v>
      </c>
      <c r="E212" s="12">
        <v>548.029</v>
      </c>
      <c r="F212" s="12">
        <v>185.46199999999999</v>
      </c>
      <c r="G212" s="12">
        <v>2708.5619999999999</v>
      </c>
      <c r="H212" s="12">
        <v>1418.5740000000001</v>
      </c>
      <c r="I212" s="12">
        <v>1289.9880000000001</v>
      </c>
      <c r="J212" s="12">
        <v>1415.97</v>
      </c>
      <c r="K212" s="4">
        <f t="shared" si="49"/>
        <v>3.2209343665251402</v>
      </c>
      <c r="L212" s="5">
        <v>3.2209343665251404E-2</v>
      </c>
      <c r="M212" s="19">
        <f t="shared" si="50"/>
        <v>2.8654132091227211</v>
      </c>
      <c r="N212" s="5">
        <v>2.8654132091227212E-2</v>
      </c>
      <c r="O212" s="19">
        <f t="shared" si="51"/>
        <v>7.6499999999999995</v>
      </c>
      <c r="P212" s="8">
        <v>7.6499999999999999E-2</v>
      </c>
      <c r="Q212" s="19">
        <f t="shared" si="52"/>
        <v>23.208368333333301</v>
      </c>
      <c r="R212" s="12">
        <v>23208.368333333299</v>
      </c>
      <c r="S212" s="4">
        <f t="shared" si="53"/>
        <v>3.6635616461296463</v>
      </c>
      <c r="T212" s="13">
        <v>1982</v>
      </c>
      <c r="U212" s="14">
        <v>118.69</v>
      </c>
      <c r="V212" s="14">
        <v>168.78</v>
      </c>
      <c r="W212" s="4">
        <f t="shared" si="54"/>
        <v>16.320661437867813</v>
      </c>
      <c r="X212" s="18">
        <f t="shared" si="55"/>
        <v>23.975184265279985</v>
      </c>
      <c r="Y212" s="18">
        <f t="shared" si="56"/>
        <v>11.418494389273718</v>
      </c>
      <c r="Z212" s="18">
        <f t="shared" si="57"/>
        <v>1.0996799970232281</v>
      </c>
      <c r="AA212" s="12">
        <f t="shared" si="58"/>
        <v>1.5258324682020099</v>
      </c>
      <c r="AB212">
        <f t="shared" si="59"/>
        <v>7.3807472399932532</v>
      </c>
      <c r="AC212" s="18">
        <f t="shared" si="48"/>
        <v>6.847249573759065E-2</v>
      </c>
      <c r="AD212" s="18">
        <f t="shared" si="60"/>
        <v>4.2908598538236253</v>
      </c>
      <c r="AE212" s="12">
        <v>3456.7449999999999</v>
      </c>
      <c r="AF212" s="12">
        <v>2538.355</v>
      </c>
      <c r="AG212" s="8">
        <f t="shared" si="61"/>
        <v>0.36180518485397034</v>
      </c>
      <c r="AH212">
        <f t="shared" si="62"/>
        <v>8.4552179173630684</v>
      </c>
      <c r="AI212">
        <f t="shared" si="63"/>
        <v>19.189814399713079</v>
      </c>
    </row>
    <row r="213" spans="1:35" x14ac:dyDescent="0.3">
      <c r="A213" t="s">
        <v>52</v>
      </c>
      <c r="B213" s="11">
        <v>2020</v>
      </c>
      <c r="C213" s="12">
        <v>46.414000000000001</v>
      </c>
      <c r="D213" s="12">
        <v>1011.79</v>
      </c>
      <c r="E213" s="12">
        <v>211.001</v>
      </c>
      <c r="F213" s="12">
        <v>160.91200000000001</v>
      </c>
      <c r="G213" s="12">
        <v>1222.79</v>
      </c>
      <c r="H213" s="12">
        <v>564.36199999999997</v>
      </c>
      <c r="I213" s="12">
        <v>658.428</v>
      </c>
      <c r="J213" s="12">
        <v>547.99</v>
      </c>
      <c r="K213" s="4">
        <f t="shared" si="49"/>
        <v>3.2209343665251402</v>
      </c>
      <c r="L213" s="5">
        <v>3.2209343665251404E-2</v>
      </c>
      <c r="M213" s="19">
        <f t="shared" si="50"/>
        <v>2.8654132091227211</v>
      </c>
      <c r="N213" s="5">
        <v>2.8654132091227212E-2</v>
      </c>
      <c r="O213" s="19">
        <f t="shared" si="51"/>
        <v>7.6499999999999995</v>
      </c>
      <c r="P213" s="8">
        <v>7.6499999999999999E-2</v>
      </c>
      <c r="Q213" s="19">
        <f t="shared" si="52"/>
        <v>23.208368333333301</v>
      </c>
      <c r="R213" s="12">
        <v>23208.368333333299</v>
      </c>
      <c r="S213" s="4">
        <f t="shared" si="53"/>
        <v>3.8066624897703196</v>
      </c>
      <c r="T213" s="13">
        <v>1976</v>
      </c>
      <c r="U213" s="14">
        <v>118.69</v>
      </c>
      <c r="V213" s="14">
        <v>168.78</v>
      </c>
      <c r="W213" s="4">
        <f t="shared" si="54"/>
        <v>16.320661437867813</v>
      </c>
      <c r="X213" s="18">
        <f t="shared" si="55"/>
        <v>7.0492141889470075</v>
      </c>
      <c r="Y213" s="18">
        <f t="shared" si="56"/>
        <v>3.7957457944536679</v>
      </c>
      <c r="Z213" s="18">
        <f t="shared" si="57"/>
        <v>0.85713548026511621</v>
      </c>
      <c r="AA213" s="12">
        <f t="shared" si="58"/>
        <v>1.8463658095950655</v>
      </c>
      <c r="AB213">
        <f t="shared" si="59"/>
        <v>6.58546450628927</v>
      </c>
      <c r="AC213" s="18">
        <f t="shared" si="48"/>
        <v>0.13159414126710228</v>
      </c>
      <c r="AD213" s="18">
        <f t="shared" si="60"/>
        <v>4.2908598538236253</v>
      </c>
      <c r="AE213" s="12">
        <v>1474.9829999999999</v>
      </c>
      <c r="AF213" s="12">
        <v>1749.298</v>
      </c>
      <c r="AG213" s="8">
        <f t="shared" si="61"/>
        <v>-0.15681433352121826</v>
      </c>
      <c r="AH213">
        <f t="shared" si="62"/>
        <v>10.150652874474726</v>
      </c>
      <c r="AI213">
        <f t="shared" si="63"/>
        <v>21.606040233748772</v>
      </c>
    </row>
    <row r="214" spans="1:35" x14ac:dyDescent="0.3">
      <c r="A214" t="s">
        <v>53</v>
      </c>
      <c r="B214" s="11">
        <v>2020</v>
      </c>
      <c r="C214" s="12">
        <v>-2383.34</v>
      </c>
      <c r="D214" s="12">
        <v>8930.375</v>
      </c>
      <c r="E214" s="12">
        <v>28335.444</v>
      </c>
      <c r="F214" s="12">
        <v>12626.27</v>
      </c>
      <c r="G214" s="12">
        <v>37265.82</v>
      </c>
      <c r="H214" s="12">
        <v>27238.024000000001</v>
      </c>
      <c r="I214" s="12">
        <v>10027.795</v>
      </c>
      <c r="J214" s="12">
        <v>15428.98</v>
      </c>
      <c r="K214" s="4">
        <f t="shared" si="49"/>
        <v>3.2209343665251402</v>
      </c>
      <c r="L214" s="5">
        <v>3.2209343665251404E-2</v>
      </c>
      <c r="M214" s="19">
        <f t="shared" si="50"/>
        <v>2.8654132091227211</v>
      </c>
      <c r="N214" s="5">
        <v>2.8654132091227212E-2</v>
      </c>
      <c r="O214" s="19">
        <f t="shared" si="51"/>
        <v>7.6499999999999995</v>
      </c>
      <c r="P214" s="8">
        <v>7.6499999999999999E-2</v>
      </c>
      <c r="Q214" s="19">
        <f t="shared" si="52"/>
        <v>23.208368333333301</v>
      </c>
      <c r="R214" s="12">
        <v>23208.368333333299</v>
      </c>
      <c r="S214" s="4">
        <f t="shared" si="53"/>
        <v>3.3322045101752038</v>
      </c>
      <c r="T214" s="13">
        <v>1993</v>
      </c>
      <c r="U214" s="14">
        <v>118.69</v>
      </c>
      <c r="V214" s="14">
        <v>168.78</v>
      </c>
      <c r="W214" s="4">
        <f t="shared" si="54"/>
        <v>16.320661437867813</v>
      </c>
      <c r="X214" s="18">
        <f t="shared" si="55"/>
        <v>-23.767338682133012</v>
      </c>
      <c r="Y214" s="18">
        <f t="shared" si="56"/>
        <v>-6.395512026838535</v>
      </c>
      <c r="Z214" s="18">
        <f t="shared" si="57"/>
        <v>2.7162525759651053</v>
      </c>
      <c r="AA214" s="12">
        <f t="shared" si="58"/>
        <v>0.57880527423070094</v>
      </c>
      <c r="AB214">
        <f t="shared" si="59"/>
        <v>10.002405925893889</v>
      </c>
      <c r="AC214" s="18">
        <f t="shared" si="48"/>
        <v>0.33881637382459318</v>
      </c>
      <c r="AD214" s="18">
        <f t="shared" si="60"/>
        <v>4.2908598538236253</v>
      </c>
      <c r="AE214" s="12">
        <v>3189.9650000000001</v>
      </c>
      <c r="AF214" s="12">
        <v>2091.8330000000001</v>
      </c>
      <c r="AG214" s="8">
        <f t="shared" si="61"/>
        <v>0.52496160066315045</v>
      </c>
      <c r="AH214">
        <f t="shared" si="62"/>
        <v>-4.6820801363370679</v>
      </c>
      <c r="AI214">
        <f t="shared" si="63"/>
        <v>-10.761051172944846</v>
      </c>
    </row>
    <row r="215" spans="1:35" x14ac:dyDescent="0.3">
      <c r="A215" t="s">
        <v>54</v>
      </c>
      <c r="B215" s="11">
        <v>2020</v>
      </c>
      <c r="C215" s="12">
        <v>125.352</v>
      </c>
      <c r="D215" s="12">
        <v>919.05600000000004</v>
      </c>
      <c r="E215" s="12">
        <v>313.31400000000002</v>
      </c>
      <c r="F215" s="12">
        <v>248.54599999999999</v>
      </c>
      <c r="G215" s="12">
        <v>1232.3699999999999</v>
      </c>
      <c r="H215" s="12">
        <v>697.06899999999996</v>
      </c>
      <c r="I215" s="12">
        <v>535.30100000000004</v>
      </c>
      <c r="J215" s="12">
        <v>693.39</v>
      </c>
      <c r="K215" s="4">
        <f t="shared" si="49"/>
        <v>3.2209343665251402</v>
      </c>
      <c r="L215" s="5">
        <v>3.2209343665251404E-2</v>
      </c>
      <c r="M215" s="19">
        <f t="shared" si="50"/>
        <v>2.8654132091227211</v>
      </c>
      <c r="N215" s="5">
        <v>2.8654132091227212E-2</v>
      </c>
      <c r="O215" s="19">
        <f t="shared" si="51"/>
        <v>7.6499999999999995</v>
      </c>
      <c r="P215" s="8">
        <v>7.6499999999999999E-2</v>
      </c>
      <c r="Q215" s="19">
        <f t="shared" si="52"/>
        <v>23.208368333333301</v>
      </c>
      <c r="R215" s="12">
        <v>23208.368333333299</v>
      </c>
      <c r="S215" s="4">
        <f t="shared" si="53"/>
        <v>3.3672958299864741</v>
      </c>
      <c r="T215" s="13">
        <v>1992</v>
      </c>
      <c r="U215" s="14">
        <v>118.69</v>
      </c>
      <c r="V215" s="14">
        <v>168.78</v>
      </c>
      <c r="W215" s="4">
        <f t="shared" si="54"/>
        <v>16.320661437867813</v>
      </c>
      <c r="X215" s="18">
        <f t="shared" si="55"/>
        <v>23.417105516335667</v>
      </c>
      <c r="Y215" s="18">
        <f t="shared" si="56"/>
        <v>10.171620536040313</v>
      </c>
      <c r="Z215" s="18">
        <f t="shared" si="57"/>
        <v>1.3022000706144765</v>
      </c>
      <c r="AA215" s="12">
        <f t="shared" si="58"/>
        <v>1.3254532081512569</v>
      </c>
      <c r="AB215">
        <f t="shared" si="59"/>
        <v>6.5932685179386326</v>
      </c>
      <c r="AC215" s="18">
        <f t="shared" si="48"/>
        <v>0.20168131324196467</v>
      </c>
      <c r="AD215" s="18">
        <f t="shared" si="60"/>
        <v>4.2908598538236253</v>
      </c>
      <c r="AE215" s="12">
        <v>5569.5519999999997</v>
      </c>
      <c r="AF215" s="12">
        <v>5152.924</v>
      </c>
      <c r="AG215" s="8">
        <f t="shared" si="61"/>
        <v>8.0852735262542136E-2</v>
      </c>
      <c r="AH215">
        <f t="shared" si="62"/>
        <v>3.1044583357074282</v>
      </c>
      <c r="AI215">
        <f t="shared" si="63"/>
        <v>10.88374151033366</v>
      </c>
    </row>
    <row r="216" spans="1:35" x14ac:dyDescent="0.3">
      <c r="A216" t="s">
        <v>55</v>
      </c>
      <c r="B216" s="11">
        <v>2020</v>
      </c>
      <c r="C216" s="12">
        <v>286.38799999999998</v>
      </c>
      <c r="D216" s="12">
        <v>653.53099999999995</v>
      </c>
      <c r="E216" s="12">
        <v>3293.1320000000001</v>
      </c>
      <c r="F216" s="12">
        <v>26.216999999999999</v>
      </c>
      <c r="G216" s="12">
        <v>3946.663</v>
      </c>
      <c r="H216" s="12">
        <v>204.559</v>
      </c>
      <c r="I216" s="12">
        <v>3742.1030000000001</v>
      </c>
      <c r="J216" s="12">
        <v>149.88</v>
      </c>
      <c r="K216" s="4">
        <f t="shared" si="49"/>
        <v>3.2209343665251402</v>
      </c>
      <c r="L216" s="5">
        <v>3.2209343665251404E-2</v>
      </c>
      <c r="M216" s="19">
        <f t="shared" si="50"/>
        <v>2.8654132091227211</v>
      </c>
      <c r="N216" s="5">
        <v>2.8654132091227212E-2</v>
      </c>
      <c r="O216" s="19">
        <f t="shared" si="51"/>
        <v>7.6499999999999995</v>
      </c>
      <c r="P216" s="8">
        <v>7.6499999999999999E-2</v>
      </c>
      <c r="Q216" s="19">
        <f t="shared" si="52"/>
        <v>23.208368333333301</v>
      </c>
      <c r="R216" s="12">
        <v>23208.368333333299</v>
      </c>
      <c r="S216" s="4">
        <f t="shared" si="53"/>
        <v>2.5649493574615367</v>
      </c>
      <c r="T216" s="13">
        <v>2008</v>
      </c>
      <c r="U216" s="14">
        <v>118.69</v>
      </c>
      <c r="V216" s="14">
        <v>168.78</v>
      </c>
      <c r="W216" s="4">
        <f t="shared" si="54"/>
        <v>16.320661437867813</v>
      </c>
      <c r="X216" s="18">
        <f t="shared" si="55"/>
        <v>7.6531298042838465</v>
      </c>
      <c r="Y216" s="18">
        <f t="shared" si="56"/>
        <v>7.2564594443457668</v>
      </c>
      <c r="Z216" s="18">
        <f t="shared" si="57"/>
        <v>5.466418214570791E-2</v>
      </c>
      <c r="AA216" s="12">
        <f t="shared" si="58"/>
        <v>4.3603616226314381</v>
      </c>
      <c r="AB216">
        <f t="shared" si="59"/>
        <v>7.7571997849736727</v>
      </c>
      <c r="AC216" s="18">
        <f t="shared" si="48"/>
        <v>6.6428271174914094E-3</v>
      </c>
      <c r="AD216" s="18">
        <f t="shared" si="60"/>
        <v>4.2908598538236253</v>
      </c>
      <c r="AE216" s="12">
        <v>607.59100000000001</v>
      </c>
      <c r="AF216" s="12">
        <v>592.39599999999996</v>
      </c>
      <c r="AG216" s="8">
        <f t="shared" si="61"/>
        <v>2.5650071911356678E-2</v>
      </c>
      <c r="AH216">
        <f t="shared" si="62"/>
        <v>5.3824381347643868</v>
      </c>
      <c r="AI216">
        <f t="shared" si="63"/>
        <v>5.6892878454481037</v>
      </c>
    </row>
    <row r="217" spans="1:35" x14ac:dyDescent="0.3">
      <c r="A217" t="s">
        <v>56</v>
      </c>
      <c r="B217" s="11">
        <v>2020</v>
      </c>
      <c r="C217" s="12">
        <v>20.896000000000001</v>
      </c>
      <c r="D217" s="12">
        <v>6229.9319999999998</v>
      </c>
      <c r="E217" s="12">
        <v>18439.935000000001</v>
      </c>
      <c r="F217" s="12">
        <v>9817.4009999999998</v>
      </c>
      <c r="G217" s="12">
        <v>24669.866999999998</v>
      </c>
      <c r="H217" s="12">
        <v>15989.847</v>
      </c>
      <c r="I217" s="12">
        <v>8680.02</v>
      </c>
      <c r="J217" s="12">
        <v>10978.68</v>
      </c>
      <c r="K217" s="4">
        <f t="shared" si="49"/>
        <v>3.2209343665251402</v>
      </c>
      <c r="L217" s="5">
        <v>3.2209343665251404E-2</v>
      </c>
      <c r="M217" s="19">
        <f t="shared" si="50"/>
        <v>2.8654132091227211</v>
      </c>
      <c r="N217" s="5">
        <v>2.8654132091227212E-2</v>
      </c>
      <c r="O217" s="19">
        <f t="shared" si="51"/>
        <v>7.6499999999999995</v>
      </c>
      <c r="P217" s="8">
        <v>7.6499999999999999E-2</v>
      </c>
      <c r="Q217" s="19">
        <f t="shared" si="52"/>
        <v>23.208368333333301</v>
      </c>
      <c r="R217" s="12">
        <v>23208.368333333299</v>
      </c>
      <c r="S217" s="4">
        <f t="shared" si="53"/>
        <v>2.3978952727983707</v>
      </c>
      <c r="T217" s="13">
        <v>2010</v>
      </c>
      <c r="U217" s="14">
        <v>118.69</v>
      </c>
      <c r="V217" s="14">
        <v>168.78</v>
      </c>
      <c r="W217" s="4">
        <f t="shared" si="54"/>
        <v>16.320661437867813</v>
      </c>
      <c r="X217" s="18">
        <f t="shared" si="55"/>
        <v>0.24073677249591591</v>
      </c>
      <c r="Y217" s="18">
        <f t="shared" si="56"/>
        <v>8.4702523933347512E-2</v>
      </c>
      <c r="Z217" s="18">
        <f t="shared" si="57"/>
        <v>1.8421440273179093</v>
      </c>
      <c r="AA217" s="12">
        <f t="shared" si="58"/>
        <v>0.56745728994742539</v>
      </c>
      <c r="AB217">
        <f t="shared" si="59"/>
        <v>9.5899119126037853</v>
      </c>
      <c r="AC217" s="18">
        <f t="shared" si="48"/>
        <v>0.39795111177534925</v>
      </c>
      <c r="AD217" s="18">
        <f t="shared" si="60"/>
        <v>4.2908598538236253</v>
      </c>
      <c r="AE217" s="12">
        <v>2374.9119999999998</v>
      </c>
      <c r="AF217" s="12">
        <v>1810.7750000000001</v>
      </c>
      <c r="AG217" s="8">
        <f t="shared" si="61"/>
        <v>0.31154450442490078</v>
      </c>
      <c r="AH217">
        <f t="shared" si="62"/>
        <v>-10.499783745951383</v>
      </c>
      <c r="AI217">
        <f t="shared" si="63"/>
        <v>-25.101795007636614</v>
      </c>
    </row>
    <row r="218" spans="1:35" x14ac:dyDescent="0.3">
      <c r="A218" t="s">
        <v>57</v>
      </c>
      <c r="B218" s="11">
        <v>2020</v>
      </c>
      <c r="C218" s="12">
        <v>12.005000000000001</v>
      </c>
      <c r="D218" s="12">
        <v>127.342</v>
      </c>
      <c r="E218" s="12">
        <v>132.40799999999999</v>
      </c>
      <c r="F218" s="12">
        <v>10.105</v>
      </c>
      <c r="G218" s="12">
        <v>259.75</v>
      </c>
      <c r="H218" s="12">
        <v>13.781000000000001</v>
      </c>
      <c r="I218" s="12">
        <v>245.96899999999999</v>
      </c>
      <c r="J218" s="12">
        <v>13.78</v>
      </c>
      <c r="K218" s="4">
        <f t="shared" si="49"/>
        <v>3.2209343665251402</v>
      </c>
      <c r="L218" s="5">
        <v>3.2209343665251404E-2</v>
      </c>
      <c r="M218" s="19">
        <f t="shared" si="50"/>
        <v>2.8654132091227211</v>
      </c>
      <c r="N218" s="5">
        <v>2.8654132091227212E-2</v>
      </c>
      <c r="O218" s="19">
        <f t="shared" si="51"/>
        <v>7.6499999999999995</v>
      </c>
      <c r="P218" s="8">
        <v>7.6499999999999999E-2</v>
      </c>
      <c r="Q218" s="19">
        <f t="shared" si="52"/>
        <v>23.208368333333301</v>
      </c>
      <c r="R218" s="12">
        <v>23208.368333333299</v>
      </c>
      <c r="S218" s="4">
        <f t="shared" si="53"/>
        <v>1.791759469228055</v>
      </c>
      <c r="T218" s="13">
        <v>2015</v>
      </c>
      <c r="U218" s="14">
        <v>118.69</v>
      </c>
      <c r="V218" s="14">
        <v>168.78</v>
      </c>
      <c r="W218" s="4">
        <f t="shared" si="54"/>
        <v>16.320661437867813</v>
      </c>
      <c r="X218" s="18">
        <f t="shared" si="55"/>
        <v>4.8806963479137622</v>
      </c>
      <c r="Y218" s="18">
        <f t="shared" si="56"/>
        <v>4.6217516843118389</v>
      </c>
      <c r="Z218" s="18">
        <f t="shared" si="57"/>
        <v>5.6027385564847605E-2</v>
      </c>
      <c r="AA218" s="12">
        <f t="shared" si="58"/>
        <v>9.2410740203193029</v>
      </c>
      <c r="AB218">
        <f t="shared" si="59"/>
        <v>5.0362937242376073</v>
      </c>
      <c r="AC218" s="18">
        <f t="shared" si="48"/>
        <v>3.8902791145332051E-2</v>
      </c>
      <c r="AD218" s="18">
        <f t="shared" si="60"/>
        <v>4.2908598538236253</v>
      </c>
      <c r="AE218" s="12">
        <v>242.99299999999999</v>
      </c>
      <c r="AF218" s="12">
        <v>464.52600000000001</v>
      </c>
      <c r="AG218" s="8">
        <f t="shared" si="61"/>
        <v>-0.47690118529425696</v>
      </c>
      <c r="AH218">
        <f t="shared" si="62"/>
        <v>19.145788885502387</v>
      </c>
      <c r="AI218">
        <f t="shared" si="63"/>
        <v>20.061060771222238</v>
      </c>
    </row>
    <row r="219" spans="1:35" x14ac:dyDescent="0.3">
      <c r="A219" t="s">
        <v>58</v>
      </c>
      <c r="B219" s="11">
        <v>2020</v>
      </c>
      <c r="C219" s="12">
        <v>62.238999999999997</v>
      </c>
      <c r="D219" s="12">
        <v>963.18700000000001</v>
      </c>
      <c r="E219" s="12">
        <v>788.05</v>
      </c>
      <c r="F219" s="12">
        <v>737.82600000000002</v>
      </c>
      <c r="G219" s="12">
        <v>1751.2370000000001</v>
      </c>
      <c r="H219" s="12">
        <v>1273.248</v>
      </c>
      <c r="I219" s="12">
        <v>477.99</v>
      </c>
      <c r="J219" s="12">
        <v>946.95</v>
      </c>
      <c r="K219" s="4">
        <f t="shared" si="49"/>
        <v>3.2209343665251402</v>
      </c>
      <c r="L219" s="5">
        <v>3.2209343665251404E-2</v>
      </c>
      <c r="M219" s="19">
        <f t="shared" si="50"/>
        <v>2.8654132091227211</v>
      </c>
      <c r="N219" s="5">
        <v>2.8654132091227212E-2</v>
      </c>
      <c r="O219" s="19">
        <f t="shared" si="51"/>
        <v>7.6499999999999995</v>
      </c>
      <c r="P219" s="8">
        <v>7.6499999999999999E-2</v>
      </c>
      <c r="Q219" s="19">
        <f t="shared" si="52"/>
        <v>23.208368333333301</v>
      </c>
      <c r="R219" s="12">
        <v>23208.368333333299</v>
      </c>
      <c r="S219" s="4">
        <f t="shared" si="53"/>
        <v>4.0775374439057197</v>
      </c>
      <c r="T219" s="13">
        <v>1962</v>
      </c>
      <c r="U219" s="14">
        <v>118.69</v>
      </c>
      <c r="V219" s="14">
        <v>168.78</v>
      </c>
      <c r="W219" s="4">
        <f t="shared" si="54"/>
        <v>16.320661437867813</v>
      </c>
      <c r="X219" s="18">
        <f t="shared" si="55"/>
        <v>13.020983702587918</v>
      </c>
      <c r="Y219" s="18">
        <f t="shared" si="56"/>
        <v>3.5540021139343216</v>
      </c>
      <c r="Z219" s="18">
        <f t="shared" si="57"/>
        <v>2.6637544718508757</v>
      </c>
      <c r="AA219" s="12">
        <f t="shared" si="58"/>
        <v>1.0171466286498758</v>
      </c>
      <c r="AB219">
        <f t="shared" si="59"/>
        <v>6.9446517686128413</v>
      </c>
      <c r="AC219" s="18">
        <f t="shared" si="48"/>
        <v>0.42131704617935778</v>
      </c>
      <c r="AD219" s="18">
        <f t="shared" si="60"/>
        <v>4.2908598538236253</v>
      </c>
      <c r="AE219" s="12">
        <v>3257.2139999999999</v>
      </c>
      <c r="AF219" s="12">
        <v>4254.527</v>
      </c>
      <c r="AG219" s="8">
        <f t="shared" si="61"/>
        <v>-0.23441219200160207</v>
      </c>
      <c r="AH219">
        <f t="shared" si="62"/>
        <v>6.5812656805271201</v>
      </c>
      <c r="AI219">
        <f t="shared" si="63"/>
        <v>24.229011755909113</v>
      </c>
    </row>
    <row r="220" spans="1:35" x14ac:dyDescent="0.3">
      <c r="A220" t="s">
        <v>59</v>
      </c>
      <c r="B220" s="11">
        <v>2020</v>
      </c>
      <c r="C220" s="12">
        <v>23.123999999999999</v>
      </c>
      <c r="D220" s="12">
        <v>283.39600000000002</v>
      </c>
      <c r="E220" s="12">
        <v>76.757000000000005</v>
      </c>
      <c r="F220" s="12">
        <v>43.686999999999998</v>
      </c>
      <c r="G220" s="12">
        <v>360.154</v>
      </c>
      <c r="H220" s="12">
        <v>173.82499999999999</v>
      </c>
      <c r="I220" s="12">
        <v>186.32900000000001</v>
      </c>
      <c r="J220" s="12">
        <v>172.24</v>
      </c>
      <c r="K220" s="4">
        <f t="shared" si="49"/>
        <v>3.2209343665251402</v>
      </c>
      <c r="L220" s="5">
        <v>3.2209343665251404E-2</v>
      </c>
      <c r="M220" s="19">
        <f t="shared" si="50"/>
        <v>2.8654132091227211</v>
      </c>
      <c r="N220" s="5">
        <v>2.8654132091227212E-2</v>
      </c>
      <c r="O220" s="19">
        <f t="shared" si="51"/>
        <v>7.6499999999999995</v>
      </c>
      <c r="P220" s="8">
        <v>7.6499999999999999E-2</v>
      </c>
      <c r="Q220" s="19">
        <f t="shared" si="52"/>
        <v>23.208368333333301</v>
      </c>
      <c r="R220" s="12">
        <v>23208.368333333299</v>
      </c>
      <c r="S220" s="4">
        <f t="shared" si="53"/>
        <v>3.1354942159291497</v>
      </c>
      <c r="T220" s="13">
        <v>1998</v>
      </c>
      <c r="U220" s="14">
        <v>118.69</v>
      </c>
      <c r="V220" s="14">
        <v>168.78</v>
      </c>
      <c r="W220" s="4">
        <f t="shared" si="54"/>
        <v>16.320661437867813</v>
      </c>
      <c r="X220" s="18">
        <f t="shared" si="55"/>
        <v>12.410306500866746</v>
      </c>
      <c r="Y220" s="18">
        <f t="shared" si="56"/>
        <v>6.4205867490018154</v>
      </c>
      <c r="Z220" s="18">
        <f t="shared" si="57"/>
        <v>0.93289289375244855</v>
      </c>
      <c r="AA220" s="12">
        <f t="shared" si="58"/>
        <v>1.6453553181607059</v>
      </c>
      <c r="AB220">
        <f t="shared" si="59"/>
        <v>5.3631058120153758</v>
      </c>
      <c r="AC220" s="18">
        <f t="shared" si="48"/>
        <v>0.12130088795348656</v>
      </c>
      <c r="AD220" s="18">
        <f t="shared" si="60"/>
        <v>4.2908598538236253</v>
      </c>
      <c r="AE220" s="12">
        <v>781.423</v>
      </c>
      <c r="AF220" s="12">
        <v>823.49</v>
      </c>
      <c r="AG220" s="8">
        <f t="shared" si="61"/>
        <v>-5.1083801867660816E-2</v>
      </c>
      <c r="AH220">
        <f t="shared" si="62"/>
        <v>5.4331362037854136</v>
      </c>
      <c r="AI220">
        <f t="shared" si="63"/>
        <v>10.675189565487434</v>
      </c>
    </row>
    <row r="221" spans="1:35" x14ac:dyDescent="0.3">
      <c r="A221" t="s">
        <v>60</v>
      </c>
      <c r="B221" s="11">
        <v>2020</v>
      </c>
      <c r="C221" s="12">
        <v>107.133</v>
      </c>
      <c r="D221" s="12">
        <v>5426.5020000000004</v>
      </c>
      <c r="E221" s="12">
        <v>2287.134</v>
      </c>
      <c r="F221" s="12">
        <v>1175.1769999999999</v>
      </c>
      <c r="G221" s="12">
        <v>7713.6360000000004</v>
      </c>
      <c r="H221" s="12">
        <v>4714.9520000000002</v>
      </c>
      <c r="I221" s="12">
        <v>2998.6840000000002</v>
      </c>
      <c r="J221" s="12">
        <v>4265.93</v>
      </c>
      <c r="K221" s="4">
        <f t="shared" si="49"/>
        <v>3.2209343665251402</v>
      </c>
      <c r="L221" s="5">
        <v>3.2209343665251404E-2</v>
      </c>
      <c r="M221" s="19">
        <f t="shared" si="50"/>
        <v>2.8654132091227211</v>
      </c>
      <c r="N221" s="5">
        <v>2.8654132091227212E-2</v>
      </c>
      <c r="O221" s="19">
        <f t="shared" si="51"/>
        <v>7.6499999999999995</v>
      </c>
      <c r="P221" s="8">
        <v>7.6499999999999999E-2</v>
      </c>
      <c r="Q221" s="19">
        <f t="shared" si="52"/>
        <v>23.208368333333301</v>
      </c>
      <c r="R221" s="12">
        <v>23208.368333333299</v>
      </c>
      <c r="S221" s="4">
        <f t="shared" si="53"/>
        <v>2.8903717578961645</v>
      </c>
      <c r="T221" s="13">
        <v>2003</v>
      </c>
      <c r="U221" s="14">
        <v>118.69</v>
      </c>
      <c r="V221" s="14">
        <v>168.78</v>
      </c>
      <c r="W221" s="4">
        <f t="shared" si="54"/>
        <v>16.320661437867813</v>
      </c>
      <c r="X221" s="18">
        <f t="shared" si="55"/>
        <v>3.5726672100161267</v>
      </c>
      <c r="Y221" s="18">
        <f t="shared" si="56"/>
        <v>1.3888780855098684</v>
      </c>
      <c r="Z221" s="18">
        <f t="shared" si="57"/>
        <v>1.572340399988795</v>
      </c>
      <c r="AA221" s="12">
        <f t="shared" si="58"/>
        <v>1.2720560346747367</v>
      </c>
      <c r="AB221">
        <f t="shared" si="59"/>
        <v>8.4273190449802566</v>
      </c>
      <c r="AC221" s="18">
        <f t="shared" si="48"/>
        <v>0.15235059056455344</v>
      </c>
      <c r="AD221" s="18">
        <f t="shared" si="60"/>
        <v>4.2908598538236253</v>
      </c>
      <c r="AE221" s="12">
        <v>6373.7820000000002</v>
      </c>
      <c r="AF221" s="12">
        <v>7744.4089999999997</v>
      </c>
      <c r="AG221" s="8">
        <f t="shared" si="61"/>
        <v>-0.17698277557396563</v>
      </c>
      <c r="AH221">
        <f t="shared" si="62"/>
        <v>4.3498103973968076</v>
      </c>
      <c r="AI221">
        <f t="shared" si="63"/>
        <v>11.273343900349555</v>
      </c>
    </row>
    <row r="222" spans="1:35" x14ac:dyDescent="0.3">
      <c r="A222" t="s">
        <v>61</v>
      </c>
      <c r="B222" s="11">
        <v>2020</v>
      </c>
      <c r="C222" s="12">
        <v>330.238</v>
      </c>
      <c r="D222" s="12">
        <v>5477.4970000000003</v>
      </c>
      <c r="E222" s="12">
        <v>6871.6580000000004</v>
      </c>
      <c r="F222" s="12">
        <v>2676.57</v>
      </c>
      <c r="G222" s="12">
        <v>12349.155000000001</v>
      </c>
      <c r="H222" s="12">
        <v>4649.768</v>
      </c>
      <c r="I222" s="12">
        <v>7699.3869999999997</v>
      </c>
      <c r="J222" s="12">
        <v>3805.34</v>
      </c>
      <c r="K222" s="4">
        <f t="shared" si="49"/>
        <v>3.2209343665251402</v>
      </c>
      <c r="L222" s="5">
        <v>3.2209343665251404E-2</v>
      </c>
      <c r="M222" s="19">
        <f t="shared" si="50"/>
        <v>2.8654132091227211</v>
      </c>
      <c r="N222" s="5">
        <v>2.8654132091227212E-2</v>
      </c>
      <c r="O222" s="19">
        <f t="shared" si="51"/>
        <v>7.6499999999999995</v>
      </c>
      <c r="P222" s="8">
        <v>7.6499999999999999E-2</v>
      </c>
      <c r="Q222" s="19">
        <f t="shared" si="52"/>
        <v>23.208368333333301</v>
      </c>
      <c r="R222" s="12">
        <v>23208.368333333299</v>
      </c>
      <c r="S222" s="4">
        <f t="shared" si="53"/>
        <v>3.3322045101752038</v>
      </c>
      <c r="T222" s="13">
        <v>1993</v>
      </c>
      <c r="U222" s="14">
        <v>118.69</v>
      </c>
      <c r="V222" s="14">
        <v>168.78</v>
      </c>
      <c r="W222" s="4">
        <f t="shared" si="54"/>
        <v>16.320661437867813</v>
      </c>
      <c r="X222" s="18">
        <f t="shared" si="55"/>
        <v>4.289146655441531</v>
      </c>
      <c r="Y222" s="18">
        <f t="shared" si="56"/>
        <v>2.6741748726937189</v>
      </c>
      <c r="Z222" s="18">
        <f t="shared" si="57"/>
        <v>0.60391405185893376</v>
      </c>
      <c r="AA222" s="12">
        <f t="shared" si="58"/>
        <v>1.439423809699002</v>
      </c>
      <c r="AB222">
        <f t="shared" si="59"/>
        <v>8.8979170129209351</v>
      </c>
      <c r="AC222" s="18">
        <f t="shared" si="48"/>
        <v>0.21674114544679374</v>
      </c>
      <c r="AD222" s="18">
        <f t="shared" si="60"/>
        <v>4.2908598538236253</v>
      </c>
      <c r="AE222" s="12">
        <v>8465.7649999999994</v>
      </c>
      <c r="AF222" s="12">
        <v>7330.2039999999997</v>
      </c>
      <c r="AG222" s="8">
        <f t="shared" si="61"/>
        <v>0.15491533387065348</v>
      </c>
      <c r="AH222">
        <f t="shared" si="62"/>
        <v>1.7369705419490897</v>
      </c>
      <c r="AI222">
        <f t="shared" si="63"/>
        <v>2.5412805745021978</v>
      </c>
    </row>
    <row r="223" spans="1:35" x14ac:dyDescent="0.3">
      <c r="A223" t="s">
        <v>62</v>
      </c>
      <c r="B223" s="11">
        <v>2020</v>
      </c>
      <c r="C223" s="12">
        <v>0.182</v>
      </c>
      <c r="D223" s="12">
        <v>775.12900000000002</v>
      </c>
      <c r="E223" s="12">
        <v>330.16300000000001</v>
      </c>
      <c r="F223" s="12">
        <v>305.51499999999999</v>
      </c>
      <c r="G223" s="12">
        <v>1105.2919999999999</v>
      </c>
      <c r="H223" s="12">
        <v>505.36599999999999</v>
      </c>
      <c r="I223" s="12">
        <v>599.92700000000002</v>
      </c>
      <c r="J223" s="12">
        <v>497.07</v>
      </c>
      <c r="K223" s="4">
        <f t="shared" si="49"/>
        <v>3.2209343665251402</v>
      </c>
      <c r="L223" s="5">
        <v>3.2209343665251404E-2</v>
      </c>
      <c r="M223" s="19">
        <f t="shared" si="50"/>
        <v>2.8654132091227211</v>
      </c>
      <c r="N223" s="5">
        <v>2.8654132091227212E-2</v>
      </c>
      <c r="O223" s="19">
        <f t="shared" si="51"/>
        <v>7.6499999999999995</v>
      </c>
      <c r="P223" s="8">
        <v>7.6499999999999999E-2</v>
      </c>
      <c r="Q223" s="19">
        <f t="shared" si="52"/>
        <v>23.208368333333301</v>
      </c>
      <c r="R223" s="12">
        <v>23208.368333333299</v>
      </c>
      <c r="S223" s="4">
        <f t="shared" si="53"/>
        <v>2.9957322735539909</v>
      </c>
      <c r="T223" s="13">
        <v>2001</v>
      </c>
      <c r="U223" s="14">
        <v>118.69</v>
      </c>
      <c r="V223" s="14">
        <v>168.78</v>
      </c>
      <c r="W223" s="4">
        <f t="shared" si="54"/>
        <v>16.320661437867813</v>
      </c>
      <c r="X223" s="18">
        <f t="shared" si="55"/>
        <v>3.0337024337961118E-2</v>
      </c>
      <c r="Y223" s="18">
        <f t="shared" si="56"/>
        <v>1.646623697629224E-2</v>
      </c>
      <c r="Z223" s="18">
        <f t="shared" si="57"/>
        <v>0.8423791561306625</v>
      </c>
      <c r="AA223" s="12">
        <f t="shared" si="58"/>
        <v>1.5593960609169735</v>
      </c>
      <c r="AB223">
        <f t="shared" si="59"/>
        <v>6.4844389266950104</v>
      </c>
      <c r="AC223" s="18">
        <f t="shared" si="48"/>
        <v>0.27641112031933646</v>
      </c>
      <c r="AD223" s="18">
        <f t="shared" si="60"/>
        <v>4.2908598538236253</v>
      </c>
      <c r="AE223" s="12">
        <v>416.928</v>
      </c>
      <c r="AF223" s="12">
        <v>544.95000000000005</v>
      </c>
      <c r="AG223" s="8">
        <f t="shared" si="61"/>
        <v>-0.23492430498210851</v>
      </c>
      <c r="AH223">
        <f t="shared" si="62"/>
        <v>0.42564779152502691</v>
      </c>
      <c r="AI223">
        <f t="shared" si="63"/>
        <v>0.70549087075493844</v>
      </c>
    </row>
    <row r="224" spans="1:35" x14ac:dyDescent="0.3">
      <c r="A224" t="s">
        <v>63</v>
      </c>
      <c r="B224" s="11">
        <v>2020</v>
      </c>
      <c r="C224" s="12">
        <v>24.253</v>
      </c>
      <c r="D224" s="12">
        <v>128.10400000000001</v>
      </c>
      <c r="E224" s="12">
        <v>79.441000000000003</v>
      </c>
      <c r="F224" s="12">
        <v>61.052</v>
      </c>
      <c r="G224" s="12">
        <v>207.54499999999999</v>
      </c>
      <c r="H224" s="12">
        <v>48.981999999999999</v>
      </c>
      <c r="I224" s="12">
        <v>158.56299999999999</v>
      </c>
      <c r="J224" s="12">
        <v>46.43</v>
      </c>
      <c r="K224" s="4">
        <f t="shared" si="49"/>
        <v>3.2209343665251402</v>
      </c>
      <c r="L224" s="5">
        <v>3.2209343665251404E-2</v>
      </c>
      <c r="M224" s="19">
        <f t="shared" si="50"/>
        <v>2.8654132091227211</v>
      </c>
      <c r="N224" s="5">
        <v>2.8654132091227212E-2</v>
      </c>
      <c r="O224" s="19">
        <f t="shared" si="51"/>
        <v>7.6499999999999995</v>
      </c>
      <c r="P224" s="8">
        <v>7.6499999999999999E-2</v>
      </c>
      <c r="Q224" s="19">
        <f t="shared" si="52"/>
        <v>23.208368333333301</v>
      </c>
      <c r="R224" s="12">
        <v>23208.368333333299</v>
      </c>
      <c r="S224" s="4">
        <f t="shared" si="53"/>
        <v>3.5835189384561099</v>
      </c>
      <c r="T224" s="13">
        <v>1985</v>
      </c>
      <c r="U224" s="14">
        <v>118.69</v>
      </c>
      <c r="V224" s="14">
        <v>168.78</v>
      </c>
      <c r="W224" s="4">
        <f t="shared" si="54"/>
        <v>16.320661437867813</v>
      </c>
      <c r="X224" s="18">
        <f t="shared" si="55"/>
        <v>15.295497688615884</v>
      </c>
      <c r="Y224" s="18">
        <f t="shared" si="56"/>
        <v>11.685658531884652</v>
      </c>
      <c r="Z224" s="18">
        <f t="shared" si="57"/>
        <v>0.30891191513783167</v>
      </c>
      <c r="AA224" s="12">
        <f t="shared" si="58"/>
        <v>2.7590781822097785</v>
      </c>
      <c r="AB224">
        <f t="shared" si="59"/>
        <v>4.8119222778865529</v>
      </c>
      <c r="AC224" s="18">
        <f t="shared" si="48"/>
        <v>0.29416271170107688</v>
      </c>
      <c r="AD224" s="18">
        <f t="shared" si="60"/>
        <v>4.2908598538236253</v>
      </c>
      <c r="AE224" s="12">
        <v>408.07100000000003</v>
      </c>
      <c r="AF224" s="12">
        <v>471.88799999999998</v>
      </c>
      <c r="AG224" s="8">
        <f t="shared" si="61"/>
        <v>-0.1352375987522462</v>
      </c>
      <c r="AH224">
        <f t="shared" si="62"/>
        <v>7.0620542505482353</v>
      </c>
      <c r="AI224">
        <f t="shared" si="63"/>
        <v>13.307274216365126</v>
      </c>
    </row>
    <row r="225" spans="1:35" x14ac:dyDescent="0.3">
      <c r="A225" t="s">
        <v>64</v>
      </c>
      <c r="B225" s="11">
        <v>2020</v>
      </c>
      <c r="C225" s="12">
        <v>230.108</v>
      </c>
      <c r="D225" s="12">
        <v>557.21500000000003</v>
      </c>
      <c r="E225" s="12">
        <v>460.45400000000001</v>
      </c>
      <c r="F225" s="12">
        <v>400.68400000000003</v>
      </c>
      <c r="G225" s="12">
        <v>1017.669</v>
      </c>
      <c r="H225" s="12">
        <v>380.17500000000001</v>
      </c>
      <c r="I225" s="12">
        <v>637.49400000000003</v>
      </c>
      <c r="J225" s="12">
        <v>372.27</v>
      </c>
      <c r="K225" s="4">
        <f t="shared" si="49"/>
        <v>3.2209343665251402</v>
      </c>
      <c r="L225" s="5">
        <v>3.2209343665251404E-2</v>
      </c>
      <c r="M225" s="19">
        <f t="shared" si="50"/>
        <v>2.8654132091227211</v>
      </c>
      <c r="N225" s="5">
        <v>2.8654132091227212E-2</v>
      </c>
      <c r="O225" s="19">
        <f t="shared" si="51"/>
        <v>7.6499999999999995</v>
      </c>
      <c r="P225" s="8">
        <v>7.6499999999999999E-2</v>
      </c>
      <c r="Q225" s="19">
        <f t="shared" si="52"/>
        <v>23.208368333333301</v>
      </c>
      <c r="R225" s="12">
        <v>23208.368333333299</v>
      </c>
      <c r="S225" s="4">
        <f t="shared" si="53"/>
        <v>3.8918202981106265</v>
      </c>
      <c r="T225" s="13">
        <v>1972</v>
      </c>
      <c r="U225" s="14">
        <v>118.69</v>
      </c>
      <c r="V225" s="14">
        <v>168.78</v>
      </c>
      <c r="W225" s="4">
        <f t="shared" si="54"/>
        <v>16.320661437867813</v>
      </c>
      <c r="X225" s="18">
        <f t="shared" si="55"/>
        <v>36.095712273370417</v>
      </c>
      <c r="Y225" s="18">
        <f t="shared" si="56"/>
        <v>22.611281271218836</v>
      </c>
      <c r="Z225" s="18">
        <f t="shared" si="57"/>
        <v>0.59635855396286086</v>
      </c>
      <c r="AA225" s="12">
        <f t="shared" si="58"/>
        <v>1.4968033953850701</v>
      </c>
      <c r="AB225">
        <f t="shared" si="59"/>
        <v>6.4018440911491385</v>
      </c>
      <c r="AC225" s="18">
        <f t="shared" si="48"/>
        <v>0.39372723351109251</v>
      </c>
      <c r="AD225" s="18">
        <f t="shared" si="60"/>
        <v>4.2908598538236253</v>
      </c>
      <c r="AE225" s="12">
        <v>2991.9009999999998</v>
      </c>
      <c r="AF225" s="12">
        <v>2567.7359999999999</v>
      </c>
      <c r="AG225" s="8">
        <f t="shared" si="61"/>
        <v>0.16519026878152582</v>
      </c>
      <c r="AH225">
        <f t="shared" si="62"/>
        <v>19.939355346665938</v>
      </c>
      <c r="AI225">
        <f t="shared" si="63"/>
        <v>32.204122508087231</v>
      </c>
    </row>
    <row r="226" spans="1:35" x14ac:dyDescent="0.3">
      <c r="A226" t="s">
        <v>65</v>
      </c>
      <c r="B226" s="11">
        <v>2020</v>
      </c>
      <c r="C226" s="12">
        <v>18.042000000000002</v>
      </c>
      <c r="D226" s="12">
        <v>735.89700000000005</v>
      </c>
      <c r="E226" s="12">
        <v>1586.5150000000001</v>
      </c>
      <c r="F226" s="12">
        <v>1174.0260000000001</v>
      </c>
      <c r="G226" s="12">
        <v>2322.4119999999998</v>
      </c>
      <c r="H226" s="12">
        <v>806.80700000000002</v>
      </c>
      <c r="I226" s="12">
        <v>1515.605</v>
      </c>
      <c r="J226" s="12">
        <v>731.74</v>
      </c>
      <c r="K226" s="4">
        <f t="shared" si="49"/>
        <v>3.2209343665251402</v>
      </c>
      <c r="L226" s="5">
        <v>3.2209343665251404E-2</v>
      </c>
      <c r="M226" s="19">
        <f t="shared" si="50"/>
        <v>2.8654132091227211</v>
      </c>
      <c r="N226" s="5">
        <v>2.8654132091227212E-2</v>
      </c>
      <c r="O226" s="19">
        <f t="shared" si="51"/>
        <v>7.6499999999999995</v>
      </c>
      <c r="P226" s="8">
        <v>7.6499999999999999E-2</v>
      </c>
      <c r="Q226" s="19">
        <f t="shared" si="52"/>
        <v>23.208368333333301</v>
      </c>
      <c r="R226" s="12">
        <v>23208.368333333299</v>
      </c>
      <c r="S226" s="4">
        <f t="shared" si="53"/>
        <v>3.713572066704308</v>
      </c>
      <c r="T226" s="13">
        <v>1980</v>
      </c>
      <c r="U226" s="14">
        <v>118.69</v>
      </c>
      <c r="V226" s="14">
        <v>168.78</v>
      </c>
      <c r="W226" s="4">
        <f t="shared" si="54"/>
        <v>16.320661437867813</v>
      </c>
      <c r="X226" s="18">
        <f t="shared" si="55"/>
        <v>1.1904157085784226</v>
      </c>
      <c r="Y226" s="18">
        <f t="shared" si="56"/>
        <v>0.77686474234545821</v>
      </c>
      <c r="Z226" s="18">
        <f t="shared" si="57"/>
        <v>0.53233329264551121</v>
      </c>
      <c r="AA226" s="12">
        <f t="shared" si="58"/>
        <v>1.005680979582912</v>
      </c>
      <c r="AB226">
        <f t="shared" si="59"/>
        <v>7.2269356740238919</v>
      </c>
      <c r="AC226" s="18">
        <f t="shared" si="48"/>
        <v>0.50552012304449001</v>
      </c>
      <c r="AD226" s="18">
        <f t="shared" si="60"/>
        <v>4.2908598538236253</v>
      </c>
      <c r="AE226" s="12">
        <v>1470.8620000000001</v>
      </c>
      <c r="AF226" s="12">
        <v>1717.77</v>
      </c>
      <c r="AG226" s="8">
        <f t="shared" si="61"/>
        <v>-0.1437375201569476</v>
      </c>
      <c r="AH226">
        <f t="shared" si="62"/>
        <v>0.95492537730412008</v>
      </c>
      <c r="AI226">
        <f t="shared" si="63"/>
        <v>1.4158374432616105</v>
      </c>
    </row>
    <row r="227" spans="1:35" x14ac:dyDescent="0.3">
      <c r="A227" t="s">
        <v>66</v>
      </c>
      <c r="B227" s="11">
        <v>2020</v>
      </c>
      <c r="C227" s="12">
        <v>280.73500000000001</v>
      </c>
      <c r="D227" s="12">
        <v>1035.836</v>
      </c>
      <c r="E227" s="12">
        <v>186.76</v>
      </c>
      <c r="F227" s="12">
        <v>151.32599999999999</v>
      </c>
      <c r="G227" s="12">
        <v>1222.596</v>
      </c>
      <c r="H227" s="12">
        <v>310.68599999999998</v>
      </c>
      <c r="I227" s="12">
        <v>911.91</v>
      </c>
      <c r="J227" s="12">
        <v>250.6</v>
      </c>
      <c r="K227" s="4">
        <f t="shared" si="49"/>
        <v>3.2209343665251402</v>
      </c>
      <c r="L227" s="5">
        <v>3.2209343665251404E-2</v>
      </c>
      <c r="M227" s="19">
        <f t="shared" si="50"/>
        <v>2.8654132091227211</v>
      </c>
      <c r="N227" s="5">
        <v>2.8654132091227212E-2</v>
      </c>
      <c r="O227" s="19">
        <f t="shared" si="51"/>
        <v>7.6499999999999995</v>
      </c>
      <c r="P227" s="8">
        <v>7.6499999999999999E-2</v>
      </c>
      <c r="Q227" s="19">
        <f t="shared" si="52"/>
        <v>23.208368333333301</v>
      </c>
      <c r="R227" s="12">
        <v>23208.368333333299</v>
      </c>
      <c r="S227" s="4">
        <f t="shared" si="53"/>
        <v>4.1431347263915326</v>
      </c>
      <c r="T227" s="13">
        <v>1958</v>
      </c>
      <c r="U227" s="14">
        <v>118.69</v>
      </c>
      <c r="V227" s="14">
        <v>168.78</v>
      </c>
      <c r="W227" s="4">
        <f t="shared" si="54"/>
        <v>16.320661437867813</v>
      </c>
      <c r="X227" s="18">
        <f t="shared" si="55"/>
        <v>30.785384522595432</v>
      </c>
      <c r="Y227" s="18">
        <f t="shared" si="56"/>
        <v>22.96220501293968</v>
      </c>
      <c r="Z227" s="18">
        <f t="shared" si="57"/>
        <v>0.34069809520676381</v>
      </c>
      <c r="AA227" s="12">
        <f t="shared" si="58"/>
        <v>4.1334237829209899</v>
      </c>
      <c r="AB227">
        <f t="shared" si="59"/>
        <v>6.5853058401315288</v>
      </c>
      <c r="AC227" s="18">
        <f t="shared" si="48"/>
        <v>0.12377432937781573</v>
      </c>
      <c r="AD227" s="18">
        <f t="shared" si="60"/>
        <v>4.2908598538236253</v>
      </c>
      <c r="AE227" s="12">
        <v>2825.5540000000001</v>
      </c>
      <c r="AF227" s="12">
        <v>2562.4070000000002</v>
      </c>
      <c r="AG227" s="8">
        <f t="shared" si="61"/>
        <v>0.10269523928087923</v>
      </c>
      <c r="AH227">
        <f t="shared" si="62"/>
        <v>15.569839602915092</v>
      </c>
      <c r="AI227">
        <f t="shared" si="63"/>
        <v>22.971351514984725</v>
      </c>
    </row>
    <row r="228" spans="1:35" x14ac:dyDescent="0.3">
      <c r="A228" t="s">
        <v>67</v>
      </c>
      <c r="B228" s="11">
        <v>2020</v>
      </c>
      <c r="C228" s="12">
        <v>231.79499999999999</v>
      </c>
      <c r="D228" s="12">
        <v>2001.2429999999999</v>
      </c>
      <c r="E228" s="12">
        <v>626.51300000000003</v>
      </c>
      <c r="F228" s="12">
        <v>554.58399999999995</v>
      </c>
      <c r="G228" s="12">
        <v>2627.7550000000001</v>
      </c>
      <c r="H228" s="12">
        <v>1185.5550000000001</v>
      </c>
      <c r="I228" s="12">
        <v>1442.2</v>
      </c>
      <c r="J228" s="12">
        <v>1185.56</v>
      </c>
      <c r="K228" s="4">
        <f t="shared" si="49"/>
        <v>3.2209343665251402</v>
      </c>
      <c r="L228" s="5">
        <v>3.2209343665251404E-2</v>
      </c>
      <c r="M228" s="19">
        <f t="shared" si="50"/>
        <v>2.8654132091227211</v>
      </c>
      <c r="N228" s="5">
        <v>2.8654132091227212E-2</v>
      </c>
      <c r="O228" s="19">
        <f t="shared" si="51"/>
        <v>7.6499999999999995</v>
      </c>
      <c r="P228" s="8">
        <v>7.6499999999999999E-2</v>
      </c>
      <c r="Q228" s="19">
        <f t="shared" si="52"/>
        <v>23.208368333333301</v>
      </c>
      <c r="R228" s="12">
        <v>23208.368333333299</v>
      </c>
      <c r="S228" s="4">
        <f t="shared" si="53"/>
        <v>3.4965075614664802</v>
      </c>
      <c r="T228" s="13">
        <v>1988</v>
      </c>
      <c r="U228" s="14">
        <v>118.69</v>
      </c>
      <c r="V228" s="14">
        <v>168.78</v>
      </c>
      <c r="W228" s="4">
        <f t="shared" si="54"/>
        <v>16.320661437867813</v>
      </c>
      <c r="X228" s="18">
        <f t="shared" si="55"/>
        <v>16.07232006656497</v>
      </c>
      <c r="Y228" s="18">
        <f t="shared" si="56"/>
        <v>8.8210278355478327</v>
      </c>
      <c r="Z228" s="18">
        <f t="shared" si="57"/>
        <v>0.82204617944806546</v>
      </c>
      <c r="AA228" s="12">
        <f t="shared" si="58"/>
        <v>1.688014946523162</v>
      </c>
      <c r="AB228">
        <f t="shared" si="59"/>
        <v>7.3504592427284523</v>
      </c>
      <c r="AC228" s="18">
        <f t="shared" si="48"/>
        <v>0.21104859471297741</v>
      </c>
      <c r="AD228" s="18">
        <f t="shared" si="60"/>
        <v>4.2908598538236253</v>
      </c>
      <c r="AE228" s="12">
        <v>3817.9250000000002</v>
      </c>
      <c r="AF228" s="12">
        <v>4411.8720000000003</v>
      </c>
      <c r="AG228" s="8">
        <f t="shared" si="61"/>
        <v>-0.13462471259365641</v>
      </c>
      <c r="AH228">
        <f t="shared" si="62"/>
        <v>17.529572771072694</v>
      </c>
      <c r="AI228">
        <f t="shared" si="63"/>
        <v>36.402876649918312</v>
      </c>
    </row>
    <row r="229" spans="1:35" x14ac:dyDescent="0.3">
      <c r="A229" t="s">
        <v>68</v>
      </c>
      <c r="B229" s="11">
        <v>2020</v>
      </c>
      <c r="C229" s="12">
        <v>1395.0129999999999</v>
      </c>
      <c r="D229" s="12">
        <v>29760.685000000001</v>
      </c>
      <c r="E229" s="12">
        <v>85975.876999999993</v>
      </c>
      <c r="F229" s="12">
        <v>49582.186999999998</v>
      </c>
      <c r="G229" s="12">
        <v>115736.56200000001</v>
      </c>
      <c r="H229" s="12">
        <v>90706.282999999996</v>
      </c>
      <c r="I229" s="12">
        <v>25030.278999999999</v>
      </c>
      <c r="J229" s="12">
        <v>38874.660000000003</v>
      </c>
      <c r="K229" s="4">
        <f t="shared" si="49"/>
        <v>3.2209343665251402</v>
      </c>
      <c r="L229" s="5">
        <v>3.2209343665251404E-2</v>
      </c>
      <c r="M229" s="19">
        <f t="shared" si="50"/>
        <v>2.8654132091227211</v>
      </c>
      <c r="N229" s="5">
        <v>2.8654132091227212E-2</v>
      </c>
      <c r="O229" s="19">
        <f t="shared" si="51"/>
        <v>7.6499999999999995</v>
      </c>
      <c r="P229" s="8">
        <v>7.6499999999999999E-2</v>
      </c>
      <c r="Q229" s="19">
        <f t="shared" si="52"/>
        <v>23.208368333333301</v>
      </c>
      <c r="R229" s="12">
        <v>23208.368333333299</v>
      </c>
      <c r="S229" s="4">
        <f t="shared" si="53"/>
        <v>2.8332133440562162</v>
      </c>
      <c r="T229" s="13">
        <v>2004</v>
      </c>
      <c r="U229" s="14">
        <v>118.69</v>
      </c>
      <c r="V229" s="14">
        <v>168.78</v>
      </c>
      <c r="W229" s="4">
        <f t="shared" si="54"/>
        <v>16.320661437867813</v>
      </c>
      <c r="X229" s="18">
        <f t="shared" si="55"/>
        <v>5.5733018397437757</v>
      </c>
      <c r="Y229" s="18">
        <f t="shared" si="56"/>
        <v>1.2053347497915134</v>
      </c>
      <c r="Z229" s="18">
        <f t="shared" si="57"/>
        <v>3.6238622430057612</v>
      </c>
      <c r="AA229" s="12">
        <f t="shared" si="58"/>
        <v>0.76555486273063222</v>
      </c>
      <c r="AB229">
        <f t="shared" si="59"/>
        <v>11.135645964434804</v>
      </c>
      <c r="AC229" s="18">
        <f t="shared" si="48"/>
        <v>0.42840556297153526</v>
      </c>
      <c r="AD229" s="18">
        <f t="shared" si="60"/>
        <v>4.2908598538236253</v>
      </c>
      <c r="AE229" s="12">
        <v>78868.319000000003</v>
      </c>
      <c r="AF229" s="12">
        <v>38818.747000000003</v>
      </c>
      <c r="AG229" s="8">
        <f t="shared" si="61"/>
        <v>1.0317069739525595</v>
      </c>
      <c r="AH229">
        <f t="shared" si="62"/>
        <v>6.5414129737334505</v>
      </c>
      <c r="AI229">
        <f t="shared" si="63"/>
        <v>12.265967232333805</v>
      </c>
    </row>
    <row r="230" spans="1:35" x14ac:dyDescent="0.3">
      <c r="A230" t="s">
        <v>69</v>
      </c>
      <c r="B230" s="11">
        <v>2020</v>
      </c>
      <c r="C230" s="12">
        <v>61.314999999999998</v>
      </c>
      <c r="D230" s="12">
        <v>972.42</v>
      </c>
      <c r="E230" s="12">
        <v>560.95899999999995</v>
      </c>
      <c r="F230" s="12">
        <v>350.70600000000002</v>
      </c>
      <c r="G230" s="12">
        <v>1533.3789999999999</v>
      </c>
      <c r="H230" s="12">
        <v>782.47299999999996</v>
      </c>
      <c r="I230" s="12">
        <v>750.90599999999995</v>
      </c>
      <c r="J230" s="12">
        <v>594.80999999999995</v>
      </c>
      <c r="K230" s="4">
        <f t="shared" si="49"/>
        <v>3.2209343665251402</v>
      </c>
      <c r="L230" s="5">
        <v>3.2209343665251404E-2</v>
      </c>
      <c r="M230" s="19">
        <f t="shared" si="50"/>
        <v>2.8654132091227211</v>
      </c>
      <c r="N230" s="5">
        <v>2.8654132091227212E-2</v>
      </c>
      <c r="O230" s="19">
        <f t="shared" si="51"/>
        <v>7.6499999999999995</v>
      </c>
      <c r="P230" s="8">
        <v>7.6499999999999999E-2</v>
      </c>
      <c r="Q230" s="19">
        <f t="shared" si="52"/>
        <v>23.208368333333301</v>
      </c>
      <c r="R230" s="12">
        <v>23208.368333333299</v>
      </c>
      <c r="S230" s="4">
        <f t="shared" si="53"/>
        <v>3.2580965380214821</v>
      </c>
      <c r="T230" s="13">
        <v>1995</v>
      </c>
      <c r="U230" s="14">
        <v>118.69</v>
      </c>
      <c r="V230" s="14">
        <v>168.78</v>
      </c>
      <c r="W230" s="4">
        <f t="shared" si="54"/>
        <v>16.320661437867813</v>
      </c>
      <c r="X230" s="18">
        <f t="shared" si="55"/>
        <v>8.1654694462422732</v>
      </c>
      <c r="Y230" s="18">
        <f t="shared" si="56"/>
        <v>3.9986852565477946</v>
      </c>
      <c r="Z230" s="18">
        <f t="shared" si="57"/>
        <v>1.0420385507640104</v>
      </c>
      <c r="AA230" s="12">
        <f t="shared" si="58"/>
        <v>1.6348413779189994</v>
      </c>
      <c r="AB230">
        <f t="shared" si="59"/>
        <v>6.8118031702325501</v>
      </c>
      <c r="AC230" s="18">
        <f t="shared" si="48"/>
        <v>0.22871449263358898</v>
      </c>
      <c r="AD230" s="18">
        <f t="shared" si="60"/>
        <v>4.2908598538236253</v>
      </c>
      <c r="AE230" s="12">
        <v>1216.0550000000001</v>
      </c>
      <c r="AF230" s="12">
        <v>1069.7439999999999</v>
      </c>
      <c r="AG230" s="8">
        <f t="shared" si="61"/>
        <v>0.13677197535111218</v>
      </c>
      <c r="AH230">
        <f t="shared" si="62"/>
        <v>3.768600578986153</v>
      </c>
      <c r="AI230">
        <f t="shared" si="63"/>
        <v>7.0263699654539362</v>
      </c>
    </row>
    <row r="231" spans="1:35" x14ac:dyDescent="0.3">
      <c r="A231" t="s">
        <v>70</v>
      </c>
      <c r="B231" s="11">
        <v>2020</v>
      </c>
      <c r="C231" s="12">
        <v>72.956000000000003</v>
      </c>
      <c r="D231" s="12">
        <v>368.11799999999999</v>
      </c>
      <c r="E231" s="12">
        <v>514.63</v>
      </c>
      <c r="F231" s="12">
        <v>357.07100000000003</v>
      </c>
      <c r="G231" s="12">
        <v>882.74900000000002</v>
      </c>
      <c r="H231" s="12">
        <v>520.87699999999995</v>
      </c>
      <c r="I231" s="12">
        <v>361.87099999999998</v>
      </c>
      <c r="J231" s="12">
        <v>405.91</v>
      </c>
      <c r="K231" s="4">
        <f t="shared" si="49"/>
        <v>3.2209343665251402</v>
      </c>
      <c r="L231" s="5">
        <v>3.2209343665251404E-2</v>
      </c>
      <c r="M231" s="19">
        <f t="shared" si="50"/>
        <v>2.8654132091227211</v>
      </c>
      <c r="N231" s="5">
        <v>2.8654132091227212E-2</v>
      </c>
      <c r="O231" s="19">
        <f t="shared" si="51"/>
        <v>7.6499999999999995</v>
      </c>
      <c r="P231" s="8">
        <v>7.6499999999999999E-2</v>
      </c>
      <c r="Q231" s="19">
        <f t="shared" si="52"/>
        <v>23.208368333333301</v>
      </c>
      <c r="R231" s="12">
        <v>23208.368333333299</v>
      </c>
      <c r="S231" s="4">
        <f t="shared" si="53"/>
        <v>3.3322045101752038</v>
      </c>
      <c r="T231" s="13">
        <v>1993</v>
      </c>
      <c r="U231" s="14">
        <v>118.69</v>
      </c>
      <c r="V231" s="14">
        <v>168.78</v>
      </c>
      <c r="W231" s="4">
        <f t="shared" si="54"/>
        <v>16.320661437867813</v>
      </c>
      <c r="X231" s="18">
        <f t="shared" si="55"/>
        <v>20.160775524979897</v>
      </c>
      <c r="Y231" s="18">
        <f t="shared" si="56"/>
        <v>8.2646369466292242</v>
      </c>
      <c r="Z231" s="18">
        <f t="shared" si="57"/>
        <v>1.4393996755749976</v>
      </c>
      <c r="AA231" s="12">
        <f t="shared" si="58"/>
        <v>0.90689561725505652</v>
      </c>
      <c r="AB231">
        <f t="shared" si="59"/>
        <v>6.2596149962425622</v>
      </c>
      <c r="AC231" s="18">
        <f t="shared" si="48"/>
        <v>0.40449890059348698</v>
      </c>
      <c r="AD231" s="18">
        <f t="shared" si="60"/>
        <v>4.2908598538236253</v>
      </c>
      <c r="AE231" s="12">
        <v>887.13400000000001</v>
      </c>
      <c r="AF231" s="12">
        <v>224.50899999999999</v>
      </c>
      <c r="AG231" s="8">
        <f t="shared" si="61"/>
        <v>2.9514406994819811</v>
      </c>
      <c r="AH231">
        <f t="shared" si="62"/>
        <v>11.350684644064414</v>
      </c>
      <c r="AI231">
        <f t="shared" si="63"/>
        <v>29.964264724757317</v>
      </c>
    </row>
    <row r="232" spans="1:35" x14ac:dyDescent="0.3">
      <c r="A232" t="s">
        <v>71</v>
      </c>
      <c r="B232" s="11">
        <v>2020</v>
      </c>
      <c r="C232" s="12">
        <v>194.815</v>
      </c>
      <c r="D232" s="12">
        <v>866.66</v>
      </c>
      <c r="E232" s="12">
        <v>934.89200000000005</v>
      </c>
      <c r="F232" s="12">
        <v>775.07100000000003</v>
      </c>
      <c r="G232" s="12">
        <v>1801.5519999999999</v>
      </c>
      <c r="H232" s="12">
        <v>600.10900000000004</v>
      </c>
      <c r="I232" s="12">
        <v>1201.443</v>
      </c>
      <c r="J232" s="12">
        <v>534.53</v>
      </c>
      <c r="K232" s="4">
        <f t="shared" si="49"/>
        <v>3.2209343665251402</v>
      </c>
      <c r="L232" s="5">
        <v>3.2209343665251404E-2</v>
      </c>
      <c r="M232" s="19">
        <f t="shared" si="50"/>
        <v>2.8654132091227211</v>
      </c>
      <c r="N232" s="5">
        <v>2.8654132091227212E-2</v>
      </c>
      <c r="O232" s="19">
        <f t="shared" si="51"/>
        <v>7.6499999999999995</v>
      </c>
      <c r="P232" s="8">
        <v>7.6499999999999999E-2</v>
      </c>
      <c r="Q232" s="19">
        <f t="shared" si="52"/>
        <v>23.208368333333301</v>
      </c>
      <c r="R232" s="12">
        <v>23208.368333333299</v>
      </c>
      <c r="S232" s="4">
        <f t="shared" si="53"/>
        <v>3.970291913552122</v>
      </c>
      <c r="T232" s="13">
        <v>1968</v>
      </c>
      <c r="U232" s="14">
        <v>118.69</v>
      </c>
      <c r="V232" s="14">
        <v>168.78</v>
      </c>
      <c r="W232" s="4">
        <f t="shared" si="54"/>
        <v>16.320661437867813</v>
      </c>
      <c r="X232" s="18">
        <f t="shared" si="55"/>
        <v>16.215084693988814</v>
      </c>
      <c r="Y232" s="18">
        <f t="shared" si="56"/>
        <v>10.813731715765073</v>
      </c>
      <c r="Z232" s="18">
        <f t="shared" si="57"/>
        <v>0.49949019637219583</v>
      </c>
      <c r="AA232" s="12">
        <f t="shared" si="58"/>
        <v>1.6213495968420857</v>
      </c>
      <c r="AB232">
        <f t="shared" si="59"/>
        <v>6.9729778888646976</v>
      </c>
      <c r="AC232" s="18">
        <f t="shared" si="48"/>
        <v>0.43022405126246704</v>
      </c>
      <c r="AD232" s="18">
        <f t="shared" si="60"/>
        <v>4.2908598538236253</v>
      </c>
      <c r="AE232" s="12">
        <v>1790.7639999999999</v>
      </c>
      <c r="AF232" s="12">
        <v>1652.5129999999999</v>
      </c>
      <c r="AG232" s="8">
        <f t="shared" si="61"/>
        <v>8.3661066509007787E-2</v>
      </c>
      <c r="AH232">
        <f t="shared" si="62"/>
        <v>11.736150867911379</v>
      </c>
      <c r="AI232">
        <f t="shared" si="63"/>
        <v>18.382303425543604</v>
      </c>
    </row>
    <row r="233" spans="1:35" x14ac:dyDescent="0.3">
      <c r="A233" t="s">
        <v>72</v>
      </c>
      <c r="B233" s="11">
        <v>2020</v>
      </c>
      <c r="C233" s="12">
        <v>333.22300000000001</v>
      </c>
      <c r="D233" s="12">
        <v>6169.0529999999999</v>
      </c>
      <c r="E233" s="12">
        <v>5167.2420000000002</v>
      </c>
      <c r="F233" s="12">
        <v>3521.3049999999998</v>
      </c>
      <c r="G233" s="12">
        <v>11336.295</v>
      </c>
      <c r="H233" s="12">
        <v>5163.1419999999998</v>
      </c>
      <c r="I233" s="12">
        <v>6173.1540000000005</v>
      </c>
      <c r="J233" s="12">
        <v>3639.46</v>
      </c>
      <c r="K233" s="4">
        <f t="shared" si="49"/>
        <v>3.2209343665251402</v>
      </c>
      <c r="L233" s="5">
        <v>3.2209343665251404E-2</v>
      </c>
      <c r="M233" s="19">
        <f t="shared" si="50"/>
        <v>2.8654132091227211</v>
      </c>
      <c r="N233" s="5">
        <v>2.8654132091227212E-2</v>
      </c>
      <c r="O233" s="19">
        <f t="shared" si="51"/>
        <v>7.6499999999999995</v>
      </c>
      <c r="P233" s="8">
        <v>7.6499999999999999E-2</v>
      </c>
      <c r="Q233" s="19">
        <f t="shared" si="52"/>
        <v>23.208368333333301</v>
      </c>
      <c r="R233" s="12">
        <v>23208.368333333299</v>
      </c>
      <c r="S233" s="4">
        <f t="shared" si="53"/>
        <v>3.1354942159291497</v>
      </c>
      <c r="T233" s="13">
        <v>1998</v>
      </c>
      <c r="U233" s="14">
        <v>118.69</v>
      </c>
      <c r="V233" s="14">
        <v>168.78</v>
      </c>
      <c r="W233" s="4">
        <f t="shared" si="54"/>
        <v>16.320661437867813</v>
      </c>
      <c r="X233" s="18">
        <f t="shared" si="55"/>
        <v>5.3979375858758747</v>
      </c>
      <c r="Y233" s="18">
        <f t="shared" si="56"/>
        <v>2.9394347977006596</v>
      </c>
      <c r="Z233" s="18">
        <f t="shared" si="57"/>
        <v>0.83638639178611118</v>
      </c>
      <c r="AA233" s="12">
        <f t="shared" si="58"/>
        <v>1.6950462431239799</v>
      </c>
      <c r="AB233">
        <f t="shared" si="59"/>
        <v>8.812338898578826</v>
      </c>
      <c r="AC233" s="18">
        <f t="shared" si="48"/>
        <v>0.31062220946085117</v>
      </c>
      <c r="AD233" s="18">
        <f t="shared" si="60"/>
        <v>4.2908598538236253</v>
      </c>
      <c r="AE233" s="12">
        <v>8541.86</v>
      </c>
      <c r="AF233" s="12">
        <v>7985.8549999999996</v>
      </c>
      <c r="AG233" s="8">
        <f t="shared" si="61"/>
        <v>6.9623728454874412E-2</v>
      </c>
      <c r="AH233">
        <f t="shared" si="62"/>
        <v>4.1987712635377186</v>
      </c>
      <c r="AI233">
        <f t="shared" si="63"/>
        <v>7.3545473065810638</v>
      </c>
    </row>
    <row r="234" spans="1:35" x14ac:dyDescent="0.3">
      <c r="A234" t="s">
        <v>73</v>
      </c>
      <c r="B234" s="11">
        <v>2020</v>
      </c>
      <c r="C234" s="12">
        <v>1069.31</v>
      </c>
      <c r="D234" s="12">
        <v>7143.9290000000001</v>
      </c>
      <c r="E234" s="12">
        <v>1339.2170000000001</v>
      </c>
      <c r="F234" s="12">
        <v>931.61699999999996</v>
      </c>
      <c r="G234" s="12">
        <v>8483.1460000000006</v>
      </c>
      <c r="H234" s="12">
        <v>3241.2840000000001</v>
      </c>
      <c r="I234" s="12">
        <v>5241.8620000000001</v>
      </c>
      <c r="J234" s="12">
        <v>3231.91</v>
      </c>
      <c r="K234" s="4">
        <f t="shared" si="49"/>
        <v>3.2209343665251402</v>
      </c>
      <c r="L234" s="5">
        <v>3.2209343665251404E-2</v>
      </c>
      <c r="M234" s="19">
        <f t="shared" si="50"/>
        <v>2.8654132091227211</v>
      </c>
      <c r="N234" s="5">
        <v>2.8654132091227212E-2</v>
      </c>
      <c r="O234" s="19">
        <f t="shared" si="51"/>
        <v>7.6499999999999995</v>
      </c>
      <c r="P234" s="8">
        <v>7.6499999999999999E-2</v>
      </c>
      <c r="Q234" s="19">
        <f t="shared" si="52"/>
        <v>23.208368333333301</v>
      </c>
      <c r="R234" s="12">
        <v>23208.368333333299</v>
      </c>
      <c r="S234" s="4">
        <f t="shared" si="53"/>
        <v>3.4965075614664802</v>
      </c>
      <c r="T234" s="13">
        <v>1988</v>
      </c>
      <c r="U234" s="14">
        <v>118.69</v>
      </c>
      <c r="V234" s="14">
        <v>168.78</v>
      </c>
      <c r="W234" s="4">
        <f t="shared" si="54"/>
        <v>16.320661437867813</v>
      </c>
      <c r="X234" s="18">
        <f t="shared" si="55"/>
        <v>20.399430584017665</v>
      </c>
      <c r="Y234" s="18">
        <f t="shared" si="56"/>
        <v>12.605111358451214</v>
      </c>
      <c r="Z234" s="18">
        <f t="shared" si="57"/>
        <v>0.61834592364316343</v>
      </c>
      <c r="AA234" s="12">
        <f t="shared" si="58"/>
        <v>2.2104356247544024</v>
      </c>
      <c r="AB234">
        <f t="shared" si="59"/>
        <v>8.5224107448102728</v>
      </c>
      <c r="AC234" s="18">
        <f t="shared" si="48"/>
        <v>0.10981975319062054</v>
      </c>
      <c r="AD234" s="18">
        <f t="shared" si="60"/>
        <v>4.2908598538236253</v>
      </c>
      <c r="AE234" s="12">
        <v>17681.913</v>
      </c>
      <c r="AF234" s="12">
        <v>17144.251</v>
      </c>
      <c r="AG234" s="8">
        <f t="shared" si="61"/>
        <v>3.1361066750597633E-2</v>
      </c>
      <c r="AH234">
        <f t="shared" si="62"/>
        <v>13.878065745712757</v>
      </c>
      <c r="AI234">
        <f t="shared" si="63"/>
        <v>26.083801990096273</v>
      </c>
    </row>
    <row r="235" spans="1:35" x14ac:dyDescent="0.3">
      <c r="A235" t="s">
        <v>74</v>
      </c>
      <c r="B235" s="11">
        <v>2020</v>
      </c>
      <c r="C235" s="12">
        <v>336.08199999999999</v>
      </c>
      <c r="D235" s="12">
        <v>3731.0619999999999</v>
      </c>
      <c r="E235" s="12">
        <v>294.95</v>
      </c>
      <c r="F235" s="12">
        <v>290.53500000000003</v>
      </c>
      <c r="G235" s="12">
        <v>4026.0120000000002</v>
      </c>
      <c r="H235" s="12">
        <v>2946.7040000000002</v>
      </c>
      <c r="I235" s="12">
        <v>1079.308</v>
      </c>
      <c r="J235" s="12">
        <v>2945.87</v>
      </c>
      <c r="K235" s="4">
        <f t="shared" si="49"/>
        <v>3.2209343665251402</v>
      </c>
      <c r="L235" s="5">
        <v>3.2209343665251404E-2</v>
      </c>
      <c r="M235" s="19">
        <f t="shared" si="50"/>
        <v>2.8654132091227211</v>
      </c>
      <c r="N235" s="5">
        <v>2.8654132091227212E-2</v>
      </c>
      <c r="O235" s="19">
        <f t="shared" si="51"/>
        <v>7.6499999999999995</v>
      </c>
      <c r="P235" s="8">
        <v>7.6499999999999999E-2</v>
      </c>
      <c r="Q235" s="19">
        <f t="shared" si="52"/>
        <v>23.208368333333301</v>
      </c>
      <c r="R235" s="12">
        <v>23208.368333333299</v>
      </c>
      <c r="S235" s="4">
        <f t="shared" si="53"/>
        <v>2.8332133440562162</v>
      </c>
      <c r="T235" s="13">
        <v>2004</v>
      </c>
      <c r="U235" s="14">
        <v>118.69</v>
      </c>
      <c r="V235" s="14">
        <v>168.78</v>
      </c>
      <c r="W235" s="4">
        <f t="shared" si="54"/>
        <v>16.320661437867813</v>
      </c>
      <c r="X235" s="18">
        <f t="shared" si="55"/>
        <v>31.138655508900147</v>
      </c>
      <c r="Y235" s="18">
        <f t="shared" si="56"/>
        <v>8.3477644875375425</v>
      </c>
      <c r="Z235" s="18">
        <f t="shared" si="57"/>
        <v>2.7301789665229945</v>
      </c>
      <c r="AA235" s="12">
        <f t="shared" si="58"/>
        <v>1.266539935570816</v>
      </c>
      <c r="AB235">
        <f t="shared" si="59"/>
        <v>7.7771056810794974</v>
      </c>
      <c r="AC235" s="18">
        <f t="shared" si="48"/>
        <v>7.2164464487438199E-2</v>
      </c>
      <c r="AD235" s="18">
        <f t="shared" si="60"/>
        <v>4.2908598538236253</v>
      </c>
      <c r="AE235" s="12">
        <v>4931.4030000000002</v>
      </c>
      <c r="AF235" s="12">
        <v>4266.942</v>
      </c>
      <c r="AG235" s="8">
        <f t="shared" si="61"/>
        <v>0.15572299787529342</v>
      </c>
      <c r="AH235">
        <f t="shared" si="62"/>
        <v>4.1519651761674474</v>
      </c>
      <c r="AI235">
        <f t="shared" si="63"/>
        <v>14.999005418670807</v>
      </c>
    </row>
    <row r="236" spans="1:35" x14ac:dyDescent="0.3">
      <c r="A236" t="s">
        <v>75</v>
      </c>
      <c r="B236" s="11">
        <v>2020</v>
      </c>
      <c r="C236" s="12">
        <v>4936.8459999999995</v>
      </c>
      <c r="D236" s="12">
        <v>19513.381000000001</v>
      </c>
      <c r="E236" s="12">
        <v>7861.5910000000003</v>
      </c>
      <c r="F236" s="12">
        <v>4874.5039999999999</v>
      </c>
      <c r="G236" s="12">
        <v>27374.973000000002</v>
      </c>
      <c r="H236" s="12">
        <v>6159.6959999999999</v>
      </c>
      <c r="I236" s="12">
        <v>21215.276000000002</v>
      </c>
      <c r="J236" s="12">
        <v>5173.04</v>
      </c>
      <c r="K236" s="4">
        <f t="shared" si="49"/>
        <v>3.2209343665251402</v>
      </c>
      <c r="L236" s="5">
        <v>3.2209343665251404E-2</v>
      </c>
      <c r="M236" s="19">
        <f t="shared" si="50"/>
        <v>2.8654132091227211</v>
      </c>
      <c r="N236" s="5">
        <v>2.8654132091227212E-2</v>
      </c>
      <c r="O236" s="19">
        <f t="shared" si="51"/>
        <v>7.6499999999999995</v>
      </c>
      <c r="P236" s="8">
        <v>7.6499999999999999E-2</v>
      </c>
      <c r="Q236" s="19">
        <f t="shared" si="52"/>
        <v>23.208368333333301</v>
      </c>
      <c r="R236" s="12">
        <v>23208.368333333299</v>
      </c>
      <c r="S236" s="4">
        <f t="shared" si="53"/>
        <v>2.8903717578961645</v>
      </c>
      <c r="T236" s="13">
        <v>2003</v>
      </c>
      <c r="U236" s="14">
        <v>118.69</v>
      </c>
      <c r="V236" s="14">
        <v>168.78</v>
      </c>
      <c r="W236" s="4">
        <f t="shared" si="54"/>
        <v>16.320661437867813</v>
      </c>
      <c r="X236" s="18">
        <f t="shared" si="55"/>
        <v>23.270241688111902</v>
      </c>
      <c r="Y236" s="18">
        <f t="shared" si="56"/>
        <v>18.034158426384565</v>
      </c>
      <c r="Z236" s="18">
        <f t="shared" si="57"/>
        <v>0.29034248717763556</v>
      </c>
      <c r="AA236" s="12">
        <f t="shared" si="58"/>
        <v>3.7721303140899742</v>
      </c>
      <c r="AB236">
        <f t="shared" si="59"/>
        <v>9.6939585750752162</v>
      </c>
      <c r="AC236" s="18">
        <f t="shared" si="48"/>
        <v>0.17806424868437312</v>
      </c>
      <c r="AD236" s="18">
        <f t="shared" si="60"/>
        <v>4.2908598538236253</v>
      </c>
      <c r="AE236" s="12">
        <v>28135.623</v>
      </c>
      <c r="AF236" s="12">
        <v>38133.79</v>
      </c>
      <c r="AG236" s="8">
        <f t="shared" si="61"/>
        <v>-0.2621865542344467</v>
      </c>
      <c r="AH236">
        <f t="shared" si="62"/>
        <v>19.917117404202791</v>
      </c>
      <c r="AI236">
        <f t="shared" si="63"/>
        <v>26.748764348237003</v>
      </c>
    </row>
    <row r="237" spans="1:35" x14ac:dyDescent="0.3">
      <c r="A237" t="s">
        <v>76</v>
      </c>
      <c r="B237" s="11">
        <v>2020</v>
      </c>
      <c r="C237" s="12">
        <v>563.87800000000004</v>
      </c>
      <c r="D237" s="12">
        <v>10248.236999999999</v>
      </c>
      <c r="E237" s="12">
        <v>8048.4110000000001</v>
      </c>
      <c r="F237" s="12">
        <v>4127.3620000000001</v>
      </c>
      <c r="G237" s="12">
        <v>18296.648000000001</v>
      </c>
      <c r="H237" s="12">
        <v>10376.315000000001</v>
      </c>
      <c r="I237" s="12">
        <v>7920.3329999999996</v>
      </c>
      <c r="J237" s="12">
        <v>8740.48</v>
      </c>
      <c r="K237" s="4">
        <f t="shared" si="49"/>
        <v>3.2209343665251402</v>
      </c>
      <c r="L237" s="5">
        <v>3.2209343665251404E-2</v>
      </c>
      <c r="M237" s="19">
        <f t="shared" si="50"/>
        <v>2.8654132091227211</v>
      </c>
      <c r="N237" s="5">
        <v>2.8654132091227212E-2</v>
      </c>
      <c r="O237" s="19">
        <f t="shared" si="51"/>
        <v>7.6499999999999995</v>
      </c>
      <c r="P237" s="8">
        <v>7.6499999999999999E-2</v>
      </c>
      <c r="Q237" s="19">
        <f t="shared" si="52"/>
        <v>23.208368333333301</v>
      </c>
      <c r="R237" s="12">
        <v>23208.368333333299</v>
      </c>
      <c r="S237" s="4">
        <f t="shared" si="53"/>
        <v>3.2580965380214821</v>
      </c>
      <c r="T237" s="13">
        <v>1995</v>
      </c>
      <c r="U237" s="14">
        <v>118.69</v>
      </c>
      <c r="V237" s="14">
        <v>168.78</v>
      </c>
      <c r="W237" s="4">
        <f t="shared" si="54"/>
        <v>16.320661437867813</v>
      </c>
      <c r="X237" s="18">
        <f t="shared" si="55"/>
        <v>7.1193723799239255</v>
      </c>
      <c r="Y237" s="18">
        <f t="shared" si="56"/>
        <v>3.0818650498167752</v>
      </c>
      <c r="Z237" s="18">
        <f t="shared" si="57"/>
        <v>1.3100856996795465</v>
      </c>
      <c r="AA237" s="12">
        <f t="shared" si="58"/>
        <v>1.1725027687266603</v>
      </c>
      <c r="AB237">
        <f t="shared" si="59"/>
        <v>9.2910472469113135</v>
      </c>
      <c r="AC237" s="18">
        <f t="shared" si="48"/>
        <v>0.22558022649831816</v>
      </c>
      <c r="AD237" s="18">
        <f t="shared" si="60"/>
        <v>4.2908598538236253</v>
      </c>
      <c r="AE237" s="12">
        <v>14250.472</v>
      </c>
      <c r="AF237" s="12">
        <v>11377.826999999999</v>
      </c>
      <c r="AG237" s="8">
        <f t="shared" si="61"/>
        <v>0.2524774721921858</v>
      </c>
      <c r="AH237">
        <f t="shared" si="62"/>
        <v>1.7914514170800477</v>
      </c>
      <c r="AI237">
        <f t="shared" si="63"/>
        <v>4.0612923293555667</v>
      </c>
    </row>
    <row r="238" spans="1:35" x14ac:dyDescent="0.3">
      <c r="A238" t="s">
        <v>77</v>
      </c>
      <c r="B238" s="11">
        <v>2020</v>
      </c>
      <c r="C238" s="12">
        <v>158.81299999999999</v>
      </c>
      <c r="D238" s="12">
        <v>331.75099999999998</v>
      </c>
      <c r="E238" s="12">
        <v>472.31900000000002</v>
      </c>
      <c r="F238" s="12">
        <v>382.11</v>
      </c>
      <c r="G238" s="12">
        <v>804.07</v>
      </c>
      <c r="H238" s="12">
        <v>308.83100000000002</v>
      </c>
      <c r="I238" s="12">
        <v>495.238</v>
      </c>
      <c r="J238" s="12">
        <v>283.77999999999997</v>
      </c>
      <c r="K238" s="4">
        <f t="shared" si="49"/>
        <v>3.2209343665251402</v>
      </c>
      <c r="L238" s="5">
        <v>3.2209343665251404E-2</v>
      </c>
      <c r="M238" s="19">
        <f t="shared" si="50"/>
        <v>2.8654132091227211</v>
      </c>
      <c r="N238" s="5">
        <v>2.8654132091227212E-2</v>
      </c>
      <c r="O238" s="19">
        <f t="shared" si="51"/>
        <v>7.6499999999999995</v>
      </c>
      <c r="P238" s="8">
        <v>7.6499999999999999E-2</v>
      </c>
      <c r="Q238" s="19">
        <f t="shared" si="52"/>
        <v>23.208368333333301</v>
      </c>
      <c r="R238" s="12">
        <v>23208.368333333299</v>
      </c>
      <c r="S238" s="4">
        <f t="shared" si="53"/>
        <v>2.5649493574615367</v>
      </c>
      <c r="T238" s="13">
        <v>2008</v>
      </c>
      <c r="U238" s="14">
        <v>118.69</v>
      </c>
      <c r="V238" s="14">
        <v>168.78</v>
      </c>
      <c r="W238" s="4">
        <f t="shared" si="54"/>
        <v>16.320661437867813</v>
      </c>
      <c r="X238" s="18">
        <f t="shared" si="55"/>
        <v>32.068015782310724</v>
      </c>
      <c r="Y238" s="18">
        <f t="shared" si="56"/>
        <v>19.75114106980735</v>
      </c>
      <c r="Z238" s="18">
        <f t="shared" si="57"/>
        <v>0.62360117761561107</v>
      </c>
      <c r="AA238" s="12">
        <f t="shared" si="58"/>
        <v>1.1690429205722743</v>
      </c>
      <c r="AB238">
        <f t="shared" si="59"/>
        <v>6.1662604243239452</v>
      </c>
      <c r="AC238" s="18">
        <f t="shared" si="48"/>
        <v>0.47521981916997275</v>
      </c>
      <c r="AD238" s="18">
        <f t="shared" si="60"/>
        <v>4.2908598538236253</v>
      </c>
      <c r="AE238" s="12">
        <v>1207.165</v>
      </c>
      <c r="AF238" s="12">
        <v>1525.7380000000001</v>
      </c>
      <c r="AG238" s="8">
        <f t="shared" si="61"/>
        <v>-0.2087992827077782</v>
      </c>
      <c r="AH238">
        <f t="shared" si="62"/>
        <v>25.962318567980187</v>
      </c>
      <c r="AI238">
        <f t="shared" si="63"/>
        <v>43.86411304845236</v>
      </c>
    </row>
    <row r="239" spans="1:35" x14ac:dyDescent="0.3">
      <c r="A239" t="s">
        <v>78</v>
      </c>
      <c r="B239" s="11">
        <v>2020</v>
      </c>
      <c r="C239" s="12">
        <v>73.516000000000005</v>
      </c>
      <c r="D239" s="12">
        <v>1049.7539999999999</v>
      </c>
      <c r="E239" s="12">
        <v>355.589</v>
      </c>
      <c r="F239" s="12">
        <v>62.219000000000001</v>
      </c>
      <c r="G239" s="12">
        <v>1405.3430000000001</v>
      </c>
      <c r="H239" s="12">
        <v>977.14200000000005</v>
      </c>
      <c r="I239" s="12">
        <v>428.202</v>
      </c>
      <c r="J239" s="12">
        <v>694.15</v>
      </c>
      <c r="K239" s="4">
        <f t="shared" si="49"/>
        <v>3.2209343665251402</v>
      </c>
      <c r="L239" s="5">
        <v>3.2209343665251404E-2</v>
      </c>
      <c r="M239" s="19">
        <f t="shared" si="50"/>
        <v>2.8654132091227211</v>
      </c>
      <c r="N239" s="5">
        <v>2.8654132091227212E-2</v>
      </c>
      <c r="O239" s="19">
        <f t="shared" si="51"/>
        <v>7.6499999999999995</v>
      </c>
      <c r="P239" s="8">
        <v>7.6499999999999999E-2</v>
      </c>
      <c r="Q239" s="19">
        <f t="shared" si="52"/>
        <v>23.208368333333301</v>
      </c>
      <c r="R239" s="12">
        <v>23208.368333333299</v>
      </c>
      <c r="S239" s="4">
        <f t="shared" si="53"/>
        <v>4.1108738641733114</v>
      </c>
      <c r="T239" s="13">
        <v>1960</v>
      </c>
      <c r="U239" s="14">
        <v>118.69</v>
      </c>
      <c r="V239" s="14">
        <v>168.78</v>
      </c>
      <c r="W239" s="4">
        <f t="shared" si="54"/>
        <v>16.320661437867813</v>
      </c>
      <c r="X239" s="18">
        <f t="shared" si="55"/>
        <v>17.168532608441812</v>
      </c>
      <c r="Y239" s="18">
        <f t="shared" si="56"/>
        <v>5.2311784382887314</v>
      </c>
      <c r="Z239" s="18">
        <f t="shared" si="57"/>
        <v>2.2819650538764416</v>
      </c>
      <c r="AA239" s="12">
        <f t="shared" si="58"/>
        <v>1.5122869696751422</v>
      </c>
      <c r="AB239">
        <f t="shared" si="59"/>
        <v>6.7246107743455772</v>
      </c>
      <c r="AC239" s="18">
        <f t="shared" si="48"/>
        <v>4.4273177437821228E-2</v>
      </c>
      <c r="AD239" s="18">
        <f t="shared" si="60"/>
        <v>4.2908598538236253</v>
      </c>
      <c r="AE239" s="12">
        <v>1383.921</v>
      </c>
      <c r="AF239" s="12">
        <v>929.14700000000005</v>
      </c>
      <c r="AG239" s="8">
        <f t="shared" si="61"/>
        <v>0.48945322968270893</v>
      </c>
      <c r="AH239">
        <f t="shared" si="62"/>
        <v>5.1273788246492957</v>
      </c>
      <c r="AI239">
        <f t="shared" si="63"/>
        <v>10.848118991550802</v>
      </c>
    </row>
    <row r="240" spans="1:35" x14ac:dyDescent="0.3">
      <c r="A240" t="s">
        <v>79</v>
      </c>
      <c r="B240" s="11">
        <v>2020</v>
      </c>
      <c r="C240" s="12">
        <v>40.08</v>
      </c>
      <c r="D240" s="12">
        <v>294.57799999999997</v>
      </c>
      <c r="E240" s="12">
        <v>187.833</v>
      </c>
      <c r="F240" s="12">
        <v>80.757000000000005</v>
      </c>
      <c r="G240" s="12">
        <v>482.411</v>
      </c>
      <c r="H240" s="12">
        <v>139.821</v>
      </c>
      <c r="I240" s="12">
        <v>342.59</v>
      </c>
      <c r="J240" s="12">
        <v>139.82</v>
      </c>
      <c r="K240" s="4">
        <f t="shared" si="49"/>
        <v>3.2209343665251402</v>
      </c>
      <c r="L240" s="5">
        <v>3.2209343665251404E-2</v>
      </c>
      <c r="M240" s="19">
        <f t="shared" si="50"/>
        <v>2.8654132091227211</v>
      </c>
      <c r="N240" s="5">
        <v>2.8654132091227212E-2</v>
      </c>
      <c r="O240" s="19">
        <f t="shared" si="51"/>
        <v>7.6499999999999995</v>
      </c>
      <c r="P240" s="8">
        <v>7.6499999999999999E-2</v>
      </c>
      <c r="Q240" s="19">
        <f t="shared" si="52"/>
        <v>23.208368333333301</v>
      </c>
      <c r="R240" s="12">
        <v>23208.368333333299</v>
      </c>
      <c r="S240" s="4">
        <f t="shared" si="53"/>
        <v>3.8066624897703196</v>
      </c>
      <c r="T240" s="13">
        <v>1976</v>
      </c>
      <c r="U240" s="14">
        <v>118.69</v>
      </c>
      <c r="V240" s="14">
        <v>168.78</v>
      </c>
      <c r="W240" s="4">
        <f t="shared" si="54"/>
        <v>16.320661437867813</v>
      </c>
      <c r="X240" s="18">
        <f t="shared" si="55"/>
        <v>11.699115560874516</v>
      </c>
      <c r="Y240" s="18">
        <f t="shared" si="56"/>
        <v>8.308268260881281</v>
      </c>
      <c r="Z240" s="18">
        <f t="shared" si="57"/>
        <v>0.40812925070784323</v>
      </c>
      <c r="AA240" s="12">
        <f t="shared" si="58"/>
        <v>2.1068373623229868</v>
      </c>
      <c r="AB240">
        <f t="shared" si="59"/>
        <v>5.65537054206467</v>
      </c>
      <c r="AC240" s="18">
        <f t="shared" si="48"/>
        <v>0.16740289918762219</v>
      </c>
      <c r="AD240" s="18">
        <f t="shared" si="60"/>
        <v>4.2908598538236253</v>
      </c>
      <c r="AE240" s="12">
        <v>468.279</v>
      </c>
      <c r="AF240" s="12">
        <v>669.67899999999997</v>
      </c>
      <c r="AG240" s="8">
        <f t="shared" si="61"/>
        <v>-0.30074110133362397</v>
      </c>
      <c r="AH240">
        <f t="shared" si="62"/>
        <v>15.579450216486752</v>
      </c>
      <c r="AI240">
        <f t="shared" si="63"/>
        <v>22.435938340367734</v>
      </c>
    </row>
    <row r="241" spans="1:39" x14ac:dyDescent="0.3">
      <c r="A241" t="s">
        <v>80</v>
      </c>
      <c r="B241" s="11">
        <v>2020</v>
      </c>
      <c r="C241" s="12">
        <v>144.36099999999999</v>
      </c>
      <c r="D241" s="12">
        <v>633.37199999999996</v>
      </c>
      <c r="E241" s="12">
        <v>1070.0170000000001</v>
      </c>
      <c r="F241" s="12">
        <v>913.92200000000003</v>
      </c>
      <c r="G241" s="12">
        <v>1703.3889999999999</v>
      </c>
      <c r="H241" s="12">
        <v>620.59699999999998</v>
      </c>
      <c r="I241" s="12">
        <v>1082.7919999999999</v>
      </c>
      <c r="J241" s="12">
        <v>568.58000000000004</v>
      </c>
      <c r="K241" s="4">
        <f t="shared" si="49"/>
        <v>3.2209343665251402</v>
      </c>
      <c r="L241" s="5">
        <v>3.2209343665251404E-2</v>
      </c>
      <c r="M241" s="19">
        <f t="shared" si="50"/>
        <v>2.8654132091227211</v>
      </c>
      <c r="N241" s="5">
        <v>2.8654132091227212E-2</v>
      </c>
      <c r="O241" s="19">
        <f t="shared" si="51"/>
        <v>7.6499999999999995</v>
      </c>
      <c r="P241" s="8">
        <v>7.6499999999999999E-2</v>
      </c>
      <c r="Q241" s="19">
        <f t="shared" si="52"/>
        <v>23.208368333333301</v>
      </c>
      <c r="R241" s="12">
        <v>23208.368333333299</v>
      </c>
      <c r="S241" s="4">
        <f t="shared" si="53"/>
        <v>3.044522437723423</v>
      </c>
      <c r="T241" s="13">
        <v>2000</v>
      </c>
      <c r="U241" s="14">
        <v>118.69</v>
      </c>
      <c r="V241" s="14">
        <v>168.78</v>
      </c>
      <c r="W241" s="4">
        <f t="shared" si="54"/>
        <v>16.320661437867813</v>
      </c>
      <c r="X241" s="18">
        <f t="shared" si="55"/>
        <v>13.332292813393524</v>
      </c>
      <c r="Y241" s="18">
        <f t="shared" si="56"/>
        <v>8.4749285101641494</v>
      </c>
      <c r="Z241" s="18">
        <f t="shared" si="57"/>
        <v>0.57314516546114125</v>
      </c>
      <c r="AA241" s="12">
        <f t="shared" si="58"/>
        <v>1.1139540609940553</v>
      </c>
      <c r="AB241">
        <f t="shared" si="59"/>
        <v>6.9169491692715113</v>
      </c>
      <c r="AC241" s="18">
        <f t="shared" si="48"/>
        <v>0.53653158497559872</v>
      </c>
      <c r="AD241" s="18">
        <f t="shared" si="60"/>
        <v>4.2908598538236253</v>
      </c>
      <c r="AE241" s="12">
        <v>1767.404</v>
      </c>
      <c r="AF241" s="12">
        <v>2231.826</v>
      </c>
      <c r="AG241" s="8">
        <f t="shared" si="61"/>
        <v>-0.20809059487612386</v>
      </c>
      <c r="AH241">
        <f t="shared" si="62"/>
        <v>10.352232660783971</v>
      </c>
      <c r="AI241">
        <f t="shared" si="63"/>
        <v>19.796790752640522</v>
      </c>
    </row>
    <row r="242" spans="1:39" x14ac:dyDescent="0.3">
      <c r="A242" t="s">
        <v>81</v>
      </c>
      <c r="B242" s="11">
        <v>2020</v>
      </c>
      <c r="C242" s="12">
        <v>224.88300000000001</v>
      </c>
      <c r="D242" s="12">
        <v>1987.5340000000001</v>
      </c>
      <c r="E242" s="12">
        <v>2273.0479999999998</v>
      </c>
      <c r="F242" s="12">
        <v>513.35</v>
      </c>
      <c r="G242" s="12">
        <v>4260.5820000000003</v>
      </c>
      <c r="H242" s="12">
        <v>2517.451</v>
      </c>
      <c r="I242" s="12">
        <v>1743.1310000000001</v>
      </c>
      <c r="J242" s="12">
        <v>2066.4299999999998</v>
      </c>
      <c r="K242" s="4">
        <f t="shared" si="49"/>
        <v>3.2209343665251402</v>
      </c>
      <c r="L242" s="5">
        <v>3.2209343665251404E-2</v>
      </c>
      <c r="M242" s="19">
        <f t="shared" si="50"/>
        <v>2.8654132091227211</v>
      </c>
      <c r="N242" s="5">
        <v>2.8654132091227212E-2</v>
      </c>
      <c r="O242" s="19">
        <f t="shared" si="51"/>
        <v>7.6499999999999995</v>
      </c>
      <c r="P242" s="8">
        <v>7.6499999999999999E-2</v>
      </c>
      <c r="Q242" s="19">
        <f t="shared" si="52"/>
        <v>23.208368333333301</v>
      </c>
      <c r="R242" s="12">
        <v>23208.368333333299</v>
      </c>
      <c r="S242" s="4">
        <f t="shared" si="53"/>
        <v>3.6635616461296463</v>
      </c>
      <c r="T242" s="13">
        <v>1982</v>
      </c>
      <c r="U242" s="14">
        <v>118.69</v>
      </c>
      <c r="V242" s="14">
        <v>168.78</v>
      </c>
      <c r="W242" s="4">
        <f t="shared" si="54"/>
        <v>16.320661437867813</v>
      </c>
      <c r="X242" s="18">
        <f t="shared" si="55"/>
        <v>12.901095786834151</v>
      </c>
      <c r="Y242" s="18">
        <f t="shared" si="56"/>
        <v>5.2782225526935056</v>
      </c>
      <c r="Z242" s="18">
        <f t="shared" si="57"/>
        <v>1.4442121676454609</v>
      </c>
      <c r="AA242" s="12">
        <f t="shared" si="58"/>
        <v>0.96182014391970705</v>
      </c>
      <c r="AB242">
        <f t="shared" si="59"/>
        <v>7.8337351439083731</v>
      </c>
      <c r="AC242" s="18">
        <f t="shared" si="48"/>
        <v>0.12048823376712384</v>
      </c>
      <c r="AD242" s="18">
        <f t="shared" si="60"/>
        <v>4.2908598538236253</v>
      </c>
      <c r="AE242" s="12">
        <v>16084.55</v>
      </c>
      <c r="AF242" s="12">
        <v>18274.374</v>
      </c>
      <c r="AG242" s="8">
        <f t="shared" si="61"/>
        <v>-0.11983031539137814</v>
      </c>
      <c r="AH242">
        <f t="shared" si="62"/>
        <v>4.9350713625972045</v>
      </c>
      <c r="AI242">
        <f t="shared" si="63"/>
        <v>14.229200804239026</v>
      </c>
    </row>
    <row r="243" spans="1:39" x14ac:dyDescent="0.3">
      <c r="A243" t="s">
        <v>82</v>
      </c>
      <c r="B243" s="11">
        <v>2020</v>
      </c>
      <c r="C243" s="12">
        <v>276.22800000000001</v>
      </c>
      <c r="D243" s="12">
        <v>1783.9010000000001</v>
      </c>
      <c r="E243" s="12">
        <v>1192.5219999999999</v>
      </c>
      <c r="F243" s="12">
        <v>986.31399999999996</v>
      </c>
      <c r="G243" s="12">
        <v>2976.4229999999998</v>
      </c>
      <c r="H243" s="12">
        <v>1337.6880000000001</v>
      </c>
      <c r="I243" s="12">
        <v>1638.7349999999999</v>
      </c>
      <c r="J243" s="12">
        <v>1256.93</v>
      </c>
      <c r="K243" s="4">
        <f t="shared" si="49"/>
        <v>3.2209343665251402</v>
      </c>
      <c r="L243" s="5">
        <v>3.2209343665251404E-2</v>
      </c>
      <c r="M243" s="19">
        <f t="shared" si="50"/>
        <v>2.8654132091227211</v>
      </c>
      <c r="N243" s="5">
        <v>2.8654132091227212E-2</v>
      </c>
      <c r="O243" s="19">
        <f t="shared" si="51"/>
        <v>7.6499999999999995</v>
      </c>
      <c r="P243" s="8">
        <v>7.6499999999999999E-2</v>
      </c>
      <c r="Q243" s="19">
        <f t="shared" si="52"/>
        <v>23.208368333333301</v>
      </c>
      <c r="R243" s="12">
        <v>23208.368333333299</v>
      </c>
      <c r="S243" s="4">
        <f t="shared" si="53"/>
        <v>3.8066624897703196</v>
      </c>
      <c r="T243" s="13">
        <v>1976</v>
      </c>
      <c r="U243" s="14">
        <v>118.69</v>
      </c>
      <c r="V243" s="14">
        <v>168.78</v>
      </c>
      <c r="W243" s="4">
        <f t="shared" si="54"/>
        <v>16.320661437867813</v>
      </c>
      <c r="X243" s="18">
        <f t="shared" si="55"/>
        <v>16.856172596545509</v>
      </c>
      <c r="Y243" s="18">
        <f t="shared" si="56"/>
        <v>9.2805357303044644</v>
      </c>
      <c r="Z243" s="18">
        <f t="shared" si="57"/>
        <v>0.81629305531400753</v>
      </c>
      <c r="AA243" s="12">
        <f t="shared" si="58"/>
        <v>1.4192524643377118</v>
      </c>
      <c r="AB243">
        <f t="shared" si="59"/>
        <v>7.4750516172075079</v>
      </c>
      <c r="AC243" s="18">
        <f t="shared" si="48"/>
        <v>0.33137561428600709</v>
      </c>
      <c r="AD243" s="18">
        <f t="shared" si="60"/>
        <v>4.2908598538236253</v>
      </c>
      <c r="AE243" s="12">
        <v>3470.4659999999999</v>
      </c>
      <c r="AF243" s="12">
        <v>3645.0529999999999</v>
      </c>
      <c r="AG243" s="8">
        <f t="shared" si="61"/>
        <v>-4.789697159410302E-2</v>
      </c>
      <c r="AH243">
        <f t="shared" si="62"/>
        <v>7.4191401752768327</v>
      </c>
      <c r="AI243">
        <f t="shared" si="63"/>
        <v>15.214482619747738</v>
      </c>
    </row>
    <row r="244" spans="1:39" x14ac:dyDescent="0.3">
      <c r="A244" t="s">
        <v>83</v>
      </c>
      <c r="B244" s="11">
        <v>2020</v>
      </c>
      <c r="C244" s="12">
        <v>239.845</v>
      </c>
      <c r="D244" s="12">
        <v>1701.752</v>
      </c>
      <c r="E244" s="12">
        <v>612.84699999999998</v>
      </c>
      <c r="F244" s="12">
        <v>463.58800000000002</v>
      </c>
      <c r="G244" s="12">
        <v>2314.5990000000002</v>
      </c>
      <c r="H244" s="12">
        <v>566.34</v>
      </c>
      <c r="I244" s="12">
        <v>1748.26</v>
      </c>
      <c r="J244" s="12">
        <v>499.56</v>
      </c>
      <c r="K244" s="4">
        <f t="shared" si="49"/>
        <v>3.2209343665251402</v>
      </c>
      <c r="L244" s="5">
        <v>3.2209343665251404E-2</v>
      </c>
      <c r="M244" s="19">
        <f t="shared" si="50"/>
        <v>2.8654132091227211</v>
      </c>
      <c r="N244" s="5">
        <v>2.8654132091227212E-2</v>
      </c>
      <c r="O244" s="19">
        <f t="shared" si="51"/>
        <v>7.6499999999999995</v>
      </c>
      <c r="P244" s="8">
        <v>7.6499999999999999E-2</v>
      </c>
      <c r="Q244" s="19">
        <f t="shared" si="52"/>
        <v>23.208368333333301</v>
      </c>
      <c r="R244" s="12">
        <v>23208.368333333299</v>
      </c>
      <c r="S244" s="4">
        <f t="shared" si="53"/>
        <v>3.6888794541139363</v>
      </c>
      <c r="T244" s="13">
        <v>1981</v>
      </c>
      <c r="U244" s="14">
        <v>118.69</v>
      </c>
      <c r="V244" s="14">
        <v>168.78</v>
      </c>
      <c r="W244" s="4">
        <f t="shared" si="54"/>
        <v>16.320661437867813</v>
      </c>
      <c r="X244" s="18">
        <f t="shared" si="55"/>
        <v>13.719069245993159</v>
      </c>
      <c r="Y244" s="18">
        <f t="shared" si="56"/>
        <v>10.362270095165512</v>
      </c>
      <c r="Z244" s="18">
        <f t="shared" si="57"/>
        <v>0.32394495097983139</v>
      </c>
      <c r="AA244" s="12">
        <f t="shared" si="58"/>
        <v>3.4065017215149331</v>
      </c>
      <c r="AB244">
        <f t="shared" si="59"/>
        <v>7.2235658276320613</v>
      </c>
      <c r="AC244" s="18">
        <f t="shared" si="48"/>
        <v>0.20028868931508223</v>
      </c>
      <c r="AD244" s="18">
        <f t="shared" si="60"/>
        <v>4.2908598538236253</v>
      </c>
      <c r="AE244" s="12">
        <v>2738.4009999999998</v>
      </c>
      <c r="AF244" s="12">
        <v>3298.7109999999998</v>
      </c>
      <c r="AG244" s="8">
        <f t="shared" si="61"/>
        <v>-0.16985725636468305</v>
      </c>
      <c r="AH244">
        <f t="shared" si="62"/>
        <v>14.443560853058292</v>
      </c>
      <c r="AI244">
        <f t="shared" si="63"/>
        <v>19.318733338978088</v>
      </c>
    </row>
    <row r="245" spans="1:39" x14ac:dyDescent="0.3">
      <c r="A245" t="s">
        <v>84</v>
      </c>
      <c r="B245" s="11">
        <v>2020</v>
      </c>
      <c r="C245" s="12">
        <v>1.8089999999999999</v>
      </c>
      <c r="D245" s="12">
        <v>1320.6479999999999</v>
      </c>
      <c r="E245" s="12">
        <v>385.88</v>
      </c>
      <c r="F245" s="12">
        <v>311.17500000000001</v>
      </c>
      <c r="G245" s="12">
        <v>1706.528</v>
      </c>
      <c r="H245" s="12">
        <v>1289.2329999999999</v>
      </c>
      <c r="I245" s="12">
        <v>417.29500000000002</v>
      </c>
      <c r="J245" s="12">
        <v>1218.33</v>
      </c>
      <c r="K245" s="4">
        <f t="shared" si="49"/>
        <v>3.2209343665251402</v>
      </c>
      <c r="L245" s="5">
        <v>3.2209343665251404E-2</v>
      </c>
      <c r="M245" s="19">
        <f t="shared" si="50"/>
        <v>2.8654132091227211</v>
      </c>
      <c r="N245" s="5">
        <v>2.8654132091227212E-2</v>
      </c>
      <c r="O245" s="19">
        <f t="shared" si="51"/>
        <v>7.6499999999999995</v>
      </c>
      <c r="P245" s="8">
        <v>7.6499999999999999E-2</v>
      </c>
      <c r="Q245" s="19">
        <f t="shared" si="52"/>
        <v>23.208368333333301</v>
      </c>
      <c r="R245" s="12">
        <v>23208.368333333299</v>
      </c>
      <c r="S245" s="4">
        <f t="shared" si="53"/>
        <v>3.8066624897703196</v>
      </c>
      <c r="T245" s="13">
        <v>1976</v>
      </c>
      <c r="U245" s="14">
        <v>118.69</v>
      </c>
      <c r="V245" s="14">
        <v>168.78</v>
      </c>
      <c r="W245" s="4">
        <f t="shared" si="54"/>
        <v>16.320661437867813</v>
      </c>
      <c r="X245" s="18">
        <f t="shared" si="55"/>
        <v>0.43350627254100815</v>
      </c>
      <c r="Y245" s="18">
        <f t="shared" si="56"/>
        <v>0.10600470663241389</v>
      </c>
      <c r="Z245" s="18">
        <f t="shared" si="57"/>
        <v>3.0895002336476591</v>
      </c>
      <c r="AA245" s="12">
        <f t="shared" si="58"/>
        <v>1.0839821723178449</v>
      </c>
      <c r="AB245">
        <f t="shared" si="59"/>
        <v>6.9187902703227548</v>
      </c>
      <c r="AC245" s="18">
        <f t="shared" si="48"/>
        <v>0.18234391700575672</v>
      </c>
      <c r="AD245" s="18">
        <f t="shared" si="60"/>
        <v>4.2908598538236253</v>
      </c>
      <c r="AE245" s="12">
        <v>1779.915</v>
      </c>
      <c r="AF245" s="12">
        <v>1352.799</v>
      </c>
      <c r="AG245" s="8">
        <f t="shared" si="61"/>
        <v>0.31572761363661561</v>
      </c>
      <c r="AH245">
        <f t="shared" si="62"/>
        <v>0.24455749553006739</v>
      </c>
      <c r="AI245">
        <f t="shared" si="63"/>
        <v>0.93598939372429935</v>
      </c>
    </row>
    <row r="246" spans="1:39" x14ac:dyDescent="0.3">
      <c r="A246" t="s">
        <v>85</v>
      </c>
      <c r="B246" s="11">
        <v>2020</v>
      </c>
      <c r="C246" s="12">
        <v>75.527000000000001</v>
      </c>
      <c r="D246" s="12">
        <v>1013.96</v>
      </c>
      <c r="E246" s="12">
        <v>600.04200000000003</v>
      </c>
      <c r="F246" s="12">
        <v>482.72</v>
      </c>
      <c r="G246" s="12">
        <v>1614.002</v>
      </c>
      <c r="H246" s="12">
        <v>1021.4109999999999</v>
      </c>
      <c r="I246" s="12">
        <v>592.59100000000001</v>
      </c>
      <c r="J246" s="12">
        <v>957.35</v>
      </c>
      <c r="K246" s="4">
        <f t="shared" si="49"/>
        <v>3.2209343665251402</v>
      </c>
      <c r="L246" s="5">
        <v>3.2209343665251404E-2</v>
      </c>
      <c r="M246" s="19">
        <f t="shared" si="50"/>
        <v>2.8654132091227211</v>
      </c>
      <c r="N246" s="5">
        <v>2.8654132091227212E-2</v>
      </c>
      <c r="O246" s="19">
        <f t="shared" si="51"/>
        <v>7.6499999999999995</v>
      </c>
      <c r="P246" s="8">
        <v>7.6499999999999999E-2</v>
      </c>
      <c r="Q246" s="19">
        <f t="shared" si="52"/>
        <v>23.208368333333301</v>
      </c>
      <c r="R246" s="12">
        <v>23208.368333333299</v>
      </c>
      <c r="S246" s="4">
        <f t="shared" si="53"/>
        <v>4.1108738641733114</v>
      </c>
      <c r="T246" s="13">
        <v>1960</v>
      </c>
      <c r="U246" s="14">
        <v>118.69</v>
      </c>
      <c r="V246" s="14">
        <v>168.78</v>
      </c>
      <c r="W246" s="4">
        <f t="shared" si="54"/>
        <v>16.320661437867813</v>
      </c>
      <c r="X246" s="18">
        <f t="shared" si="55"/>
        <v>12.745215502766664</v>
      </c>
      <c r="Y246" s="18">
        <f t="shared" si="56"/>
        <v>4.6794861468573155</v>
      </c>
      <c r="Z246" s="18">
        <f t="shared" si="57"/>
        <v>1.7236356947709295</v>
      </c>
      <c r="AA246" s="12">
        <f t="shared" si="58"/>
        <v>1.0591319789000888</v>
      </c>
      <c r="AB246">
        <f t="shared" si="59"/>
        <v>6.8630461822447701</v>
      </c>
      <c r="AC246" s="18">
        <f t="shared" si="48"/>
        <v>0.2990826529335156</v>
      </c>
      <c r="AD246" s="18">
        <f t="shared" si="60"/>
        <v>4.2908598538236253</v>
      </c>
      <c r="AE246" s="12">
        <v>1861.903</v>
      </c>
      <c r="AF246" s="12">
        <v>2159.4659999999999</v>
      </c>
      <c r="AG246" s="8">
        <f t="shared" si="61"/>
        <v>-0.13779471406356936</v>
      </c>
      <c r="AH246">
        <f t="shared" si="62"/>
        <v>5.5056568957114269</v>
      </c>
      <c r="AI246">
        <f t="shared" si="63"/>
        <v>15.332269161495192</v>
      </c>
    </row>
    <row r="247" spans="1:39" x14ac:dyDescent="0.3">
      <c r="A247" t="s">
        <v>86</v>
      </c>
      <c r="B247" s="11">
        <v>2020</v>
      </c>
      <c r="C247" s="12">
        <v>720.84400000000005</v>
      </c>
      <c r="D247" s="12">
        <v>1619.3820000000001</v>
      </c>
      <c r="E247" s="12">
        <v>512.39700000000005</v>
      </c>
      <c r="F247" s="12">
        <v>465.66699999999997</v>
      </c>
      <c r="G247" s="12">
        <v>2131.779</v>
      </c>
      <c r="H247" s="12">
        <v>633.34299999999996</v>
      </c>
      <c r="I247" s="12">
        <v>1498.4369999999999</v>
      </c>
      <c r="J247" s="12">
        <v>628.12</v>
      </c>
      <c r="K247" s="4">
        <f t="shared" si="49"/>
        <v>3.2209343665251402</v>
      </c>
      <c r="L247" s="5">
        <v>3.2209343665251404E-2</v>
      </c>
      <c r="M247" s="19">
        <f t="shared" si="50"/>
        <v>2.8654132091227211</v>
      </c>
      <c r="N247" s="5">
        <v>2.8654132091227212E-2</v>
      </c>
      <c r="O247" s="19">
        <f t="shared" si="51"/>
        <v>7.6499999999999995</v>
      </c>
      <c r="P247" s="8">
        <v>7.6499999999999999E-2</v>
      </c>
      <c r="Q247" s="19">
        <f t="shared" si="52"/>
        <v>23.208368333333301</v>
      </c>
      <c r="R247" s="12">
        <v>23208.368333333299</v>
      </c>
      <c r="S247" s="4">
        <f t="shared" si="53"/>
        <v>3.9512437185814275</v>
      </c>
      <c r="T247" s="13">
        <v>1969</v>
      </c>
      <c r="U247" s="14">
        <v>118.69</v>
      </c>
      <c r="V247" s="14">
        <v>168.78</v>
      </c>
      <c r="W247" s="4">
        <f t="shared" si="54"/>
        <v>16.320661437867813</v>
      </c>
      <c r="X247" s="18">
        <f t="shared" si="55"/>
        <v>48.106393528723601</v>
      </c>
      <c r="Y247" s="18">
        <f t="shared" si="56"/>
        <v>33.814199314281637</v>
      </c>
      <c r="Z247" s="18">
        <f t="shared" si="57"/>
        <v>0.42266908785621282</v>
      </c>
      <c r="AA247" s="12">
        <f t="shared" si="58"/>
        <v>2.5781411195313</v>
      </c>
      <c r="AB247">
        <f t="shared" si="59"/>
        <v>7.1412862156345032</v>
      </c>
      <c r="AC247" s="18">
        <f t="shared" si="48"/>
        <v>0.21844056067725592</v>
      </c>
      <c r="AD247" s="18">
        <f t="shared" si="60"/>
        <v>4.2908598538236253</v>
      </c>
      <c r="AE247" s="12">
        <v>2902.4549999999999</v>
      </c>
      <c r="AF247" s="12">
        <v>3102.8290000000002</v>
      </c>
      <c r="AG247" s="8">
        <f t="shared" si="61"/>
        <v>-6.4577841705102099E-2</v>
      </c>
      <c r="AH247">
        <f t="shared" si="62"/>
        <v>30.457339117047404</v>
      </c>
      <c r="AI247">
        <f t="shared" si="63"/>
        <v>47.00018237659588</v>
      </c>
    </row>
    <row r="248" spans="1:39" x14ac:dyDescent="0.3">
      <c r="A248" t="s">
        <v>87</v>
      </c>
      <c r="B248" s="11">
        <v>2020</v>
      </c>
      <c r="C248" s="12">
        <v>719.29899999999998</v>
      </c>
      <c r="D248" s="12">
        <v>4735.4809999999998</v>
      </c>
      <c r="E248" s="12">
        <v>2466.3820000000001</v>
      </c>
      <c r="F248" s="12">
        <v>1808.481</v>
      </c>
      <c r="G248" s="12">
        <v>7201.8620000000001</v>
      </c>
      <c r="H248" s="12">
        <v>2026.1310000000001</v>
      </c>
      <c r="I248" s="12">
        <v>5175.7309999999998</v>
      </c>
      <c r="J248" s="12">
        <v>1941</v>
      </c>
      <c r="K248" s="4">
        <f t="shared" si="49"/>
        <v>3.2209343665251402</v>
      </c>
      <c r="L248" s="5">
        <v>3.2209343665251404E-2</v>
      </c>
      <c r="M248" s="19">
        <f t="shared" si="50"/>
        <v>2.8654132091227211</v>
      </c>
      <c r="N248" s="5">
        <v>2.8654132091227212E-2</v>
      </c>
      <c r="O248" s="19">
        <f t="shared" si="51"/>
        <v>7.6499999999999995</v>
      </c>
      <c r="P248" s="8">
        <v>7.6499999999999999E-2</v>
      </c>
      <c r="Q248" s="19">
        <f t="shared" si="52"/>
        <v>23.208368333333301</v>
      </c>
      <c r="R248" s="12">
        <v>23208.368333333299</v>
      </c>
      <c r="S248" s="4">
        <f t="shared" si="53"/>
        <v>3.1780538303479458</v>
      </c>
      <c r="T248" s="13">
        <v>1997</v>
      </c>
      <c r="U248" s="14">
        <v>118.69</v>
      </c>
      <c r="V248" s="14">
        <v>168.78</v>
      </c>
      <c r="W248" s="4">
        <f t="shared" si="54"/>
        <v>16.320661437867813</v>
      </c>
      <c r="X248" s="18">
        <f t="shared" si="55"/>
        <v>13.897534473874318</v>
      </c>
      <c r="Y248" s="18">
        <f t="shared" si="56"/>
        <v>9.9876809636174642</v>
      </c>
      <c r="Z248" s="18">
        <f t="shared" si="57"/>
        <v>0.39146760138809383</v>
      </c>
      <c r="AA248" s="12">
        <f t="shared" si="58"/>
        <v>2.4397120041215867</v>
      </c>
      <c r="AB248">
        <f t="shared" si="59"/>
        <v>8.3586689769394393</v>
      </c>
      <c r="AC248" s="18">
        <f t="shared" si="48"/>
        <v>0.25111297606091315</v>
      </c>
      <c r="AD248" s="18">
        <f t="shared" si="60"/>
        <v>4.2908598538236253</v>
      </c>
      <c r="AE248" s="12">
        <v>7165.4059999999999</v>
      </c>
      <c r="AF248" s="12">
        <v>7895.0169999999998</v>
      </c>
      <c r="AG248" s="8">
        <f t="shared" si="61"/>
        <v>-9.2414113864479314E-2</v>
      </c>
      <c r="AH248">
        <f t="shared" si="62"/>
        <v>17.831959704882362</v>
      </c>
      <c r="AI248">
        <f t="shared" si="63"/>
        <v>24.175831611061906</v>
      </c>
    </row>
    <row r="249" spans="1:39" x14ac:dyDescent="0.3">
      <c r="A249" t="s">
        <v>88</v>
      </c>
      <c r="B249" s="11">
        <v>2020</v>
      </c>
      <c r="C249" s="12">
        <v>11235.732</v>
      </c>
      <c r="D249" s="12">
        <v>29665.725999999999</v>
      </c>
      <c r="E249" s="12">
        <v>18766.755000000001</v>
      </c>
      <c r="F249" s="12">
        <v>13853.808000000001</v>
      </c>
      <c r="G249" s="12">
        <v>48432.481</v>
      </c>
      <c r="H249" s="12">
        <v>14785.358</v>
      </c>
      <c r="I249" s="12">
        <v>33647.122000000003</v>
      </c>
      <c r="J249" s="12">
        <v>14212.65</v>
      </c>
      <c r="K249" s="4">
        <f t="shared" si="49"/>
        <v>3.2209343665251402</v>
      </c>
      <c r="L249" s="5">
        <v>3.2209343665251404E-2</v>
      </c>
      <c r="M249" s="19">
        <f t="shared" si="50"/>
        <v>2.8654132091227211</v>
      </c>
      <c r="N249" s="5">
        <v>2.8654132091227212E-2</v>
      </c>
      <c r="O249" s="19">
        <f t="shared" si="51"/>
        <v>7.6499999999999995</v>
      </c>
      <c r="P249" s="8">
        <v>7.6499999999999999E-2</v>
      </c>
      <c r="Q249" s="19">
        <f t="shared" si="52"/>
        <v>23.208368333333301</v>
      </c>
      <c r="R249" s="12">
        <v>23208.368333333299</v>
      </c>
      <c r="S249" s="4">
        <f t="shared" si="53"/>
        <v>3.8066624897703196</v>
      </c>
      <c r="T249" s="13">
        <v>1976</v>
      </c>
      <c r="U249" s="14">
        <v>118.69</v>
      </c>
      <c r="V249" s="14">
        <v>168.78</v>
      </c>
      <c r="W249" s="4">
        <f t="shared" si="54"/>
        <v>16.320661437867813</v>
      </c>
      <c r="X249" s="18">
        <f t="shared" si="55"/>
        <v>33.392847091052836</v>
      </c>
      <c r="Y249" s="18">
        <f t="shared" si="56"/>
        <v>23.198753745446162</v>
      </c>
      <c r="Z249" s="18">
        <f t="shared" si="57"/>
        <v>0.43942415045185734</v>
      </c>
      <c r="AA249" s="12">
        <f t="shared" si="58"/>
        <v>2.0872761940946973</v>
      </c>
      <c r="AB249">
        <f t="shared" si="59"/>
        <v>10.264500056920735</v>
      </c>
      <c r="AC249" s="18">
        <f t="shared" si="48"/>
        <v>0.28604373994386123</v>
      </c>
      <c r="AD249" s="18">
        <f t="shared" si="60"/>
        <v>4.2908598538236253</v>
      </c>
      <c r="AE249" s="12">
        <v>59722.908000000003</v>
      </c>
      <c r="AF249" s="12">
        <v>56400.23</v>
      </c>
      <c r="AG249" s="8">
        <f t="shared" si="61"/>
        <v>5.8912490250483014E-2</v>
      </c>
      <c r="AH249">
        <f t="shared" si="62"/>
        <v>23.611548068604133</v>
      </c>
      <c r="AI249">
        <f t="shared" si="63"/>
        <v>35.499113643201404</v>
      </c>
    </row>
    <row r="250" spans="1:39" s="2" customFormat="1" x14ac:dyDescent="0.3">
      <c r="A250" s="2" t="s">
        <v>27</v>
      </c>
      <c r="B250" s="2">
        <v>2019</v>
      </c>
      <c r="C250" s="2">
        <v>8.3089999999999993</v>
      </c>
      <c r="D250" s="2">
        <v>185.709</v>
      </c>
      <c r="E250" s="2">
        <v>41.798999999999999</v>
      </c>
      <c r="F250" s="2">
        <v>30.504999999999999</v>
      </c>
      <c r="G250" s="2">
        <v>227.50800000000001</v>
      </c>
      <c r="H250" s="2">
        <v>16.093</v>
      </c>
      <c r="I250" s="2">
        <v>211.41499999999999</v>
      </c>
      <c r="J250" s="2">
        <v>15.02</v>
      </c>
      <c r="K250" s="4">
        <f t="shared" si="49"/>
        <v>2.7958236745225</v>
      </c>
      <c r="L250" s="5">
        <v>2.7958236745225001E-2</v>
      </c>
      <c r="M250" s="19">
        <f t="shared" si="50"/>
        <v>7.3592627010500564</v>
      </c>
      <c r="N250" s="5">
        <v>7.3592627010500566E-2</v>
      </c>
      <c r="O250" s="19">
        <f t="shared" si="51"/>
        <v>7.71</v>
      </c>
      <c r="P250" s="5">
        <v>7.7100000000000002E-2</v>
      </c>
      <c r="Q250" s="19">
        <f t="shared" si="52"/>
        <v>23.0502416666667</v>
      </c>
      <c r="R250" s="2">
        <v>23050.241666666701</v>
      </c>
      <c r="S250" s="4">
        <f t="shared" si="53"/>
        <v>3.713572066704308</v>
      </c>
      <c r="T250" s="20">
        <v>1979</v>
      </c>
      <c r="U250" s="20">
        <v>117.24</v>
      </c>
      <c r="V250" s="20">
        <v>163.52000000000001</v>
      </c>
      <c r="W250" s="4">
        <f t="shared" si="54"/>
        <v>16.526481977739749</v>
      </c>
      <c r="X250" s="19">
        <f t="shared" si="55"/>
        <v>3.9301847078021894</v>
      </c>
      <c r="Y250" s="19">
        <f t="shared" si="56"/>
        <v>3.6521792640258801</v>
      </c>
      <c r="Z250" s="19">
        <f t="shared" si="57"/>
        <v>7.612042664900788E-2</v>
      </c>
      <c r="AA250" s="4">
        <f t="shared" si="58"/>
        <v>12.36411451398136</v>
      </c>
      <c r="AB250" s="2">
        <f t="shared" si="59"/>
        <v>4.9354202815806536</v>
      </c>
      <c r="AC250" s="19">
        <f t="shared" si="48"/>
        <v>0.13408319707438859</v>
      </c>
      <c r="AD250" s="19">
        <f t="shared" si="60"/>
        <v>4.7805213770522714</v>
      </c>
      <c r="AE250" s="4">
        <v>225.54300000000001</v>
      </c>
      <c r="AF250" s="4">
        <v>219.917</v>
      </c>
      <c r="AG250" s="5">
        <f t="shared" si="61"/>
        <v>2.5582378806549764E-2</v>
      </c>
      <c r="AH250" s="21">
        <f>100*AK250/AL250</f>
        <v>4.1716132006140221</v>
      </c>
      <c r="AI250" s="21">
        <f>100*AK250/AM250</f>
        <v>4.5318619230060611</v>
      </c>
      <c r="AJ250" s="21" t="s">
        <v>27</v>
      </c>
      <c r="AK250" s="21">
        <v>9593</v>
      </c>
      <c r="AL250" s="21">
        <v>229959</v>
      </c>
      <c r="AM250" s="21">
        <v>211679</v>
      </c>
    </row>
    <row r="251" spans="1:39" x14ac:dyDescent="0.3">
      <c r="A251" t="s">
        <v>28</v>
      </c>
      <c r="B251">
        <v>2019</v>
      </c>
      <c r="C251">
        <v>21.146999999999998</v>
      </c>
      <c r="D251">
        <v>149.167</v>
      </c>
      <c r="E251">
        <v>451.71300000000002</v>
      </c>
      <c r="F251">
        <v>342.94299999999998</v>
      </c>
      <c r="G251">
        <v>600.88</v>
      </c>
      <c r="H251">
        <v>189.98500000000001</v>
      </c>
      <c r="I251">
        <v>410.89499999999998</v>
      </c>
      <c r="J251">
        <v>71.34</v>
      </c>
      <c r="K251" s="4">
        <f t="shared" si="49"/>
        <v>2.7958236745225</v>
      </c>
      <c r="L251" s="5">
        <v>2.7958236745225001E-2</v>
      </c>
      <c r="M251" s="19">
        <f t="shared" si="50"/>
        <v>7.3592627010500564</v>
      </c>
      <c r="N251" s="5">
        <v>7.3592627010500566E-2</v>
      </c>
      <c r="O251" s="19">
        <f t="shared" si="51"/>
        <v>7.71</v>
      </c>
      <c r="P251" s="8">
        <v>7.7100000000000002E-2</v>
      </c>
      <c r="Q251" s="19">
        <f t="shared" si="52"/>
        <v>23.0502416666667</v>
      </c>
      <c r="R251">
        <v>23050.241666666701</v>
      </c>
      <c r="S251" s="4">
        <f t="shared" si="53"/>
        <v>3.2188758248682006</v>
      </c>
      <c r="T251" s="15">
        <v>1995</v>
      </c>
      <c r="U251" s="15">
        <v>117.24</v>
      </c>
      <c r="V251" s="15">
        <v>163.52000000000001</v>
      </c>
      <c r="W251" s="4">
        <f t="shared" si="54"/>
        <v>16.526481977739749</v>
      </c>
      <c r="X251" s="18">
        <f t="shared" si="55"/>
        <v>5.146570291680356</v>
      </c>
      <c r="Y251" s="18">
        <f t="shared" si="56"/>
        <v>3.5193383038210624</v>
      </c>
      <c r="Z251" s="18">
        <f t="shared" si="57"/>
        <v>0.46236873167110826</v>
      </c>
      <c r="AA251" s="12">
        <f t="shared" si="58"/>
        <v>2.0909307541351274</v>
      </c>
      <c r="AB251">
        <f t="shared" si="59"/>
        <v>5.9066301263505077</v>
      </c>
      <c r="AC251" s="18">
        <f t="shared" si="48"/>
        <v>0.57073458926907206</v>
      </c>
      <c r="AD251" s="18">
        <f t="shared" si="60"/>
        <v>4.7805213770522714</v>
      </c>
      <c r="AE251" s="12">
        <v>296.39600000000002</v>
      </c>
      <c r="AF251" s="12">
        <v>295.58499999999998</v>
      </c>
      <c r="AG251" s="8">
        <f t="shared" si="61"/>
        <v>2.7437116227143985E-3</v>
      </c>
      <c r="AH251" s="21">
        <f t="shared" ref="AH251:AH311" si="64">100*AK251/AL251</f>
        <v>4.0438604623722068</v>
      </c>
      <c r="AI251" s="21">
        <f t="shared" ref="AI251:AI311" si="65">100*AK251/AM251</f>
        <v>6.1552592957500742</v>
      </c>
      <c r="AJ251" t="s">
        <v>28</v>
      </c>
      <c r="AK251">
        <v>23990</v>
      </c>
      <c r="AL251">
        <v>593245</v>
      </c>
      <c r="AM251">
        <v>389748</v>
      </c>
    </row>
    <row r="252" spans="1:39" x14ac:dyDescent="0.3">
      <c r="A252" t="s">
        <v>29</v>
      </c>
      <c r="B252">
        <v>2019</v>
      </c>
      <c r="C252">
        <v>33.021000000000001</v>
      </c>
      <c r="D252">
        <v>356.74</v>
      </c>
      <c r="E252">
        <v>306.61</v>
      </c>
      <c r="F252">
        <v>16.309999999999999</v>
      </c>
      <c r="G252">
        <v>663.35</v>
      </c>
      <c r="H252">
        <v>259.923</v>
      </c>
      <c r="I252">
        <v>403.428</v>
      </c>
      <c r="J252">
        <v>259.39999999999998</v>
      </c>
      <c r="K252" s="4">
        <f t="shared" si="49"/>
        <v>2.7958236745225</v>
      </c>
      <c r="L252" s="5">
        <v>2.7958236745225001E-2</v>
      </c>
      <c r="M252" s="19">
        <f t="shared" si="50"/>
        <v>7.3592627010500564</v>
      </c>
      <c r="N252" s="5">
        <v>7.3592627010500566E-2</v>
      </c>
      <c r="O252" s="19">
        <f t="shared" si="51"/>
        <v>7.71</v>
      </c>
      <c r="P252" s="8">
        <v>7.7100000000000002E-2</v>
      </c>
      <c r="Q252" s="19">
        <f t="shared" si="52"/>
        <v>23.0502416666667</v>
      </c>
      <c r="R252">
        <v>23050.241666666701</v>
      </c>
      <c r="S252" s="4">
        <f t="shared" si="53"/>
        <v>3.8066624897703196</v>
      </c>
      <c r="T252" s="15">
        <v>1975</v>
      </c>
      <c r="U252" s="15">
        <v>117.24</v>
      </c>
      <c r="V252" s="15">
        <v>163.52000000000001</v>
      </c>
      <c r="W252" s="4">
        <f t="shared" si="54"/>
        <v>16.526481977739749</v>
      </c>
      <c r="X252" s="18">
        <f t="shared" si="55"/>
        <v>8.1851036616199178</v>
      </c>
      <c r="Y252" s="18">
        <f t="shared" si="56"/>
        <v>4.9779151277606095</v>
      </c>
      <c r="Z252" s="18">
        <f t="shared" si="57"/>
        <v>0.6442859692435825</v>
      </c>
      <c r="AA252" s="12">
        <f t="shared" si="58"/>
        <v>1.3752505782575175</v>
      </c>
      <c r="AB252">
        <f t="shared" si="59"/>
        <v>6.0055376333356776</v>
      </c>
      <c r="AC252" s="18">
        <f t="shared" si="48"/>
        <v>2.4587321926584756E-2</v>
      </c>
      <c r="AD252" s="18">
        <f t="shared" si="60"/>
        <v>4.7805213770522714</v>
      </c>
      <c r="AE252" s="12">
        <v>790.96400000000006</v>
      </c>
      <c r="AF252" s="12">
        <v>472.41399999999999</v>
      </c>
      <c r="AG252" s="8">
        <f t="shared" si="61"/>
        <v>0.67430262439301136</v>
      </c>
      <c r="AH252" s="21">
        <f t="shared" si="64"/>
        <v>5.0931961553894984</v>
      </c>
      <c r="AI252" s="21">
        <f t="shared" si="65"/>
        <v>7.9850311041990665</v>
      </c>
      <c r="AJ252" t="s">
        <v>29</v>
      </c>
      <c r="AK252">
        <v>29574</v>
      </c>
      <c r="AL252">
        <v>580657</v>
      </c>
      <c r="AM252">
        <v>370368</v>
      </c>
    </row>
    <row r="253" spans="1:39" x14ac:dyDescent="0.3">
      <c r="A253" t="s">
        <v>30</v>
      </c>
      <c r="B253">
        <v>2019</v>
      </c>
      <c r="C253">
        <v>48.695</v>
      </c>
      <c r="D253">
        <v>258.52999999999997</v>
      </c>
      <c r="E253">
        <v>279.93099999999998</v>
      </c>
      <c r="F253">
        <v>54.286000000000001</v>
      </c>
      <c r="G253">
        <v>538.46199999999999</v>
      </c>
      <c r="H253">
        <v>125.32</v>
      </c>
      <c r="I253">
        <v>413.142</v>
      </c>
      <c r="J253">
        <v>120.18</v>
      </c>
      <c r="K253" s="4">
        <f t="shared" si="49"/>
        <v>2.7958236745225</v>
      </c>
      <c r="L253" s="5">
        <v>2.7958236745225001E-2</v>
      </c>
      <c r="M253" s="19">
        <f t="shared" si="50"/>
        <v>7.3592627010500564</v>
      </c>
      <c r="N253" s="5">
        <v>7.3592627010500566E-2</v>
      </c>
      <c r="O253" s="19">
        <f t="shared" si="51"/>
        <v>7.71</v>
      </c>
      <c r="P253" s="8">
        <v>7.7100000000000002E-2</v>
      </c>
      <c r="Q253" s="19">
        <f t="shared" si="52"/>
        <v>23.0502416666667</v>
      </c>
      <c r="R253">
        <v>23050.241666666701</v>
      </c>
      <c r="S253" s="4">
        <f t="shared" si="53"/>
        <v>3.7612001156935624</v>
      </c>
      <c r="T253" s="15">
        <v>1977</v>
      </c>
      <c r="U253" s="15">
        <v>117.24</v>
      </c>
      <c r="V253" s="15">
        <v>163.52000000000001</v>
      </c>
      <c r="W253" s="4">
        <f t="shared" si="54"/>
        <v>16.526481977739749</v>
      </c>
      <c r="X253" s="18">
        <f t="shared" si="55"/>
        <v>11.786504398003592</v>
      </c>
      <c r="Y253" s="18">
        <f t="shared" si="56"/>
        <v>9.0433493914148073</v>
      </c>
      <c r="Z253" s="18">
        <f t="shared" si="57"/>
        <v>0.30333396265690732</v>
      </c>
      <c r="AA253" s="12">
        <f t="shared" si="58"/>
        <v>2.1511898818439006</v>
      </c>
      <c r="AB253">
        <f t="shared" si="59"/>
        <v>5.7969518066911547</v>
      </c>
      <c r="AC253" s="18">
        <f t="shared" si="48"/>
        <v>0.10081677072848223</v>
      </c>
      <c r="AD253" s="18">
        <f t="shared" si="60"/>
        <v>4.7805213770522714</v>
      </c>
      <c r="AE253" s="12">
        <v>361.15</v>
      </c>
      <c r="AF253" s="12">
        <v>397.68400000000003</v>
      </c>
      <c r="AG253" s="8">
        <f t="shared" si="61"/>
        <v>-9.186690940545772E-2</v>
      </c>
      <c r="AH253" s="21">
        <f t="shared" si="64"/>
        <v>12.460017365487493</v>
      </c>
      <c r="AI253" s="21">
        <f t="shared" si="65"/>
        <v>15.90004717902773</v>
      </c>
      <c r="AJ253" t="s">
        <v>30</v>
      </c>
      <c r="AK253">
        <v>66729</v>
      </c>
      <c r="AL253">
        <v>535545</v>
      </c>
      <c r="AM253">
        <v>419678</v>
      </c>
    </row>
    <row r="254" spans="1:39" x14ac:dyDescent="0.3">
      <c r="A254" t="s">
        <v>31</v>
      </c>
      <c r="B254">
        <v>2019</v>
      </c>
      <c r="C254">
        <v>141.71299999999999</v>
      </c>
      <c r="D254">
        <v>1100.644</v>
      </c>
      <c r="E254">
        <v>360.54399999999998</v>
      </c>
      <c r="F254">
        <v>344.91199999999998</v>
      </c>
      <c r="G254">
        <v>1461.1880000000001</v>
      </c>
      <c r="H254">
        <v>794.91200000000003</v>
      </c>
      <c r="I254">
        <v>666.27599999999995</v>
      </c>
      <c r="J254">
        <v>794.91</v>
      </c>
      <c r="K254" s="4">
        <f t="shared" si="49"/>
        <v>2.7958236745225</v>
      </c>
      <c r="L254" s="5">
        <v>2.7958236745225001E-2</v>
      </c>
      <c r="M254" s="19">
        <f t="shared" si="50"/>
        <v>7.3592627010500564</v>
      </c>
      <c r="N254" s="5">
        <v>7.3592627010500566E-2</v>
      </c>
      <c r="O254" s="19">
        <f t="shared" si="51"/>
        <v>7.71</v>
      </c>
      <c r="P254" s="8">
        <v>7.7100000000000002E-2</v>
      </c>
      <c r="Q254" s="19">
        <f t="shared" si="52"/>
        <v>23.0502416666667</v>
      </c>
      <c r="R254">
        <v>23050.241666666701</v>
      </c>
      <c r="S254" s="4">
        <f t="shared" si="53"/>
        <v>2.8332133440562162</v>
      </c>
      <c r="T254" s="15">
        <v>2003</v>
      </c>
      <c r="U254" s="15">
        <v>117.24</v>
      </c>
      <c r="V254" s="15">
        <v>163.52000000000001</v>
      </c>
      <c r="W254" s="4">
        <f t="shared" si="54"/>
        <v>16.526481977739749</v>
      </c>
      <c r="X254" s="18">
        <f t="shared" si="55"/>
        <v>21.269413876531647</v>
      </c>
      <c r="Y254" s="18">
        <f t="shared" si="56"/>
        <v>9.6984782245679533</v>
      </c>
      <c r="Z254" s="18">
        <f t="shared" si="57"/>
        <v>1.1930671373424828</v>
      </c>
      <c r="AA254" s="12">
        <f t="shared" si="58"/>
        <v>1.3846146104590458</v>
      </c>
      <c r="AB254">
        <f t="shared" si="59"/>
        <v>6.7952399614320154</v>
      </c>
      <c r="AC254" s="18">
        <f t="shared" si="48"/>
        <v>0.23604902312365003</v>
      </c>
      <c r="AD254" s="18">
        <f t="shared" si="60"/>
        <v>4.7805213770522714</v>
      </c>
      <c r="AE254" s="12">
        <v>1423.6659999999999</v>
      </c>
      <c r="AF254" s="12">
        <v>1693.5250000000001</v>
      </c>
      <c r="AG254" s="8">
        <f t="shared" si="61"/>
        <v>-0.15934751479901396</v>
      </c>
      <c r="AH254" s="21">
        <f t="shared" si="64"/>
        <v>17.150794489711757</v>
      </c>
      <c r="AI254" s="21">
        <f t="shared" si="65"/>
        <v>41.233939970971591</v>
      </c>
      <c r="AJ254" t="s">
        <v>31</v>
      </c>
      <c r="AK254">
        <v>230400</v>
      </c>
      <c r="AL254">
        <v>1343378</v>
      </c>
      <c r="AM254">
        <v>558763</v>
      </c>
    </row>
    <row r="255" spans="1:39" x14ac:dyDescent="0.3">
      <c r="A255" t="s">
        <v>32</v>
      </c>
      <c r="B255">
        <v>2019</v>
      </c>
      <c r="C255">
        <v>8.282</v>
      </c>
      <c r="D255">
        <v>1360.9110000000001</v>
      </c>
      <c r="E255">
        <v>372.572</v>
      </c>
      <c r="F255">
        <v>331.05799999999999</v>
      </c>
      <c r="G255">
        <v>1733.4829999999999</v>
      </c>
      <c r="H255">
        <v>1330.375</v>
      </c>
      <c r="I255">
        <v>403.108</v>
      </c>
      <c r="J255">
        <v>1217.1400000000001</v>
      </c>
      <c r="K255" s="4">
        <f t="shared" si="49"/>
        <v>2.7958236745225</v>
      </c>
      <c r="L255" s="5">
        <v>2.7958236745225001E-2</v>
      </c>
      <c r="M255" s="19">
        <f t="shared" si="50"/>
        <v>7.3592627010500564</v>
      </c>
      <c r="N255" s="5">
        <v>7.3592627010500566E-2</v>
      </c>
      <c r="O255" s="19">
        <f t="shared" si="51"/>
        <v>7.71</v>
      </c>
      <c r="P255" s="8">
        <v>7.7100000000000002E-2</v>
      </c>
      <c r="Q255" s="19">
        <f t="shared" si="52"/>
        <v>23.0502416666667</v>
      </c>
      <c r="R255">
        <v>23050.241666666701</v>
      </c>
      <c r="S255" s="4">
        <f t="shared" si="53"/>
        <v>2.6390573296152584</v>
      </c>
      <c r="T255" s="15">
        <v>2006</v>
      </c>
      <c r="U255" s="15">
        <v>117.24</v>
      </c>
      <c r="V255" s="15">
        <v>163.52000000000001</v>
      </c>
      <c r="W255" s="4">
        <f t="shared" si="54"/>
        <v>16.526481977739749</v>
      </c>
      <c r="X255" s="18">
        <f t="shared" si="55"/>
        <v>2.0545362533117677</v>
      </c>
      <c r="Y255" s="18">
        <f t="shared" si="56"/>
        <v>0.47776643901324672</v>
      </c>
      <c r="Z255" s="18">
        <f t="shared" si="57"/>
        <v>3.30029421395755</v>
      </c>
      <c r="AA255" s="12">
        <f t="shared" si="58"/>
        <v>1.1181219908966922</v>
      </c>
      <c r="AB255">
        <f t="shared" si="59"/>
        <v>6.9661228373003921</v>
      </c>
      <c r="AC255" s="18">
        <f t="shared" si="48"/>
        <v>0.19097850974021666</v>
      </c>
      <c r="AD255" s="18">
        <f t="shared" si="60"/>
        <v>4.7805213770522714</v>
      </c>
      <c r="AE255" s="12">
        <v>1705.1420000000001</v>
      </c>
      <c r="AF255" s="12">
        <v>1839.443</v>
      </c>
      <c r="AG255" s="8">
        <f t="shared" si="61"/>
        <v>-7.3011775847362459E-2</v>
      </c>
      <c r="AH255" s="21">
        <f t="shared" si="64"/>
        <v>3.2949814000518418</v>
      </c>
      <c r="AI255" s="21">
        <f t="shared" si="65"/>
        <v>12.487388710905003</v>
      </c>
      <c r="AJ255" t="s">
        <v>32</v>
      </c>
      <c r="AK255">
        <v>56440</v>
      </c>
      <c r="AL255">
        <v>1712908</v>
      </c>
      <c r="AM255">
        <v>451976</v>
      </c>
    </row>
    <row r="256" spans="1:39" x14ac:dyDescent="0.3">
      <c r="A256" t="s">
        <v>33</v>
      </c>
      <c r="B256">
        <v>2019</v>
      </c>
      <c r="C256">
        <v>40.320999999999998</v>
      </c>
      <c r="D256">
        <v>591.01400000000001</v>
      </c>
      <c r="E256">
        <v>181.048</v>
      </c>
      <c r="F256">
        <v>121.99299999999999</v>
      </c>
      <c r="G256">
        <v>772.06200000000001</v>
      </c>
      <c r="H256">
        <v>330.69900000000001</v>
      </c>
      <c r="I256">
        <v>441.36399999999998</v>
      </c>
      <c r="J256">
        <v>325.51</v>
      </c>
      <c r="K256" s="4">
        <f t="shared" si="49"/>
        <v>2.7958236745225</v>
      </c>
      <c r="L256" s="5">
        <v>2.7958236745225001E-2</v>
      </c>
      <c r="M256" s="19">
        <f t="shared" si="50"/>
        <v>7.3592627010500564</v>
      </c>
      <c r="N256" s="5">
        <v>7.3592627010500566E-2</v>
      </c>
      <c r="O256" s="19">
        <f t="shared" si="51"/>
        <v>7.71</v>
      </c>
      <c r="P256" s="8">
        <v>7.7100000000000002E-2</v>
      </c>
      <c r="Q256" s="19">
        <f t="shared" si="52"/>
        <v>23.0502416666667</v>
      </c>
      <c r="R256">
        <v>23050.241666666701</v>
      </c>
      <c r="S256" s="4">
        <f t="shared" si="53"/>
        <v>3.784189633918261</v>
      </c>
      <c r="T256" s="15">
        <v>1976</v>
      </c>
      <c r="U256" s="15">
        <v>117.24</v>
      </c>
      <c r="V256" s="15">
        <v>163.52000000000001</v>
      </c>
      <c r="W256" s="4">
        <f t="shared" si="54"/>
        <v>16.526481977739749</v>
      </c>
      <c r="X256" s="18">
        <f t="shared" si="55"/>
        <v>9.1355434516634784</v>
      </c>
      <c r="Y256" s="18">
        <f t="shared" si="56"/>
        <v>5.2225080369193142</v>
      </c>
      <c r="Z256" s="18">
        <f t="shared" si="57"/>
        <v>0.74926591203632387</v>
      </c>
      <c r="AA256" s="12">
        <f t="shared" si="58"/>
        <v>1.8156554330128107</v>
      </c>
      <c r="AB256">
        <f t="shared" si="59"/>
        <v>6.1572997366536111</v>
      </c>
      <c r="AC256" s="18">
        <f t="shared" si="48"/>
        <v>0.15800933085684826</v>
      </c>
      <c r="AD256" s="18">
        <f t="shared" si="60"/>
        <v>4.7805213770522714</v>
      </c>
      <c r="AE256" s="12">
        <v>2120.4789999999998</v>
      </c>
      <c r="AF256" s="12">
        <v>2075.1779999999999</v>
      </c>
      <c r="AG256" s="8">
        <f t="shared" si="61"/>
        <v>2.1829934588743681E-2</v>
      </c>
      <c r="AH256" s="21">
        <f t="shared" si="64"/>
        <v>4.9643655103804818</v>
      </c>
      <c r="AI256" s="21">
        <f t="shared" si="65"/>
        <v>7.2619315847371144</v>
      </c>
      <c r="AJ256" t="s">
        <v>33</v>
      </c>
      <c r="AK256">
        <v>27396</v>
      </c>
      <c r="AL256">
        <v>551853</v>
      </c>
      <c r="AM256">
        <v>377255</v>
      </c>
    </row>
    <row r="257" spans="1:39" x14ac:dyDescent="0.3">
      <c r="A257" t="s">
        <v>34</v>
      </c>
      <c r="B257">
        <v>2019</v>
      </c>
      <c r="C257">
        <v>704.04399999999998</v>
      </c>
      <c r="D257">
        <v>2690.4870000000001</v>
      </c>
      <c r="E257">
        <v>1444.11</v>
      </c>
      <c r="F257">
        <v>552.76599999999996</v>
      </c>
      <c r="G257">
        <v>4134.598</v>
      </c>
      <c r="H257">
        <v>1748.538</v>
      </c>
      <c r="I257">
        <v>2386.06</v>
      </c>
      <c r="J257">
        <v>1728.26</v>
      </c>
      <c r="K257" s="4">
        <f t="shared" si="49"/>
        <v>2.7958236745225</v>
      </c>
      <c r="L257" s="5">
        <v>2.7958236745225001E-2</v>
      </c>
      <c r="M257" s="19">
        <f t="shared" si="50"/>
        <v>7.3592627010500564</v>
      </c>
      <c r="N257" s="5">
        <v>7.3592627010500566E-2</v>
      </c>
      <c r="O257" s="19">
        <f t="shared" si="51"/>
        <v>7.71</v>
      </c>
      <c r="P257" s="8">
        <v>7.7100000000000002E-2</v>
      </c>
      <c r="Q257" s="19">
        <f t="shared" si="52"/>
        <v>23.0502416666667</v>
      </c>
      <c r="R257">
        <v>23050.241666666701</v>
      </c>
      <c r="S257" s="4">
        <f t="shared" si="53"/>
        <v>3.2958368660043291</v>
      </c>
      <c r="T257" s="15">
        <v>1993</v>
      </c>
      <c r="U257" s="15">
        <v>117.24</v>
      </c>
      <c r="V257" s="15">
        <v>163.52000000000001</v>
      </c>
      <c r="W257" s="4">
        <f t="shared" si="54"/>
        <v>16.526481977739749</v>
      </c>
      <c r="X257" s="18">
        <f t="shared" si="55"/>
        <v>29.506550547764938</v>
      </c>
      <c r="Y257" s="18">
        <f t="shared" si="56"/>
        <v>17.028112527505694</v>
      </c>
      <c r="Z257" s="18">
        <f t="shared" si="57"/>
        <v>0.73281392756259278</v>
      </c>
      <c r="AA257" s="12">
        <f t="shared" si="58"/>
        <v>1.5567605568606575</v>
      </c>
      <c r="AB257">
        <f t="shared" si="59"/>
        <v>7.835380262841122</v>
      </c>
      <c r="AC257" s="18">
        <f t="shared" si="48"/>
        <v>0.13369280399206887</v>
      </c>
      <c r="AD257" s="18">
        <f t="shared" si="60"/>
        <v>4.7805213770522714</v>
      </c>
      <c r="AE257" s="12">
        <v>4519.1530000000002</v>
      </c>
      <c r="AF257" s="12">
        <v>4136.1989999999996</v>
      </c>
      <c r="AG257" s="8">
        <f t="shared" si="61"/>
        <v>9.2585970839410933E-2</v>
      </c>
      <c r="AH257" s="21">
        <f t="shared" si="64"/>
        <v>17.639557042500456</v>
      </c>
      <c r="AI257" s="21">
        <f t="shared" si="65"/>
        <v>32.693320230759696</v>
      </c>
      <c r="AJ257" t="s">
        <v>34</v>
      </c>
      <c r="AK257">
        <v>604167</v>
      </c>
      <c r="AL257">
        <v>3425069</v>
      </c>
      <c r="AM257">
        <v>1847983</v>
      </c>
    </row>
    <row r="258" spans="1:39" x14ac:dyDescent="0.3">
      <c r="A258" t="s">
        <v>35</v>
      </c>
      <c r="B258">
        <v>2019</v>
      </c>
      <c r="C258">
        <v>823.34799999999996</v>
      </c>
      <c r="D258">
        <v>7520.2830000000004</v>
      </c>
      <c r="E258">
        <v>8076.0290000000005</v>
      </c>
      <c r="F258">
        <v>5749.2380000000003</v>
      </c>
      <c r="G258">
        <v>15596.312</v>
      </c>
      <c r="H258">
        <v>9294.4390000000003</v>
      </c>
      <c r="I258">
        <v>6301.8720000000003</v>
      </c>
      <c r="J258">
        <v>6553.95</v>
      </c>
      <c r="K258" s="4">
        <f t="shared" si="49"/>
        <v>2.7958236745225</v>
      </c>
      <c r="L258" s="5">
        <v>2.7958236745225001E-2</v>
      </c>
      <c r="M258" s="19">
        <f t="shared" si="50"/>
        <v>7.3592627010500564</v>
      </c>
      <c r="N258" s="5">
        <v>7.3592627010500566E-2</v>
      </c>
      <c r="O258" s="19">
        <f t="shared" si="51"/>
        <v>7.71</v>
      </c>
      <c r="P258" s="8">
        <v>7.7100000000000002E-2</v>
      </c>
      <c r="Q258" s="19">
        <f t="shared" si="52"/>
        <v>23.0502416666667</v>
      </c>
      <c r="R258">
        <v>23050.241666666701</v>
      </c>
      <c r="S258" s="4">
        <f t="shared" si="53"/>
        <v>3.1354942159291497</v>
      </c>
      <c r="T258" s="15">
        <v>1997</v>
      </c>
      <c r="U258" s="15">
        <v>117.24</v>
      </c>
      <c r="V258" s="15">
        <v>163.52000000000001</v>
      </c>
      <c r="W258" s="4">
        <f t="shared" si="54"/>
        <v>16.526481977739749</v>
      </c>
      <c r="X258" s="18">
        <f t="shared" si="55"/>
        <v>13.065133661870632</v>
      </c>
      <c r="Y258" s="18">
        <f t="shared" si="56"/>
        <v>5.2791198329451214</v>
      </c>
      <c r="Z258" s="18">
        <f t="shared" si="57"/>
        <v>1.4748695308314737</v>
      </c>
      <c r="AA258" s="12">
        <f t="shared" si="58"/>
        <v>1.1474428398141581</v>
      </c>
      <c r="AB258">
        <f t="shared" si="59"/>
        <v>9.1630246340046604</v>
      </c>
      <c r="AC258" s="18">
        <f t="shared" ref="AC258:AC311" si="66">F258/G258</f>
        <v>0.36862804488650908</v>
      </c>
      <c r="AD258" s="18">
        <f t="shared" si="60"/>
        <v>4.7805213770522714</v>
      </c>
      <c r="AE258" s="12">
        <v>14409.84</v>
      </c>
      <c r="AF258" s="12">
        <v>8960.6049999999996</v>
      </c>
      <c r="AG258" s="8">
        <f t="shared" si="61"/>
        <v>0.60813248658991226</v>
      </c>
      <c r="AH258" s="21">
        <f t="shared" si="64"/>
        <v>10.002755635274136</v>
      </c>
      <c r="AI258" s="21">
        <f t="shared" si="65"/>
        <v>20.878402438180547</v>
      </c>
      <c r="AJ258" t="s">
        <v>35</v>
      </c>
      <c r="AK258">
        <v>1197876</v>
      </c>
      <c r="AL258">
        <v>11975460</v>
      </c>
      <c r="AM258">
        <v>5737393</v>
      </c>
    </row>
    <row r="259" spans="1:39" x14ac:dyDescent="0.3">
      <c r="A259" t="s">
        <v>36</v>
      </c>
      <c r="B259">
        <v>2019</v>
      </c>
      <c r="C259">
        <v>12.96</v>
      </c>
      <c r="D259">
        <v>6036.2910000000002</v>
      </c>
      <c r="E259">
        <v>301.44</v>
      </c>
      <c r="F259">
        <v>45.054000000000002</v>
      </c>
      <c r="G259">
        <v>6337.73</v>
      </c>
      <c r="H259">
        <v>6217.9690000000001</v>
      </c>
      <c r="I259">
        <v>119.762</v>
      </c>
      <c r="J259">
        <v>5966.52</v>
      </c>
      <c r="K259" s="4">
        <f t="shared" ref="K259:K311" si="67">L259*100</f>
        <v>2.7958236745225</v>
      </c>
      <c r="L259" s="5">
        <v>2.7958236745225001E-2</v>
      </c>
      <c r="M259" s="19">
        <f t="shared" ref="M259:M311" si="68">N259*100</f>
        <v>7.3592627010500564</v>
      </c>
      <c r="N259" s="5">
        <v>7.3592627010500566E-2</v>
      </c>
      <c r="O259" s="19">
        <f t="shared" ref="O259:O311" si="69">P259*100</f>
        <v>7.71</v>
      </c>
      <c r="P259" s="8">
        <v>7.7100000000000002E-2</v>
      </c>
      <c r="Q259" s="19">
        <f t="shared" ref="Q259:Q311" si="70">R259/1000</f>
        <v>23.0502416666667</v>
      </c>
      <c r="R259">
        <v>23050.241666666701</v>
      </c>
      <c r="S259" s="4">
        <f t="shared" ref="S259:S311" si="71">LN(B259-T259+1)</f>
        <v>1.0986122886681098</v>
      </c>
      <c r="T259" s="15">
        <v>2017</v>
      </c>
      <c r="U259" s="15">
        <v>117.24</v>
      </c>
      <c r="V259" s="15">
        <v>163.52000000000001</v>
      </c>
      <c r="W259" s="4">
        <f t="shared" ref="W259:W311" si="72">R259*U259/(1000*V259)</f>
        <v>16.526481977739749</v>
      </c>
      <c r="X259" s="18">
        <f t="shared" ref="X259:X311" si="73">C259/I259*100</f>
        <v>10.821462567425394</v>
      </c>
      <c r="Y259" s="18">
        <f t="shared" ref="Y259:Y311" si="74">C259/G259*100</f>
        <v>0.20448962010057228</v>
      </c>
      <c r="Z259" s="18">
        <f t="shared" ref="Z259:Z311" si="75">H259/I259</f>
        <v>51.91938177385147</v>
      </c>
      <c r="AA259" s="12">
        <f t="shared" ref="AA259:AA311" si="76">D259/J259</f>
        <v>1.0116937511313127</v>
      </c>
      <c r="AB259">
        <f t="shared" ref="AB259:AB311" si="77">LN(100*G259/V259)</f>
        <v>8.26251081812687</v>
      </c>
      <c r="AC259" s="18">
        <f t="shared" si="66"/>
        <v>7.1088544321073954E-3</v>
      </c>
      <c r="AD259" s="18">
        <f t="shared" ref="AD259:AD311" si="78">((100+O259)/(100+K259)-1)*100</f>
        <v>4.7805213770522714</v>
      </c>
      <c r="AE259" s="12">
        <v>17288.066999999999</v>
      </c>
      <c r="AF259" s="12">
        <v>9226.2880000000005</v>
      </c>
      <c r="AG259" s="8">
        <f t="shared" ref="AG259:AG311" si="79">(AE259-AF259)/AF259</f>
        <v>0.87378358447080762</v>
      </c>
      <c r="AH259" s="21">
        <f t="shared" si="64"/>
        <v>0.41715591860720097</v>
      </c>
      <c r="AI259" s="21">
        <f t="shared" si="65"/>
        <v>14.463347721463283</v>
      </c>
      <c r="AJ259" t="s">
        <v>36</v>
      </c>
      <c r="AK259">
        <v>15447</v>
      </c>
      <c r="AL259">
        <v>3702932</v>
      </c>
      <c r="AM259">
        <v>106801</v>
      </c>
    </row>
    <row r="260" spans="1:39" x14ac:dyDescent="0.3">
      <c r="A260" t="s">
        <v>37</v>
      </c>
      <c r="B260">
        <v>2019</v>
      </c>
      <c r="C260">
        <v>95.433999999999997</v>
      </c>
      <c r="D260">
        <v>841.53300000000002</v>
      </c>
      <c r="E260">
        <v>728.91600000000005</v>
      </c>
      <c r="F260">
        <v>192.505</v>
      </c>
      <c r="G260">
        <v>1570.4480000000001</v>
      </c>
      <c r="H260">
        <v>566.57100000000003</v>
      </c>
      <c r="I260">
        <v>1003.877</v>
      </c>
      <c r="J260">
        <v>548.16</v>
      </c>
      <c r="K260" s="4">
        <f t="shared" si="67"/>
        <v>2.7958236745225</v>
      </c>
      <c r="L260" s="5">
        <v>2.7958236745225001E-2</v>
      </c>
      <c r="M260" s="19">
        <f t="shared" si="68"/>
        <v>7.3592627010500564</v>
      </c>
      <c r="N260" s="5">
        <v>7.3592627010500566E-2</v>
      </c>
      <c r="O260" s="19">
        <f t="shared" si="69"/>
        <v>7.71</v>
      </c>
      <c r="P260" s="8">
        <v>7.7100000000000002E-2</v>
      </c>
      <c r="Q260" s="19">
        <f t="shared" si="70"/>
        <v>23.0502416666667</v>
      </c>
      <c r="R260">
        <v>23050.241666666701</v>
      </c>
      <c r="S260" s="4">
        <f t="shared" si="71"/>
        <v>3.044522437723423</v>
      </c>
      <c r="T260" s="15">
        <v>1999</v>
      </c>
      <c r="U260" s="15">
        <v>117.24</v>
      </c>
      <c r="V260" s="15">
        <v>163.52000000000001</v>
      </c>
      <c r="W260" s="4">
        <f t="shared" si="72"/>
        <v>16.526481977739749</v>
      </c>
      <c r="X260" s="18">
        <f t="shared" si="73"/>
        <v>9.5065431322761658</v>
      </c>
      <c r="Y260" s="18">
        <f t="shared" si="74"/>
        <v>6.0768646908398107</v>
      </c>
      <c r="Z260" s="18">
        <f t="shared" si="75"/>
        <v>0.56438288754498811</v>
      </c>
      <c r="AA260" s="12">
        <f t="shared" si="76"/>
        <v>1.5351959281961471</v>
      </c>
      <c r="AB260">
        <f t="shared" si="77"/>
        <v>6.8673510869289176</v>
      </c>
      <c r="AC260" s="18">
        <f t="shared" si="66"/>
        <v>0.12257967153321854</v>
      </c>
      <c r="AD260" s="18">
        <f t="shared" si="78"/>
        <v>4.7805213770522714</v>
      </c>
      <c r="AE260" s="12">
        <v>1513.816</v>
      </c>
      <c r="AF260" s="12">
        <v>1434.075</v>
      </c>
      <c r="AG260" s="8">
        <f t="shared" si="79"/>
        <v>5.560448372644386E-2</v>
      </c>
      <c r="AH260" s="21">
        <f t="shared" si="64"/>
        <v>8.7294572055502915</v>
      </c>
      <c r="AI260" s="21">
        <f t="shared" si="65"/>
        <v>11.93630512161576</v>
      </c>
      <c r="AJ260" t="s">
        <v>37</v>
      </c>
      <c r="AK260">
        <v>109523</v>
      </c>
      <c r="AL260">
        <v>1254637</v>
      </c>
      <c r="AM260">
        <v>917562</v>
      </c>
    </row>
    <row r="261" spans="1:39" x14ac:dyDescent="0.3">
      <c r="A261" t="s">
        <v>38</v>
      </c>
      <c r="B261">
        <v>2019</v>
      </c>
      <c r="C261">
        <v>523.12800000000004</v>
      </c>
      <c r="D261">
        <v>4196.5190000000002</v>
      </c>
      <c r="E261">
        <v>3575.6570000000002</v>
      </c>
      <c r="F261">
        <v>2887.0369999999998</v>
      </c>
      <c r="G261">
        <v>7772.1760000000004</v>
      </c>
      <c r="H261">
        <v>2590.6129999999998</v>
      </c>
      <c r="I261">
        <v>5181.5630000000001</v>
      </c>
      <c r="J261">
        <v>2328.5100000000002</v>
      </c>
      <c r="K261" s="4">
        <f t="shared" si="67"/>
        <v>2.7958236745225</v>
      </c>
      <c r="L261" s="5">
        <v>2.7958236745225001E-2</v>
      </c>
      <c r="M261" s="19">
        <f t="shared" si="68"/>
        <v>7.3592627010500564</v>
      </c>
      <c r="N261" s="5">
        <v>7.3592627010500566E-2</v>
      </c>
      <c r="O261" s="19">
        <f t="shared" si="69"/>
        <v>7.71</v>
      </c>
      <c r="P261" s="8">
        <v>7.7100000000000002E-2</v>
      </c>
      <c r="Q261" s="19">
        <f t="shared" si="70"/>
        <v>23.0502416666667</v>
      </c>
      <c r="R261">
        <v>23050.241666666701</v>
      </c>
      <c r="S261" s="4">
        <f t="shared" si="71"/>
        <v>4.8675344504555822</v>
      </c>
      <c r="T261" s="15">
        <v>1890</v>
      </c>
      <c r="U261" s="15">
        <v>117.24</v>
      </c>
      <c r="V261" s="15">
        <v>163.52000000000001</v>
      </c>
      <c r="W261" s="4">
        <f t="shared" si="72"/>
        <v>16.526481977739749</v>
      </c>
      <c r="X261" s="18">
        <f t="shared" si="73"/>
        <v>10.095949812826747</v>
      </c>
      <c r="Y261" s="18">
        <f t="shared" si="74"/>
        <v>6.7307791280073941</v>
      </c>
      <c r="Z261" s="18">
        <f t="shared" si="75"/>
        <v>0.49996748085471504</v>
      </c>
      <c r="AA261" s="12">
        <f t="shared" si="76"/>
        <v>1.8022336172058526</v>
      </c>
      <c r="AB261">
        <f t="shared" si="77"/>
        <v>8.4665403346073997</v>
      </c>
      <c r="AC261" s="18">
        <f t="shared" si="66"/>
        <v>0.37145800609764879</v>
      </c>
      <c r="AD261" s="18">
        <f t="shared" si="78"/>
        <v>4.7805213770522714</v>
      </c>
      <c r="AE261" s="12">
        <v>9405.06</v>
      </c>
      <c r="AF261" s="12">
        <v>9177.75</v>
      </c>
      <c r="AG261" s="8">
        <f t="shared" si="79"/>
        <v>2.4767508376235949E-2</v>
      </c>
      <c r="AH261" s="21">
        <f t="shared" si="64"/>
        <v>5.262861075801986</v>
      </c>
      <c r="AI261" s="21">
        <f t="shared" si="65"/>
        <v>9.8226944960761582</v>
      </c>
      <c r="AJ261" t="s">
        <v>38</v>
      </c>
      <c r="AK261">
        <v>484333</v>
      </c>
      <c r="AL261">
        <v>9202846</v>
      </c>
      <c r="AM261">
        <v>4930755</v>
      </c>
    </row>
    <row r="262" spans="1:39" x14ac:dyDescent="0.3">
      <c r="A262" t="s">
        <v>39</v>
      </c>
      <c r="B262">
        <v>2019</v>
      </c>
      <c r="C262">
        <v>19.815999999999999</v>
      </c>
      <c r="D262">
        <v>288.82</v>
      </c>
      <c r="E262">
        <v>119.79600000000001</v>
      </c>
      <c r="F262">
        <v>22.65</v>
      </c>
      <c r="G262">
        <v>408.61599999999999</v>
      </c>
      <c r="H262">
        <v>51.241</v>
      </c>
      <c r="I262">
        <v>357.375</v>
      </c>
      <c r="J262">
        <v>44.88</v>
      </c>
      <c r="K262" s="4">
        <f t="shared" si="67"/>
        <v>2.7958236745225</v>
      </c>
      <c r="L262" s="5">
        <v>2.7958236745225001E-2</v>
      </c>
      <c r="M262" s="19">
        <f t="shared" si="68"/>
        <v>7.3592627010500564</v>
      </c>
      <c r="N262" s="5">
        <v>7.3592627010500566E-2</v>
      </c>
      <c r="O262" s="19">
        <f t="shared" si="69"/>
        <v>7.71</v>
      </c>
      <c r="P262" s="8">
        <v>7.7100000000000002E-2</v>
      </c>
      <c r="Q262" s="19">
        <f t="shared" si="70"/>
        <v>23.0502416666667</v>
      </c>
      <c r="R262">
        <v>23050.241666666701</v>
      </c>
      <c r="S262" s="4">
        <f t="shared" si="71"/>
        <v>1.6094379124341003</v>
      </c>
      <c r="T262" s="15">
        <v>2015</v>
      </c>
      <c r="U262" s="15">
        <v>117.24</v>
      </c>
      <c r="V262" s="15">
        <v>163.52000000000001</v>
      </c>
      <c r="W262" s="4">
        <f t="shared" si="72"/>
        <v>16.526481977739749</v>
      </c>
      <c r="X262" s="18">
        <f t="shared" si="73"/>
        <v>5.5448758307100379</v>
      </c>
      <c r="Y262" s="18">
        <f t="shared" si="74"/>
        <v>4.8495408892456489</v>
      </c>
      <c r="Z262" s="18">
        <f t="shared" si="75"/>
        <v>0.14338160195872682</v>
      </c>
      <c r="AA262" s="12">
        <f t="shared" si="76"/>
        <v>6.4353832442067729</v>
      </c>
      <c r="AB262">
        <f t="shared" si="77"/>
        <v>5.5210107186904471</v>
      </c>
      <c r="AC262" s="18">
        <f t="shared" si="66"/>
        <v>5.5431015917144701E-2</v>
      </c>
      <c r="AD262" s="18">
        <f t="shared" si="78"/>
        <v>4.7805213770522714</v>
      </c>
      <c r="AE262" s="12">
        <v>422.70600000000002</v>
      </c>
      <c r="AF262" s="12">
        <v>406.22699999999998</v>
      </c>
      <c r="AG262" s="8">
        <f t="shared" si="79"/>
        <v>4.0565988966760072E-2</v>
      </c>
      <c r="AH262" s="21">
        <f t="shared" si="64"/>
        <v>2.3653478353263915</v>
      </c>
      <c r="AI262" s="21">
        <f t="shared" si="65"/>
        <v>2.9017149594589391</v>
      </c>
      <c r="AJ262" t="s">
        <v>39</v>
      </c>
      <c r="AK262">
        <v>9795</v>
      </c>
      <c r="AL262">
        <v>414104</v>
      </c>
      <c r="AM262">
        <v>337559</v>
      </c>
    </row>
    <row r="263" spans="1:39" x14ac:dyDescent="0.3">
      <c r="A263" t="s">
        <v>40</v>
      </c>
      <c r="B263">
        <v>2019</v>
      </c>
      <c r="C263">
        <v>140.547</v>
      </c>
      <c r="D263">
        <v>912.048</v>
      </c>
      <c r="E263">
        <v>112.32299999999999</v>
      </c>
      <c r="F263">
        <v>95.558000000000007</v>
      </c>
      <c r="G263">
        <v>1024.3710000000001</v>
      </c>
      <c r="H263">
        <v>331.40899999999999</v>
      </c>
      <c r="I263">
        <v>692.96299999999997</v>
      </c>
      <c r="J263">
        <v>331.41</v>
      </c>
      <c r="K263" s="4">
        <f t="shared" si="67"/>
        <v>2.7958236745225</v>
      </c>
      <c r="L263" s="5">
        <v>2.7958236745225001E-2</v>
      </c>
      <c r="M263" s="19">
        <f t="shared" si="68"/>
        <v>7.3592627010500564</v>
      </c>
      <c r="N263" s="5">
        <v>7.3592627010500566E-2</v>
      </c>
      <c r="O263" s="19">
        <f t="shared" si="69"/>
        <v>7.71</v>
      </c>
      <c r="P263" s="8">
        <v>7.7100000000000002E-2</v>
      </c>
      <c r="Q263" s="19">
        <f t="shared" si="70"/>
        <v>23.0502416666667</v>
      </c>
      <c r="R263">
        <v>23050.241666666701</v>
      </c>
      <c r="S263" s="4">
        <f t="shared" si="71"/>
        <v>3.3322045101752038</v>
      </c>
      <c r="T263" s="15">
        <v>1992</v>
      </c>
      <c r="U263" s="15">
        <v>117.24</v>
      </c>
      <c r="V263" s="15">
        <v>163.52000000000001</v>
      </c>
      <c r="W263" s="4">
        <f t="shared" si="72"/>
        <v>16.526481977739749</v>
      </c>
      <c r="X263" s="18">
        <f t="shared" si="73"/>
        <v>20.282035260179835</v>
      </c>
      <c r="Y263" s="18">
        <f t="shared" si="74"/>
        <v>13.720322031763882</v>
      </c>
      <c r="Z263" s="18">
        <f t="shared" si="75"/>
        <v>0.4782491994522074</v>
      </c>
      <c r="AA263" s="12">
        <f t="shared" si="76"/>
        <v>2.75202317371232</v>
      </c>
      <c r="AB263">
        <f t="shared" si="77"/>
        <v>6.44006892364321</v>
      </c>
      <c r="AC263" s="18">
        <f t="shared" si="66"/>
        <v>9.3284561940937413E-2</v>
      </c>
      <c r="AD263" s="18">
        <f t="shared" si="78"/>
        <v>4.7805213770522714</v>
      </c>
      <c r="AE263" s="12">
        <v>1928.712</v>
      </c>
      <c r="AF263" s="12">
        <v>2070.2060000000001</v>
      </c>
      <c r="AG263" s="8">
        <f t="shared" si="79"/>
        <v>-6.8347787611474475E-2</v>
      </c>
      <c r="AH263" s="21">
        <f t="shared" si="64"/>
        <v>14.654701229101429</v>
      </c>
      <c r="AI263" s="21">
        <f t="shared" si="65"/>
        <v>23.32803548095286</v>
      </c>
      <c r="AJ263" t="s">
        <v>40</v>
      </c>
      <c r="AK263">
        <v>148538</v>
      </c>
      <c r="AL263">
        <v>1013586</v>
      </c>
      <c r="AM263">
        <v>636736</v>
      </c>
    </row>
    <row r="264" spans="1:39" x14ac:dyDescent="0.3">
      <c r="A264" t="s">
        <v>41</v>
      </c>
      <c r="B264">
        <v>2019</v>
      </c>
      <c r="C264">
        <v>77.75</v>
      </c>
      <c r="D264">
        <v>958.06299999999999</v>
      </c>
      <c r="E264">
        <v>465.733</v>
      </c>
      <c r="F264">
        <v>205.584</v>
      </c>
      <c r="G264">
        <v>1423.796</v>
      </c>
      <c r="H264">
        <v>1079.328</v>
      </c>
      <c r="I264">
        <v>344.46800000000002</v>
      </c>
      <c r="J264">
        <v>1036.6199999999999</v>
      </c>
      <c r="K264" s="4">
        <f t="shared" si="67"/>
        <v>2.7958236745225</v>
      </c>
      <c r="L264" s="5">
        <v>2.7958236745225001E-2</v>
      </c>
      <c r="M264" s="19">
        <f t="shared" si="68"/>
        <v>7.3592627010500564</v>
      </c>
      <c r="N264" s="5">
        <v>7.3592627010500566E-2</v>
      </c>
      <c r="O264" s="19">
        <f t="shared" si="69"/>
        <v>7.71</v>
      </c>
      <c r="P264" s="8">
        <v>7.7100000000000002E-2</v>
      </c>
      <c r="Q264" s="19">
        <f t="shared" si="70"/>
        <v>23.0502416666667</v>
      </c>
      <c r="R264">
        <v>23050.241666666701</v>
      </c>
      <c r="S264" s="4">
        <f t="shared" si="71"/>
        <v>3.7612001156935624</v>
      </c>
      <c r="T264" s="15">
        <v>1977</v>
      </c>
      <c r="U264" s="15">
        <v>117.24</v>
      </c>
      <c r="V264" s="15">
        <v>163.52000000000001</v>
      </c>
      <c r="W264" s="4">
        <f t="shared" si="72"/>
        <v>16.526481977739749</v>
      </c>
      <c r="X264" s="18">
        <f t="shared" si="73"/>
        <v>22.571037077464378</v>
      </c>
      <c r="Y264" s="18">
        <f t="shared" si="74"/>
        <v>5.4607542091704149</v>
      </c>
      <c r="Z264" s="18">
        <f t="shared" si="75"/>
        <v>3.133318624661797</v>
      </c>
      <c r="AA264" s="12">
        <f t="shared" si="76"/>
        <v>0.92421813200594249</v>
      </c>
      <c r="AB264">
        <f t="shared" si="77"/>
        <v>6.7693167022552378</v>
      </c>
      <c r="AC264" s="18">
        <f t="shared" si="66"/>
        <v>0.14439147181197307</v>
      </c>
      <c r="AD264" s="18">
        <f t="shared" si="78"/>
        <v>4.7805213770522714</v>
      </c>
      <c r="AE264" s="12">
        <v>958.16899999999998</v>
      </c>
      <c r="AF264" s="12">
        <v>1062.838</v>
      </c>
      <c r="AG264" s="8">
        <f t="shared" si="79"/>
        <v>-9.8480671560482388E-2</v>
      </c>
      <c r="AH264" s="21">
        <f t="shared" si="64"/>
        <v>9.2169032857356417</v>
      </c>
      <c r="AI264" s="21">
        <f t="shared" si="65"/>
        <v>58.350792526983483</v>
      </c>
      <c r="AJ264" t="s">
        <v>41</v>
      </c>
      <c r="AK264">
        <v>80768</v>
      </c>
      <c r="AL264">
        <v>876303</v>
      </c>
      <c r="AM264">
        <v>138418</v>
      </c>
    </row>
    <row r="265" spans="1:39" x14ac:dyDescent="0.3">
      <c r="A265" t="s">
        <v>42</v>
      </c>
      <c r="B265">
        <v>2019</v>
      </c>
      <c r="C265">
        <v>52.45</v>
      </c>
      <c r="D265">
        <v>2172.1779999999999</v>
      </c>
      <c r="E265">
        <v>1643.8440000000001</v>
      </c>
      <c r="F265">
        <v>1576.5840000000001</v>
      </c>
      <c r="G265">
        <v>3816.0230000000001</v>
      </c>
      <c r="H265">
        <v>2575.078</v>
      </c>
      <c r="I265">
        <v>1240.944</v>
      </c>
      <c r="J265">
        <v>2157.65</v>
      </c>
      <c r="K265" s="4">
        <f t="shared" si="67"/>
        <v>2.7958236745225</v>
      </c>
      <c r="L265" s="5">
        <v>2.7958236745225001E-2</v>
      </c>
      <c r="M265" s="19">
        <f t="shared" si="68"/>
        <v>7.3592627010500564</v>
      </c>
      <c r="N265" s="5">
        <v>7.3592627010500566E-2</v>
      </c>
      <c r="O265" s="19">
        <f t="shared" si="69"/>
        <v>7.71</v>
      </c>
      <c r="P265" s="8">
        <v>7.7100000000000002E-2</v>
      </c>
      <c r="Q265" s="19">
        <f t="shared" si="70"/>
        <v>23.0502416666667</v>
      </c>
      <c r="R265">
        <v>23050.241666666701</v>
      </c>
      <c r="S265" s="4">
        <f t="shared" si="71"/>
        <v>3.784189633918261</v>
      </c>
      <c r="T265" s="15">
        <v>1976</v>
      </c>
      <c r="U265" s="15">
        <v>117.24</v>
      </c>
      <c r="V265" s="15">
        <v>163.52000000000001</v>
      </c>
      <c r="W265" s="4">
        <f t="shared" si="72"/>
        <v>16.526481977739749</v>
      </c>
      <c r="X265" s="18">
        <f t="shared" si="73"/>
        <v>4.2266210239946371</v>
      </c>
      <c r="Y265" s="18">
        <f t="shared" si="74"/>
        <v>1.3744676067203998</v>
      </c>
      <c r="Z265" s="18">
        <f t="shared" si="75"/>
        <v>2.0750960559058265</v>
      </c>
      <c r="AA265" s="12">
        <f t="shared" si="76"/>
        <v>1.0067332514541283</v>
      </c>
      <c r="AB265">
        <f t="shared" si="77"/>
        <v>7.7551989387764335</v>
      </c>
      <c r="AC265" s="18">
        <f t="shared" si="66"/>
        <v>0.41314845324569582</v>
      </c>
      <c r="AD265" s="18">
        <f t="shared" si="78"/>
        <v>4.7805213770522714</v>
      </c>
      <c r="AE265" s="12">
        <v>4363.2619999999997</v>
      </c>
      <c r="AF265" s="12">
        <v>3999.3159999999998</v>
      </c>
      <c r="AG265" s="8">
        <f t="shared" si="79"/>
        <v>9.1002061352491254E-2</v>
      </c>
      <c r="AH265" s="21">
        <f t="shared" si="64"/>
        <v>0.34013693347985335</v>
      </c>
      <c r="AI265" s="21">
        <f t="shared" si="65"/>
        <v>1.0997183230402729</v>
      </c>
      <c r="AJ265" t="s">
        <v>42</v>
      </c>
      <c r="AK265">
        <v>13161</v>
      </c>
      <c r="AL265">
        <v>3869324</v>
      </c>
      <c r="AM265">
        <v>1196761</v>
      </c>
    </row>
    <row r="266" spans="1:39" x14ac:dyDescent="0.3">
      <c r="A266" t="s">
        <v>43</v>
      </c>
      <c r="B266">
        <v>2019</v>
      </c>
      <c r="C266">
        <v>43.930999999999997</v>
      </c>
      <c r="D266">
        <v>1191.9829999999999</v>
      </c>
      <c r="E266">
        <v>354.94400000000002</v>
      </c>
      <c r="F266">
        <v>131.72800000000001</v>
      </c>
      <c r="G266">
        <v>1546.9269999999999</v>
      </c>
      <c r="H266">
        <v>1014.423</v>
      </c>
      <c r="I266">
        <v>532.50400000000002</v>
      </c>
      <c r="J266">
        <v>1011.73</v>
      </c>
      <c r="K266" s="4">
        <f t="shared" si="67"/>
        <v>2.7958236745225</v>
      </c>
      <c r="L266" s="5">
        <v>2.7958236745225001E-2</v>
      </c>
      <c r="M266" s="19">
        <f t="shared" si="68"/>
        <v>7.3592627010500564</v>
      </c>
      <c r="N266" s="5">
        <v>7.3592627010500566E-2</v>
      </c>
      <c r="O266" s="19">
        <f t="shared" si="69"/>
        <v>7.71</v>
      </c>
      <c r="P266" s="8">
        <v>7.7100000000000002E-2</v>
      </c>
      <c r="Q266" s="19">
        <f t="shared" si="70"/>
        <v>23.0502416666667</v>
      </c>
      <c r="R266">
        <v>23050.241666666701</v>
      </c>
      <c r="S266" s="4">
        <f t="shared" si="71"/>
        <v>2.3978952727983707</v>
      </c>
      <c r="T266" s="15">
        <v>2009</v>
      </c>
      <c r="U266" s="15">
        <v>117.24</v>
      </c>
      <c r="V266" s="15">
        <v>163.52000000000001</v>
      </c>
      <c r="W266" s="4">
        <f t="shared" si="72"/>
        <v>16.526481977739749</v>
      </c>
      <c r="X266" s="18">
        <f t="shared" si="73"/>
        <v>8.2498910806303805</v>
      </c>
      <c r="Y266" s="18">
        <f t="shared" si="74"/>
        <v>2.8398883722373451</v>
      </c>
      <c r="Z266" s="18">
        <f t="shared" si="75"/>
        <v>1.9050054084100776</v>
      </c>
      <c r="AA266" s="12">
        <f t="shared" si="76"/>
        <v>1.1781631462939717</v>
      </c>
      <c r="AB266">
        <f t="shared" si="77"/>
        <v>6.8522605403264123</v>
      </c>
      <c r="AC266" s="18">
        <f t="shared" si="66"/>
        <v>8.515463237761059E-2</v>
      </c>
      <c r="AD266" s="18">
        <f t="shared" si="78"/>
        <v>4.7805213770522714</v>
      </c>
      <c r="AE266" s="12">
        <v>6479.1940000000004</v>
      </c>
      <c r="AF266" s="12">
        <v>3442.2620000000002</v>
      </c>
      <c r="AG266" s="8">
        <f t="shared" si="79"/>
        <v>0.88224893979598307</v>
      </c>
      <c r="AH266" s="21">
        <f t="shared" si="64"/>
        <v>5.8694299531112337</v>
      </c>
      <c r="AI266" s="21">
        <f t="shared" si="65"/>
        <v>21.217043094253476</v>
      </c>
      <c r="AJ266" t="s">
        <v>43</v>
      </c>
      <c r="AK266">
        <v>56693</v>
      </c>
      <c r="AL266">
        <v>965903</v>
      </c>
      <c r="AM266">
        <v>267205</v>
      </c>
    </row>
    <row r="267" spans="1:39" x14ac:dyDescent="0.3">
      <c r="A267" t="s">
        <v>44</v>
      </c>
      <c r="B267">
        <v>2019</v>
      </c>
      <c r="C267">
        <v>62.271999999999998</v>
      </c>
      <c r="D267">
        <v>1101.385</v>
      </c>
      <c r="E267">
        <v>473.96600000000001</v>
      </c>
      <c r="F267">
        <v>327.97699999999998</v>
      </c>
      <c r="G267">
        <v>1575.3510000000001</v>
      </c>
      <c r="H267">
        <v>986.00199999999995</v>
      </c>
      <c r="I267">
        <v>589.34900000000005</v>
      </c>
      <c r="J267">
        <v>854.23</v>
      </c>
      <c r="K267" s="4">
        <f t="shared" si="67"/>
        <v>2.7958236745225</v>
      </c>
      <c r="L267" s="5">
        <v>2.7958236745225001E-2</v>
      </c>
      <c r="M267" s="19">
        <f t="shared" si="68"/>
        <v>7.3592627010500564</v>
      </c>
      <c r="N267" s="5">
        <v>7.3592627010500566E-2</v>
      </c>
      <c r="O267" s="19">
        <f t="shared" si="69"/>
        <v>7.71</v>
      </c>
      <c r="P267" s="8">
        <v>7.7100000000000002E-2</v>
      </c>
      <c r="Q267" s="19">
        <f t="shared" si="70"/>
        <v>23.0502416666667</v>
      </c>
      <c r="R267">
        <v>23050.241666666701</v>
      </c>
      <c r="S267" s="4">
        <f t="shared" si="71"/>
        <v>2.4849066497880004</v>
      </c>
      <c r="T267" s="15">
        <v>2008</v>
      </c>
      <c r="U267" s="15">
        <v>117.24</v>
      </c>
      <c r="V267" s="15">
        <v>163.52000000000001</v>
      </c>
      <c r="W267" s="4">
        <f t="shared" si="72"/>
        <v>16.526481977739749</v>
      </c>
      <c r="X267" s="18">
        <f t="shared" si="73"/>
        <v>10.566234947374136</v>
      </c>
      <c r="Y267" s="18">
        <f t="shared" si="74"/>
        <v>3.9528968464805616</v>
      </c>
      <c r="Z267" s="18">
        <f t="shared" si="75"/>
        <v>1.6730358412417767</v>
      </c>
      <c r="AA267" s="12">
        <f t="shared" si="76"/>
        <v>1.2893307423059364</v>
      </c>
      <c r="AB267">
        <f t="shared" si="77"/>
        <v>6.8704682625463782</v>
      </c>
      <c r="AC267" s="18">
        <f t="shared" si="66"/>
        <v>0.20819296778940055</v>
      </c>
      <c r="AD267" s="18">
        <f t="shared" si="78"/>
        <v>4.7805213770522714</v>
      </c>
      <c r="AE267" s="12">
        <v>2493.2759999999998</v>
      </c>
      <c r="AF267" s="12">
        <v>1586.8430000000001</v>
      </c>
      <c r="AG267" s="8">
        <f t="shared" si="79"/>
        <v>0.57121782054053216</v>
      </c>
      <c r="AH267" s="21">
        <f t="shared" si="64"/>
        <v>3.7672708019327064</v>
      </c>
      <c r="AI267" s="21">
        <f t="shared" si="65"/>
        <v>9.7735245514412501</v>
      </c>
      <c r="AJ267" t="s">
        <v>44</v>
      </c>
      <c r="AK267">
        <v>51514</v>
      </c>
      <c r="AL267">
        <v>1367409</v>
      </c>
      <c r="AM267">
        <v>527077</v>
      </c>
    </row>
    <row r="268" spans="1:39" x14ac:dyDescent="0.3">
      <c r="A268" t="s">
        <v>45</v>
      </c>
      <c r="B268">
        <v>2019</v>
      </c>
      <c r="C268">
        <v>305.13</v>
      </c>
      <c r="D268">
        <v>4377.8630000000003</v>
      </c>
      <c r="E268">
        <v>5214.0619999999999</v>
      </c>
      <c r="F268">
        <v>4560.8770000000004</v>
      </c>
      <c r="G268">
        <v>9591.9249999999993</v>
      </c>
      <c r="H268">
        <v>6565.9669999999996</v>
      </c>
      <c r="I268">
        <v>3025.9569999999999</v>
      </c>
      <c r="J268">
        <v>4819.68</v>
      </c>
      <c r="K268" s="4">
        <f t="shared" si="67"/>
        <v>2.7958236745225</v>
      </c>
      <c r="L268" s="5">
        <v>2.7958236745225001E-2</v>
      </c>
      <c r="M268" s="19">
        <f t="shared" si="68"/>
        <v>7.3592627010500564</v>
      </c>
      <c r="N268" s="5">
        <v>7.3592627010500566E-2</v>
      </c>
      <c r="O268" s="19">
        <f t="shared" si="69"/>
        <v>7.71</v>
      </c>
      <c r="P268" s="8">
        <v>7.7100000000000002E-2</v>
      </c>
      <c r="Q268" s="19">
        <f t="shared" si="70"/>
        <v>23.0502416666667</v>
      </c>
      <c r="R268">
        <v>23050.241666666701</v>
      </c>
      <c r="S268" s="4">
        <f t="shared" si="71"/>
        <v>3.1780538303479458</v>
      </c>
      <c r="T268" s="15">
        <v>1996</v>
      </c>
      <c r="U268" s="15">
        <v>117.24</v>
      </c>
      <c r="V268" s="15">
        <v>163.52000000000001</v>
      </c>
      <c r="W268" s="4">
        <f t="shared" si="72"/>
        <v>16.526481977739749</v>
      </c>
      <c r="X268" s="18">
        <f t="shared" si="73"/>
        <v>10.083752016304263</v>
      </c>
      <c r="Y268" s="18">
        <f t="shared" si="74"/>
        <v>3.1811132801809858</v>
      </c>
      <c r="Z268" s="18">
        <f t="shared" si="75"/>
        <v>2.1698811318204454</v>
      </c>
      <c r="AA268" s="12">
        <f t="shared" si="76"/>
        <v>0.90833063605882547</v>
      </c>
      <c r="AB268">
        <f t="shared" si="77"/>
        <v>8.676911756633686</v>
      </c>
      <c r="AC268" s="18">
        <f t="shared" si="66"/>
        <v>0.47549131170229131</v>
      </c>
      <c r="AD268" s="18">
        <f t="shared" si="78"/>
        <v>4.7805213770522714</v>
      </c>
      <c r="AE268" s="12">
        <v>7299.9309999999996</v>
      </c>
      <c r="AF268" s="12">
        <v>6795.5119999999997</v>
      </c>
      <c r="AG268" s="8">
        <f t="shared" si="79"/>
        <v>7.4228255354416253E-2</v>
      </c>
      <c r="AH268" s="21">
        <f t="shared" si="64"/>
        <v>4.314184900071413</v>
      </c>
      <c r="AI268" s="21">
        <f t="shared" si="65"/>
        <v>13.116014109450186</v>
      </c>
      <c r="AJ268" t="s">
        <v>45</v>
      </c>
      <c r="AK268">
        <v>360235</v>
      </c>
      <c r="AL268">
        <v>8350013</v>
      </c>
      <c r="AM268">
        <v>2746528</v>
      </c>
    </row>
    <row r="269" spans="1:39" x14ac:dyDescent="0.3">
      <c r="A269" t="s">
        <v>46</v>
      </c>
      <c r="B269">
        <v>2019</v>
      </c>
      <c r="C269">
        <v>29.561</v>
      </c>
      <c r="D269">
        <v>1145.8589999999999</v>
      </c>
      <c r="E269">
        <v>356.185</v>
      </c>
      <c r="F269">
        <v>119.465</v>
      </c>
      <c r="G269">
        <v>1502.0440000000001</v>
      </c>
      <c r="H269">
        <v>529.57799999999997</v>
      </c>
      <c r="I269">
        <v>972.46600000000001</v>
      </c>
      <c r="J269">
        <v>459.3</v>
      </c>
      <c r="K269" s="4">
        <f t="shared" si="67"/>
        <v>2.7958236745225</v>
      </c>
      <c r="L269" s="5">
        <v>2.7958236745225001E-2</v>
      </c>
      <c r="M269" s="19">
        <f t="shared" si="68"/>
        <v>7.3592627010500564</v>
      </c>
      <c r="N269" s="5">
        <v>7.3592627010500566E-2</v>
      </c>
      <c r="O269" s="19">
        <f t="shared" si="69"/>
        <v>7.71</v>
      </c>
      <c r="P269" s="8">
        <v>7.7100000000000002E-2</v>
      </c>
      <c r="Q269" s="19">
        <f t="shared" si="70"/>
        <v>23.0502416666667</v>
      </c>
      <c r="R269">
        <v>23050.241666666701</v>
      </c>
      <c r="S269" s="4">
        <f t="shared" si="71"/>
        <v>3.8501476017100584</v>
      </c>
      <c r="T269" s="15">
        <v>1973</v>
      </c>
      <c r="U269" s="15">
        <v>117.24</v>
      </c>
      <c r="V269" s="15">
        <v>163.52000000000001</v>
      </c>
      <c r="W269" s="4">
        <f t="shared" si="72"/>
        <v>16.526481977739749</v>
      </c>
      <c r="X269" s="18">
        <f t="shared" si="73"/>
        <v>3.039797792416393</v>
      </c>
      <c r="Y269" s="18">
        <f t="shared" si="74"/>
        <v>1.9680515351081591</v>
      </c>
      <c r="Z269" s="18">
        <f t="shared" si="75"/>
        <v>0.54457225239751306</v>
      </c>
      <c r="AA269" s="12">
        <f t="shared" si="76"/>
        <v>2.4947942521227953</v>
      </c>
      <c r="AB269">
        <f t="shared" si="77"/>
        <v>6.8228170051420642</v>
      </c>
      <c r="AC269" s="18">
        <f t="shared" si="66"/>
        <v>7.9534953703087261E-2</v>
      </c>
      <c r="AD269" s="18">
        <f t="shared" si="78"/>
        <v>4.7805213770522714</v>
      </c>
      <c r="AE269" s="12">
        <v>830.51499999999999</v>
      </c>
      <c r="AF269" s="12">
        <v>1190.421</v>
      </c>
      <c r="AG269" s="8">
        <f t="shared" si="79"/>
        <v>-0.30233505625320795</v>
      </c>
      <c r="AH269" s="21">
        <f t="shared" si="64"/>
        <v>4.8247843450136623</v>
      </c>
      <c r="AI269" s="21">
        <f t="shared" si="65"/>
        <v>8.2945872202352415</v>
      </c>
      <c r="AJ269" t="s">
        <v>46</v>
      </c>
      <c r="AK269">
        <v>89983</v>
      </c>
      <c r="AL269">
        <v>1865016</v>
      </c>
      <c r="AM269">
        <v>1084840</v>
      </c>
    </row>
    <row r="270" spans="1:39" x14ac:dyDescent="0.3">
      <c r="A270" t="s">
        <v>47</v>
      </c>
      <c r="B270">
        <v>2019</v>
      </c>
      <c r="C270">
        <v>250.52600000000001</v>
      </c>
      <c r="D270">
        <v>1377.1579999999999</v>
      </c>
      <c r="E270">
        <v>1331.124</v>
      </c>
      <c r="F270">
        <v>1260.4829999999999</v>
      </c>
      <c r="G270">
        <v>2708.2809999999999</v>
      </c>
      <c r="H270">
        <v>1076.19</v>
      </c>
      <c r="I270">
        <v>1632.0909999999999</v>
      </c>
      <c r="J270">
        <v>927.1</v>
      </c>
      <c r="K270" s="4">
        <f t="shared" si="67"/>
        <v>2.7958236745225</v>
      </c>
      <c r="L270" s="5">
        <v>2.7958236745225001E-2</v>
      </c>
      <c r="M270" s="19">
        <f t="shared" si="68"/>
        <v>7.3592627010500564</v>
      </c>
      <c r="N270" s="5">
        <v>7.3592627010500566E-2</v>
      </c>
      <c r="O270" s="19">
        <f t="shared" si="69"/>
        <v>7.71</v>
      </c>
      <c r="P270" s="8">
        <v>7.7100000000000002E-2</v>
      </c>
      <c r="Q270" s="19">
        <f t="shared" si="70"/>
        <v>23.0502416666667</v>
      </c>
      <c r="R270">
        <v>23050.241666666701</v>
      </c>
      <c r="S270" s="4">
        <f t="shared" si="71"/>
        <v>3.8066624897703196</v>
      </c>
      <c r="T270" s="15">
        <v>1975</v>
      </c>
      <c r="U270" s="15">
        <v>117.24</v>
      </c>
      <c r="V270" s="15">
        <v>163.52000000000001</v>
      </c>
      <c r="W270" s="4">
        <f t="shared" si="72"/>
        <v>16.526481977739749</v>
      </c>
      <c r="X270" s="18">
        <f t="shared" si="73"/>
        <v>15.350001930039442</v>
      </c>
      <c r="Y270" s="18">
        <f t="shared" si="74"/>
        <v>9.2503695148324727</v>
      </c>
      <c r="Z270" s="18">
        <f t="shared" si="75"/>
        <v>0.65939337941328036</v>
      </c>
      <c r="AA270" s="12">
        <f t="shared" si="76"/>
        <v>1.4854470930859669</v>
      </c>
      <c r="AB270">
        <f t="shared" si="77"/>
        <v>7.4123042742389638</v>
      </c>
      <c r="AC270" s="18">
        <f t="shared" si="66"/>
        <v>0.46541810100207476</v>
      </c>
      <c r="AD270" s="18">
        <f t="shared" si="78"/>
        <v>4.7805213770522714</v>
      </c>
      <c r="AE270" s="12">
        <v>4036.96</v>
      </c>
      <c r="AF270" s="12">
        <v>3749.1439999999998</v>
      </c>
      <c r="AG270" s="8">
        <f t="shared" si="79"/>
        <v>7.6768457013120933E-2</v>
      </c>
      <c r="AH270" s="21">
        <f t="shared" si="64"/>
        <v>4.9758688945443685</v>
      </c>
      <c r="AI270" s="21">
        <f t="shared" si="65"/>
        <v>9.2416362434695039</v>
      </c>
      <c r="AJ270" t="s">
        <v>47</v>
      </c>
      <c r="AK270">
        <v>140949</v>
      </c>
      <c r="AL270">
        <v>2832651</v>
      </c>
      <c r="AM270">
        <v>1525152</v>
      </c>
    </row>
    <row r="271" spans="1:39" x14ac:dyDescent="0.3">
      <c r="A271" t="s">
        <v>48</v>
      </c>
      <c r="B271">
        <v>2019</v>
      </c>
      <c r="C271">
        <v>71.888000000000005</v>
      </c>
      <c r="D271">
        <v>1233.241</v>
      </c>
      <c r="E271">
        <v>304.392</v>
      </c>
      <c r="F271">
        <v>244.47800000000001</v>
      </c>
      <c r="G271">
        <v>1537.633</v>
      </c>
      <c r="H271">
        <v>599.10599999999999</v>
      </c>
      <c r="I271">
        <v>938.52800000000002</v>
      </c>
      <c r="J271">
        <v>241.89</v>
      </c>
      <c r="K271" s="4">
        <f t="shared" si="67"/>
        <v>2.7958236745225</v>
      </c>
      <c r="L271" s="5">
        <v>2.7958236745225001E-2</v>
      </c>
      <c r="M271" s="19">
        <f t="shared" si="68"/>
        <v>7.3592627010500564</v>
      </c>
      <c r="N271" s="5">
        <v>7.3592627010500566E-2</v>
      </c>
      <c r="O271" s="19">
        <f t="shared" si="69"/>
        <v>7.71</v>
      </c>
      <c r="P271" s="8">
        <v>7.7100000000000002E-2</v>
      </c>
      <c r="Q271" s="19">
        <f t="shared" si="70"/>
        <v>23.0502416666667</v>
      </c>
      <c r="R271">
        <v>23050.241666666701</v>
      </c>
      <c r="S271" s="4">
        <f t="shared" si="71"/>
        <v>3.2958368660043291</v>
      </c>
      <c r="T271" s="15">
        <v>1993</v>
      </c>
      <c r="U271" s="15">
        <v>117.24</v>
      </c>
      <c r="V271" s="15">
        <v>163.52000000000001</v>
      </c>
      <c r="W271" s="4">
        <f t="shared" si="72"/>
        <v>16.526481977739749</v>
      </c>
      <c r="X271" s="18">
        <f t="shared" si="73"/>
        <v>7.6596542671076406</v>
      </c>
      <c r="Y271" s="18">
        <f t="shared" si="74"/>
        <v>4.6752378493437643</v>
      </c>
      <c r="Z271" s="18">
        <f t="shared" si="75"/>
        <v>0.63834643185925188</v>
      </c>
      <c r="AA271" s="12">
        <f t="shared" si="76"/>
        <v>5.0983546240026465</v>
      </c>
      <c r="AB271">
        <f t="shared" si="77"/>
        <v>6.8462343789772042</v>
      </c>
      <c r="AC271" s="18">
        <f t="shared" si="66"/>
        <v>0.15899632747216014</v>
      </c>
      <c r="AD271" s="18">
        <f t="shared" si="78"/>
        <v>4.7805213770522714</v>
      </c>
      <c r="AE271" s="12">
        <v>1007.852</v>
      </c>
      <c r="AF271" s="12">
        <v>1182.921</v>
      </c>
      <c r="AG271" s="8">
        <f t="shared" si="79"/>
        <v>-0.14799720353261128</v>
      </c>
      <c r="AH271" s="21">
        <f t="shared" si="64"/>
        <v>5.1145114498028006</v>
      </c>
      <c r="AI271" s="21">
        <f t="shared" si="65"/>
        <v>8.384296770573771</v>
      </c>
      <c r="AJ271" t="s">
        <v>48</v>
      </c>
      <c r="AK271">
        <v>76212</v>
      </c>
      <c r="AL271">
        <v>1490113</v>
      </c>
      <c r="AM271">
        <v>908985</v>
      </c>
    </row>
    <row r="272" spans="1:39" x14ac:dyDescent="0.3">
      <c r="A272" t="s">
        <v>49</v>
      </c>
      <c r="B272">
        <v>2019</v>
      </c>
      <c r="C272">
        <v>229.77600000000001</v>
      </c>
      <c r="D272">
        <v>1098.183</v>
      </c>
      <c r="E272">
        <v>422.65600000000001</v>
      </c>
      <c r="F272">
        <v>267.15300000000002</v>
      </c>
      <c r="G272">
        <v>1520.8389999999999</v>
      </c>
      <c r="H272">
        <v>582.08100000000002</v>
      </c>
      <c r="I272">
        <v>938.75800000000004</v>
      </c>
      <c r="J272">
        <v>571.85</v>
      </c>
      <c r="K272" s="4">
        <f t="shared" si="67"/>
        <v>2.7958236745225</v>
      </c>
      <c r="L272" s="5">
        <v>2.7958236745225001E-2</v>
      </c>
      <c r="M272" s="19">
        <f t="shared" si="68"/>
        <v>7.3592627010500564</v>
      </c>
      <c r="N272" s="5">
        <v>7.3592627010500566E-2</v>
      </c>
      <c r="O272" s="19">
        <f t="shared" si="69"/>
        <v>7.71</v>
      </c>
      <c r="P272" s="8">
        <v>7.7100000000000002E-2</v>
      </c>
      <c r="Q272" s="19">
        <f t="shared" si="70"/>
        <v>23.0502416666667</v>
      </c>
      <c r="R272">
        <v>23050.241666666701</v>
      </c>
      <c r="S272" s="4">
        <f t="shared" si="71"/>
        <v>3.1780538303479458</v>
      </c>
      <c r="T272" s="15">
        <v>1996</v>
      </c>
      <c r="U272" s="15">
        <v>117.24</v>
      </c>
      <c r="V272" s="15">
        <v>163.52000000000001</v>
      </c>
      <c r="W272" s="4">
        <f t="shared" si="72"/>
        <v>16.526481977739749</v>
      </c>
      <c r="X272" s="18">
        <f t="shared" si="73"/>
        <v>24.476595672154058</v>
      </c>
      <c r="Y272" s="18">
        <f t="shared" si="74"/>
        <v>15.108502609414936</v>
      </c>
      <c r="Z272" s="18">
        <f t="shared" si="75"/>
        <v>0.62005436970976546</v>
      </c>
      <c r="AA272" s="12">
        <f t="shared" si="76"/>
        <v>1.9204039520853369</v>
      </c>
      <c r="AB272">
        <f t="shared" si="77"/>
        <v>6.8352523142158441</v>
      </c>
      <c r="AC272" s="18">
        <f t="shared" si="66"/>
        <v>0.17566159205543785</v>
      </c>
      <c r="AD272" s="18">
        <f t="shared" si="78"/>
        <v>4.7805213770522714</v>
      </c>
      <c r="AE272" s="12">
        <v>3730.0909999999999</v>
      </c>
      <c r="AF272" s="12">
        <v>3813.71</v>
      </c>
      <c r="AG272" s="8">
        <f t="shared" si="79"/>
        <v>-2.1925893683578494E-2</v>
      </c>
      <c r="AH272" s="21">
        <f t="shared" si="64"/>
        <v>12.07134086476856</v>
      </c>
      <c r="AI272" s="21">
        <f t="shared" si="65"/>
        <v>26.199126482896162</v>
      </c>
      <c r="AJ272" t="s">
        <v>49</v>
      </c>
      <c r="AK272">
        <v>180496</v>
      </c>
      <c r="AL272">
        <v>1495244</v>
      </c>
      <c r="AM272">
        <v>688939</v>
      </c>
    </row>
    <row r="273" spans="1:39" x14ac:dyDescent="0.3">
      <c r="A273" t="s">
        <v>50</v>
      </c>
      <c r="B273">
        <v>2019</v>
      </c>
      <c r="C273">
        <v>74.221000000000004</v>
      </c>
      <c r="D273">
        <v>340.35500000000002</v>
      </c>
      <c r="E273">
        <v>47.024000000000001</v>
      </c>
      <c r="F273">
        <v>42.359000000000002</v>
      </c>
      <c r="G273">
        <v>387.38</v>
      </c>
      <c r="H273">
        <v>109.05500000000001</v>
      </c>
      <c r="I273">
        <v>278.32499999999999</v>
      </c>
      <c r="J273">
        <v>105.55</v>
      </c>
      <c r="K273" s="4">
        <f t="shared" si="67"/>
        <v>2.7958236745225</v>
      </c>
      <c r="L273" s="5">
        <v>2.7958236745225001E-2</v>
      </c>
      <c r="M273" s="19">
        <f t="shared" si="68"/>
        <v>7.3592627010500564</v>
      </c>
      <c r="N273" s="5">
        <v>7.3592627010500566E-2</v>
      </c>
      <c r="O273" s="19">
        <f t="shared" si="69"/>
        <v>7.71</v>
      </c>
      <c r="P273" s="8">
        <v>7.7100000000000002E-2</v>
      </c>
      <c r="Q273" s="19">
        <f t="shared" si="70"/>
        <v>23.0502416666667</v>
      </c>
      <c r="R273">
        <v>23050.241666666701</v>
      </c>
      <c r="S273" s="4">
        <f t="shared" si="71"/>
        <v>3.3672958299864741</v>
      </c>
      <c r="T273" s="15">
        <v>1991</v>
      </c>
      <c r="U273" s="15">
        <v>117.24</v>
      </c>
      <c r="V273" s="15">
        <v>163.52000000000001</v>
      </c>
      <c r="W273" s="4">
        <f t="shared" si="72"/>
        <v>16.526481977739749</v>
      </c>
      <c r="X273" s="18">
        <f t="shared" si="73"/>
        <v>26.667025958861046</v>
      </c>
      <c r="Y273" s="18">
        <f t="shared" si="74"/>
        <v>19.159739790386702</v>
      </c>
      <c r="Z273" s="18">
        <f t="shared" si="75"/>
        <v>0.39182610257792155</v>
      </c>
      <c r="AA273" s="12">
        <f t="shared" si="76"/>
        <v>3.224585504500237</v>
      </c>
      <c r="AB273">
        <f t="shared" si="77"/>
        <v>5.4676410023868449</v>
      </c>
      <c r="AC273" s="18">
        <f t="shared" si="66"/>
        <v>0.1093474108110899</v>
      </c>
      <c r="AD273" s="18">
        <f t="shared" si="78"/>
        <v>4.7805213770522714</v>
      </c>
      <c r="AE273" s="12">
        <v>345.63400000000001</v>
      </c>
      <c r="AF273" s="12">
        <v>392.84899999999999</v>
      </c>
      <c r="AG273" s="8">
        <f t="shared" si="79"/>
        <v>-0.12018612749427891</v>
      </c>
      <c r="AH273" s="21">
        <f t="shared" si="64"/>
        <v>26.085831268683627</v>
      </c>
      <c r="AI273" s="21">
        <f t="shared" si="65"/>
        <v>34.676639993814987</v>
      </c>
      <c r="AJ273" t="s">
        <v>50</v>
      </c>
      <c r="AK273">
        <v>89705</v>
      </c>
      <c r="AL273">
        <v>343884</v>
      </c>
      <c r="AM273">
        <v>258690</v>
      </c>
    </row>
    <row r="274" spans="1:39" x14ac:dyDescent="0.3">
      <c r="A274" t="s">
        <v>51</v>
      </c>
      <c r="B274">
        <v>2019</v>
      </c>
      <c r="C274">
        <v>160.518</v>
      </c>
      <c r="D274">
        <v>1543.9780000000001</v>
      </c>
      <c r="E274">
        <v>354.47199999999998</v>
      </c>
      <c r="F274">
        <v>138.54900000000001</v>
      </c>
      <c r="G274">
        <v>1898.4490000000001</v>
      </c>
      <c r="H274">
        <v>1061.9739999999999</v>
      </c>
      <c r="I274">
        <v>836.47500000000002</v>
      </c>
      <c r="J274">
        <v>1059.3699999999999</v>
      </c>
      <c r="K274" s="4">
        <f t="shared" si="67"/>
        <v>2.7958236745225</v>
      </c>
      <c r="L274" s="5">
        <v>2.7958236745225001E-2</v>
      </c>
      <c r="M274" s="19">
        <f t="shared" si="68"/>
        <v>7.3592627010500564</v>
      </c>
      <c r="N274" s="5">
        <v>7.3592627010500566E-2</v>
      </c>
      <c r="O274" s="19">
        <f t="shared" si="69"/>
        <v>7.71</v>
      </c>
      <c r="P274" s="8">
        <v>7.7100000000000002E-2</v>
      </c>
      <c r="Q274" s="19">
        <f t="shared" si="70"/>
        <v>23.0502416666667</v>
      </c>
      <c r="R274">
        <v>23050.241666666701</v>
      </c>
      <c r="S274" s="4">
        <f t="shared" si="71"/>
        <v>3.6375861597263857</v>
      </c>
      <c r="T274" s="15">
        <v>1982</v>
      </c>
      <c r="U274" s="15">
        <v>117.24</v>
      </c>
      <c r="V274" s="15">
        <v>163.52000000000001</v>
      </c>
      <c r="W274" s="4">
        <f t="shared" si="72"/>
        <v>16.526481977739749</v>
      </c>
      <c r="X274" s="18">
        <f t="shared" si="73"/>
        <v>19.189814399713082</v>
      </c>
      <c r="Y274" s="18">
        <f t="shared" si="74"/>
        <v>8.4552179173630684</v>
      </c>
      <c r="Z274" s="18">
        <f t="shared" si="75"/>
        <v>1.2695824740727457</v>
      </c>
      <c r="AA274" s="12">
        <f t="shared" si="76"/>
        <v>1.4574492386984719</v>
      </c>
      <c r="AB274">
        <f t="shared" si="77"/>
        <v>7.0570273949706417</v>
      </c>
      <c r="AC274" s="18">
        <f t="shared" si="66"/>
        <v>7.2980101124654917E-2</v>
      </c>
      <c r="AD274" s="18">
        <f t="shared" si="78"/>
        <v>4.7805213770522714</v>
      </c>
      <c r="AE274" s="12">
        <v>2538.355</v>
      </c>
      <c r="AF274" s="12">
        <v>2253.6309999999999</v>
      </c>
      <c r="AG274" s="8">
        <f t="shared" si="79"/>
        <v>0.12634011512976179</v>
      </c>
      <c r="AH274" s="21">
        <f t="shared" si="64"/>
        <v>8.8535593459452571</v>
      </c>
      <c r="AI274" s="21">
        <f t="shared" si="65"/>
        <v>23.016808951232036</v>
      </c>
      <c r="AJ274" t="s">
        <v>51</v>
      </c>
      <c r="AK274">
        <v>163168</v>
      </c>
      <c r="AL274">
        <v>1842965</v>
      </c>
      <c r="AM274">
        <v>708908</v>
      </c>
    </row>
    <row r="275" spans="1:39" x14ac:dyDescent="0.3">
      <c r="A275" t="s">
        <v>52</v>
      </c>
      <c r="B275">
        <v>2019</v>
      </c>
      <c r="C275">
        <v>104.449</v>
      </c>
      <c r="D275">
        <v>820.45299999999997</v>
      </c>
      <c r="E275">
        <v>208.535</v>
      </c>
      <c r="F275">
        <v>158.33500000000001</v>
      </c>
      <c r="G275">
        <v>1028.9880000000001</v>
      </c>
      <c r="H275">
        <v>545.56299999999999</v>
      </c>
      <c r="I275">
        <v>483.42500000000001</v>
      </c>
      <c r="J275">
        <v>535.59</v>
      </c>
      <c r="K275" s="4">
        <f t="shared" si="67"/>
        <v>2.7958236745225</v>
      </c>
      <c r="L275" s="5">
        <v>2.7958236745225001E-2</v>
      </c>
      <c r="M275" s="19">
        <f t="shared" si="68"/>
        <v>7.3592627010500564</v>
      </c>
      <c r="N275" s="5">
        <v>7.3592627010500566E-2</v>
      </c>
      <c r="O275" s="19">
        <f t="shared" si="69"/>
        <v>7.71</v>
      </c>
      <c r="P275" s="8">
        <v>7.7100000000000002E-2</v>
      </c>
      <c r="Q275" s="19">
        <f t="shared" si="70"/>
        <v>23.0502416666667</v>
      </c>
      <c r="R275">
        <v>23050.241666666701</v>
      </c>
      <c r="S275" s="4">
        <f t="shared" si="71"/>
        <v>3.784189633918261</v>
      </c>
      <c r="T275" s="15">
        <v>1976</v>
      </c>
      <c r="U275" s="15">
        <v>117.24</v>
      </c>
      <c r="V275" s="15">
        <v>163.52000000000001</v>
      </c>
      <c r="W275" s="4">
        <f t="shared" si="72"/>
        <v>16.526481977739749</v>
      </c>
      <c r="X275" s="18">
        <f t="shared" si="73"/>
        <v>21.606040233748772</v>
      </c>
      <c r="Y275" s="18">
        <f t="shared" si="74"/>
        <v>10.150652874474726</v>
      </c>
      <c r="Z275" s="18">
        <f t="shared" si="75"/>
        <v>1.1285370016031442</v>
      </c>
      <c r="AA275" s="12">
        <f t="shared" si="76"/>
        <v>1.5318676599637782</v>
      </c>
      <c r="AB275">
        <f t="shared" si="77"/>
        <v>6.4445659529312218</v>
      </c>
      <c r="AC275" s="18">
        <f t="shared" si="66"/>
        <v>0.15387448638856818</v>
      </c>
      <c r="AD275" s="18">
        <f t="shared" si="78"/>
        <v>4.7805213770522714</v>
      </c>
      <c r="AE275" s="12">
        <v>1749.298</v>
      </c>
      <c r="AF275" s="12">
        <v>2045.3230000000001</v>
      </c>
      <c r="AG275" s="8">
        <f t="shared" si="79"/>
        <v>-0.14473264125030622</v>
      </c>
      <c r="AH275" s="21">
        <f t="shared" si="64"/>
        <v>11.912743377191854</v>
      </c>
      <c r="AI275" s="21">
        <f t="shared" si="65"/>
        <v>31.634248299382286</v>
      </c>
      <c r="AJ275" t="s">
        <v>52</v>
      </c>
      <c r="AK275">
        <v>120399</v>
      </c>
      <c r="AL275">
        <v>1010674</v>
      </c>
      <c r="AM275">
        <v>380597</v>
      </c>
    </row>
    <row r="276" spans="1:39" x14ac:dyDescent="0.3">
      <c r="A276" t="s">
        <v>53</v>
      </c>
      <c r="B276">
        <v>2019</v>
      </c>
      <c r="C276">
        <v>-1808.8040000000001</v>
      </c>
      <c r="D276">
        <v>7073.6750000000002</v>
      </c>
      <c r="E276">
        <v>31558.812000000002</v>
      </c>
      <c r="F276">
        <v>10280.436</v>
      </c>
      <c r="G276">
        <v>38632.487000000001</v>
      </c>
      <c r="H276">
        <v>21823.683000000001</v>
      </c>
      <c r="I276">
        <v>16808.804</v>
      </c>
      <c r="J276">
        <v>8089.79</v>
      </c>
      <c r="K276" s="4">
        <f t="shared" si="67"/>
        <v>2.7958236745225</v>
      </c>
      <c r="L276" s="5">
        <v>2.7958236745225001E-2</v>
      </c>
      <c r="M276" s="19">
        <f t="shared" si="68"/>
        <v>7.3592627010500564</v>
      </c>
      <c r="N276" s="5">
        <v>7.3592627010500566E-2</v>
      </c>
      <c r="O276" s="19">
        <f t="shared" si="69"/>
        <v>7.71</v>
      </c>
      <c r="P276" s="8">
        <v>7.7100000000000002E-2</v>
      </c>
      <c r="Q276" s="19">
        <f t="shared" si="70"/>
        <v>23.0502416666667</v>
      </c>
      <c r="R276">
        <v>23050.241666666701</v>
      </c>
      <c r="S276" s="4">
        <f t="shared" si="71"/>
        <v>3.2958368660043291</v>
      </c>
      <c r="T276" s="15">
        <v>1993</v>
      </c>
      <c r="U276" s="15">
        <v>117.24</v>
      </c>
      <c r="V276" s="15">
        <v>163.52000000000001</v>
      </c>
      <c r="W276" s="4">
        <f t="shared" si="72"/>
        <v>16.526481977739749</v>
      </c>
      <c r="X276" s="18">
        <f t="shared" si="73"/>
        <v>-10.761051172944844</v>
      </c>
      <c r="Y276" s="18">
        <f t="shared" si="74"/>
        <v>-4.6820801363370679</v>
      </c>
      <c r="Z276" s="18">
        <f t="shared" si="75"/>
        <v>1.2983483536365823</v>
      </c>
      <c r="AA276" s="12">
        <f t="shared" si="76"/>
        <v>0.87439537985534854</v>
      </c>
      <c r="AB276">
        <f t="shared" si="77"/>
        <v>10.070083712576306</v>
      </c>
      <c r="AC276" s="18">
        <f t="shared" si="66"/>
        <v>0.26610857333621829</v>
      </c>
      <c r="AD276" s="18">
        <f t="shared" si="78"/>
        <v>4.7805213770522714</v>
      </c>
      <c r="AE276" s="12">
        <v>2091.8330000000001</v>
      </c>
      <c r="AF276" s="12">
        <v>5388.2</v>
      </c>
      <c r="AG276" s="8">
        <f t="shared" si="79"/>
        <v>-0.61177517538324488</v>
      </c>
      <c r="AH276" s="21">
        <f t="shared" si="64"/>
        <v>1.2978201734215324E-2</v>
      </c>
      <c r="AI276" s="21">
        <f t="shared" si="65"/>
        <v>3.7142596937329957E-2</v>
      </c>
      <c r="AJ276" t="s">
        <v>53</v>
      </c>
      <c r="AK276">
        <v>6244</v>
      </c>
      <c r="AL276">
        <v>48111442</v>
      </c>
      <c r="AM276">
        <v>16810887</v>
      </c>
    </row>
    <row r="277" spans="1:39" x14ac:dyDescent="0.3">
      <c r="A277" t="s">
        <v>54</v>
      </c>
      <c r="B277">
        <v>2019</v>
      </c>
      <c r="C277">
        <v>50.670999999999999</v>
      </c>
      <c r="D277">
        <v>1245.7629999999999</v>
      </c>
      <c r="E277">
        <v>386.43799999999999</v>
      </c>
      <c r="F277">
        <v>333.46499999999997</v>
      </c>
      <c r="G277">
        <v>1632.201</v>
      </c>
      <c r="H277">
        <v>1166.635</v>
      </c>
      <c r="I277">
        <v>465.56599999999997</v>
      </c>
      <c r="J277">
        <v>1162.6099999999999</v>
      </c>
      <c r="K277" s="4">
        <f t="shared" si="67"/>
        <v>2.7958236745225</v>
      </c>
      <c r="L277" s="5">
        <v>2.7958236745225001E-2</v>
      </c>
      <c r="M277" s="19">
        <f t="shared" si="68"/>
        <v>7.3592627010500564</v>
      </c>
      <c r="N277" s="5">
        <v>7.3592627010500566E-2</v>
      </c>
      <c r="O277" s="19">
        <f t="shared" si="69"/>
        <v>7.71</v>
      </c>
      <c r="P277" s="8">
        <v>7.7100000000000002E-2</v>
      </c>
      <c r="Q277" s="19">
        <f t="shared" si="70"/>
        <v>23.0502416666667</v>
      </c>
      <c r="R277">
        <v>23050.241666666701</v>
      </c>
      <c r="S277" s="4">
        <f t="shared" si="71"/>
        <v>3.3322045101752038</v>
      </c>
      <c r="T277" s="15">
        <v>1992</v>
      </c>
      <c r="U277" s="15">
        <v>117.24</v>
      </c>
      <c r="V277" s="15">
        <v>163.52000000000001</v>
      </c>
      <c r="W277" s="4">
        <f t="shared" si="72"/>
        <v>16.526481977739749</v>
      </c>
      <c r="X277" s="18">
        <f t="shared" si="73"/>
        <v>10.883741510333659</v>
      </c>
      <c r="Y277" s="18">
        <f t="shared" si="74"/>
        <v>3.1044583357074282</v>
      </c>
      <c r="Z277" s="18">
        <f t="shared" si="75"/>
        <v>2.5058423510307883</v>
      </c>
      <c r="AA277" s="12">
        <f t="shared" si="76"/>
        <v>1.0715226946267451</v>
      </c>
      <c r="AB277">
        <f t="shared" si="77"/>
        <v>6.9059195686777226</v>
      </c>
      <c r="AC277" s="18">
        <f t="shared" si="66"/>
        <v>0.20430388169104172</v>
      </c>
      <c r="AD277" s="18">
        <f t="shared" si="78"/>
        <v>4.7805213770522714</v>
      </c>
      <c r="AE277" s="12">
        <v>5152.924</v>
      </c>
      <c r="AF277" s="12">
        <v>4756.0060000000003</v>
      </c>
      <c r="AG277" s="8">
        <f t="shared" si="79"/>
        <v>8.3456160484238165E-2</v>
      </c>
      <c r="AH277" s="21">
        <f t="shared" si="64"/>
        <v>5.4049993478537237</v>
      </c>
      <c r="AI277" s="21">
        <f t="shared" si="65"/>
        <v>21.690725019214291</v>
      </c>
      <c r="AJ277" t="s">
        <v>54</v>
      </c>
      <c r="AK277">
        <v>98213</v>
      </c>
      <c r="AL277">
        <v>1817077</v>
      </c>
      <c r="AM277">
        <v>452788</v>
      </c>
    </row>
    <row r="278" spans="1:39" x14ac:dyDescent="0.3">
      <c r="A278" t="s">
        <v>55</v>
      </c>
      <c r="B278">
        <v>2019</v>
      </c>
      <c r="C278">
        <v>195.26</v>
      </c>
      <c r="D278">
        <v>2473.415</v>
      </c>
      <c r="E278">
        <v>1154.309</v>
      </c>
      <c r="F278">
        <v>21.422000000000001</v>
      </c>
      <c r="G278">
        <v>3627.7240000000002</v>
      </c>
      <c r="H278">
        <v>195.66</v>
      </c>
      <c r="I278">
        <v>3432.0639999999999</v>
      </c>
      <c r="J278">
        <v>135.13</v>
      </c>
      <c r="K278" s="4">
        <f t="shared" si="67"/>
        <v>2.7958236745225</v>
      </c>
      <c r="L278" s="5">
        <v>2.7958236745225001E-2</v>
      </c>
      <c r="M278" s="19">
        <f t="shared" si="68"/>
        <v>7.3592627010500564</v>
      </c>
      <c r="N278" s="5">
        <v>7.3592627010500566E-2</v>
      </c>
      <c r="O278" s="19">
        <f t="shared" si="69"/>
        <v>7.71</v>
      </c>
      <c r="P278" s="8">
        <v>7.7100000000000002E-2</v>
      </c>
      <c r="Q278" s="19">
        <f t="shared" si="70"/>
        <v>23.0502416666667</v>
      </c>
      <c r="R278">
        <v>23050.241666666701</v>
      </c>
      <c r="S278" s="4">
        <f t="shared" si="71"/>
        <v>2.4849066497880004</v>
      </c>
      <c r="T278" s="15">
        <v>2008</v>
      </c>
      <c r="U278" s="15">
        <v>117.24</v>
      </c>
      <c r="V278" s="15">
        <v>163.52000000000001</v>
      </c>
      <c r="W278" s="4">
        <f t="shared" si="72"/>
        <v>16.526481977739749</v>
      </c>
      <c r="X278" s="18">
        <f t="shared" si="73"/>
        <v>5.6892878454481037</v>
      </c>
      <c r="Y278" s="18">
        <f t="shared" si="74"/>
        <v>5.3824381347643859</v>
      </c>
      <c r="Z278" s="18">
        <f t="shared" si="75"/>
        <v>5.7009426397642934E-2</v>
      </c>
      <c r="AA278" s="12">
        <f t="shared" si="76"/>
        <v>18.303966550728926</v>
      </c>
      <c r="AB278">
        <f t="shared" si="77"/>
        <v>7.7045956123414951</v>
      </c>
      <c r="AC278" s="18">
        <f t="shared" si="66"/>
        <v>5.9050798792851938E-3</v>
      </c>
      <c r="AD278" s="18">
        <f t="shared" si="78"/>
        <v>4.7805213770522714</v>
      </c>
      <c r="AE278" s="12">
        <v>592.39599999999996</v>
      </c>
      <c r="AF278" s="12">
        <v>1152.336</v>
      </c>
      <c r="AG278" s="8">
        <f t="shared" si="79"/>
        <v>-0.48591730189805754</v>
      </c>
      <c r="AH278" s="21">
        <f t="shared" si="64"/>
        <v>5.5340505391023953</v>
      </c>
      <c r="AI278" s="21">
        <f t="shared" si="65"/>
        <v>5.9506231155470628</v>
      </c>
      <c r="AJ278" t="s">
        <v>55</v>
      </c>
      <c r="AK278">
        <v>194004</v>
      </c>
      <c r="AL278">
        <v>3505642</v>
      </c>
      <c r="AM278">
        <v>3260230</v>
      </c>
    </row>
    <row r="279" spans="1:39" x14ac:dyDescent="0.3">
      <c r="A279" t="s">
        <v>56</v>
      </c>
      <c r="B279">
        <v>2019</v>
      </c>
      <c r="C279">
        <v>-2444.4009999999998</v>
      </c>
      <c r="D279">
        <v>3872.4229999999998</v>
      </c>
      <c r="E279">
        <v>19408.065999999999</v>
      </c>
      <c r="F279">
        <v>8518.0159999999996</v>
      </c>
      <c r="G279">
        <v>23280.489000000001</v>
      </c>
      <c r="H279">
        <v>13542.536</v>
      </c>
      <c r="I279">
        <v>9737.9529999999995</v>
      </c>
      <c r="J279">
        <v>7912.95</v>
      </c>
      <c r="K279" s="4">
        <f t="shared" si="67"/>
        <v>2.7958236745225</v>
      </c>
      <c r="L279" s="5">
        <v>2.7958236745225001E-2</v>
      </c>
      <c r="M279" s="19">
        <f t="shared" si="68"/>
        <v>7.3592627010500564</v>
      </c>
      <c r="N279" s="5">
        <v>7.3592627010500566E-2</v>
      </c>
      <c r="O279" s="19">
        <f t="shared" si="69"/>
        <v>7.71</v>
      </c>
      <c r="P279" s="8">
        <v>7.7100000000000002E-2</v>
      </c>
      <c r="Q279" s="19">
        <f t="shared" si="70"/>
        <v>23.0502416666667</v>
      </c>
      <c r="R279">
        <v>23050.241666666701</v>
      </c>
      <c r="S279" s="4">
        <f t="shared" si="71"/>
        <v>2.3025850929940459</v>
      </c>
      <c r="T279" s="15">
        <v>2010</v>
      </c>
      <c r="U279" s="15">
        <v>117.24</v>
      </c>
      <c r="V279" s="15">
        <v>163.52000000000001</v>
      </c>
      <c r="W279" s="4">
        <f t="shared" si="72"/>
        <v>16.526481977739749</v>
      </c>
      <c r="X279" s="18">
        <f t="shared" si="73"/>
        <v>-25.101795007636614</v>
      </c>
      <c r="Y279" s="18">
        <f t="shared" si="74"/>
        <v>-10.499783745951383</v>
      </c>
      <c r="Z279" s="18">
        <f t="shared" si="75"/>
        <v>1.3906963814674398</v>
      </c>
      <c r="AA279" s="12">
        <f t="shared" si="76"/>
        <v>0.48937791847541057</v>
      </c>
      <c r="AB279">
        <f t="shared" si="77"/>
        <v>9.5636057857521592</v>
      </c>
      <c r="AC279" s="18">
        <f t="shared" si="66"/>
        <v>0.36588647257366452</v>
      </c>
      <c r="AD279" s="18">
        <f t="shared" si="78"/>
        <v>4.7805213770522714</v>
      </c>
      <c r="AE279" s="12">
        <v>1810.7750000000001</v>
      </c>
      <c r="AF279" s="12">
        <v>3688.3449999999998</v>
      </c>
      <c r="AG279" s="8">
        <f t="shared" si="79"/>
        <v>-0.50905487420509732</v>
      </c>
      <c r="AH279" s="21">
        <f t="shared" si="64"/>
        <v>-2.1489734849395483</v>
      </c>
      <c r="AI279" s="21">
        <f t="shared" si="65"/>
        <v>-6.1457679894019073</v>
      </c>
      <c r="AJ279" t="s">
        <v>56</v>
      </c>
      <c r="AK279">
        <v>-656115</v>
      </c>
      <c r="AL279">
        <v>30531554</v>
      </c>
      <c r="AM279">
        <v>10675883</v>
      </c>
    </row>
    <row r="280" spans="1:39" x14ac:dyDescent="0.3">
      <c r="A280" t="s">
        <v>57</v>
      </c>
      <c r="B280">
        <v>2019</v>
      </c>
      <c r="C280">
        <v>47.113</v>
      </c>
      <c r="D280">
        <v>172.30099999999999</v>
      </c>
      <c r="E280">
        <v>73.772999999999996</v>
      </c>
      <c r="F280">
        <v>11.336</v>
      </c>
      <c r="G280">
        <v>246.07499999999999</v>
      </c>
      <c r="H280">
        <v>11.226000000000001</v>
      </c>
      <c r="I280">
        <v>234.84800000000001</v>
      </c>
      <c r="J280">
        <v>11.23</v>
      </c>
      <c r="K280" s="4">
        <f t="shared" si="67"/>
        <v>2.7958236745225</v>
      </c>
      <c r="L280" s="5">
        <v>2.7958236745225001E-2</v>
      </c>
      <c r="M280" s="19">
        <f t="shared" si="68"/>
        <v>7.3592627010500564</v>
      </c>
      <c r="N280" s="5">
        <v>7.3592627010500566E-2</v>
      </c>
      <c r="O280" s="19">
        <f t="shared" si="69"/>
        <v>7.71</v>
      </c>
      <c r="P280" s="8">
        <v>7.7100000000000002E-2</v>
      </c>
      <c r="Q280" s="19">
        <f t="shared" si="70"/>
        <v>23.0502416666667</v>
      </c>
      <c r="R280">
        <v>23050.241666666701</v>
      </c>
      <c r="S280" s="4">
        <f t="shared" si="71"/>
        <v>1.6094379124341003</v>
      </c>
      <c r="T280" s="15">
        <v>2015</v>
      </c>
      <c r="U280" s="15">
        <v>117.24</v>
      </c>
      <c r="V280" s="15">
        <v>163.52000000000001</v>
      </c>
      <c r="W280" s="4">
        <f t="shared" si="72"/>
        <v>16.526481977739749</v>
      </c>
      <c r="X280" s="18">
        <f t="shared" si="73"/>
        <v>20.061060771222238</v>
      </c>
      <c r="Y280" s="18">
        <f t="shared" si="74"/>
        <v>19.145788885502387</v>
      </c>
      <c r="Z280" s="18">
        <f t="shared" si="75"/>
        <v>4.780113094427034E-2</v>
      </c>
      <c r="AA280" s="12">
        <f t="shared" si="76"/>
        <v>15.342920747996436</v>
      </c>
      <c r="AB280">
        <f t="shared" si="77"/>
        <v>5.0138712464880264</v>
      </c>
      <c r="AC280" s="18">
        <f t="shared" si="66"/>
        <v>4.6067255917911207E-2</v>
      </c>
      <c r="AD280" s="18">
        <f t="shared" si="78"/>
        <v>4.7805213770522714</v>
      </c>
      <c r="AE280" s="12">
        <v>464.52600000000001</v>
      </c>
      <c r="AF280" s="12">
        <v>313.15499999999997</v>
      </c>
      <c r="AG280" s="8">
        <f t="shared" si="79"/>
        <v>0.48337404799540179</v>
      </c>
      <c r="AH280" s="21">
        <f t="shared" si="64"/>
        <v>17.21852681525634</v>
      </c>
      <c r="AI280" s="21">
        <f>100*AK280/AM280</f>
        <v>18.36725089935581</v>
      </c>
      <c r="AJ280" t="s">
        <v>57</v>
      </c>
      <c r="AK280">
        <v>35127</v>
      </c>
      <c r="AL280">
        <v>204007</v>
      </c>
      <c r="AM280">
        <v>191248</v>
      </c>
    </row>
    <row r="281" spans="1:39" x14ac:dyDescent="0.3">
      <c r="A281" t="s">
        <v>58</v>
      </c>
      <c r="B281">
        <v>2019</v>
      </c>
      <c r="C281">
        <v>116.65300000000001</v>
      </c>
      <c r="D281">
        <v>948.10199999999998</v>
      </c>
      <c r="E281">
        <v>824.399</v>
      </c>
      <c r="F281">
        <v>743.07</v>
      </c>
      <c r="G281">
        <v>1772.501</v>
      </c>
      <c r="H281">
        <v>1291.0409999999999</v>
      </c>
      <c r="I281">
        <v>481.46</v>
      </c>
      <c r="J281">
        <v>911.79</v>
      </c>
      <c r="K281" s="4">
        <f t="shared" si="67"/>
        <v>2.7958236745225</v>
      </c>
      <c r="L281" s="5">
        <v>2.7958236745225001E-2</v>
      </c>
      <c r="M281" s="19">
        <f t="shared" si="68"/>
        <v>7.3592627010500564</v>
      </c>
      <c r="N281" s="5">
        <v>7.3592627010500566E-2</v>
      </c>
      <c r="O281" s="19">
        <f t="shared" si="69"/>
        <v>7.71</v>
      </c>
      <c r="P281" s="8">
        <v>7.7100000000000002E-2</v>
      </c>
      <c r="Q281" s="19">
        <f t="shared" si="70"/>
        <v>23.0502416666667</v>
      </c>
      <c r="R281">
        <v>23050.241666666701</v>
      </c>
      <c r="S281" s="4">
        <f t="shared" si="71"/>
        <v>4.0604430105464191</v>
      </c>
      <c r="T281" s="15">
        <v>1962</v>
      </c>
      <c r="U281" s="15">
        <v>117.24</v>
      </c>
      <c r="V281" s="15">
        <v>163.52000000000001</v>
      </c>
      <c r="W281" s="4">
        <f t="shared" si="72"/>
        <v>16.526481977739749</v>
      </c>
      <c r="X281" s="18">
        <f t="shared" si="73"/>
        <v>24.229011755909113</v>
      </c>
      <c r="Y281" s="18">
        <f t="shared" si="74"/>
        <v>6.5812656805271192</v>
      </c>
      <c r="Z281" s="18">
        <f t="shared" si="75"/>
        <v>2.68151248286462</v>
      </c>
      <c r="AA281" s="12">
        <f t="shared" si="76"/>
        <v>1.0398249596946665</v>
      </c>
      <c r="AB281">
        <f t="shared" si="77"/>
        <v>6.9883817015537693</v>
      </c>
      <c r="AC281" s="18">
        <f t="shared" si="66"/>
        <v>0.41922120213190295</v>
      </c>
      <c r="AD281" s="18">
        <f t="shared" si="78"/>
        <v>4.7805213770522714</v>
      </c>
      <c r="AE281" s="12">
        <v>4254.527</v>
      </c>
      <c r="AF281" s="12">
        <v>4346.085</v>
      </c>
      <c r="AG281" s="8">
        <f t="shared" si="79"/>
        <v>-2.1066776190525494E-2</v>
      </c>
      <c r="AH281" s="21">
        <f t="shared" si="64"/>
        <v>5.0450257085587715</v>
      </c>
      <c r="AI281" s="21">
        <f t="shared" si="65"/>
        <v>22.626054530856063</v>
      </c>
      <c r="AJ281" t="s">
        <v>58</v>
      </c>
      <c r="AK281">
        <v>100602</v>
      </c>
      <c r="AL281">
        <v>1994083</v>
      </c>
      <c r="AM281">
        <v>444629</v>
      </c>
    </row>
    <row r="282" spans="1:39" x14ac:dyDescent="0.3">
      <c r="A282" t="s">
        <v>59</v>
      </c>
      <c r="B282">
        <v>2019</v>
      </c>
      <c r="C282">
        <v>20.625</v>
      </c>
      <c r="D282">
        <v>285.01600000000002</v>
      </c>
      <c r="E282">
        <v>94.599000000000004</v>
      </c>
      <c r="F282">
        <v>43.133000000000003</v>
      </c>
      <c r="G282">
        <v>379.61500000000001</v>
      </c>
      <c r="H282">
        <v>186.41</v>
      </c>
      <c r="I282">
        <v>193.20500000000001</v>
      </c>
      <c r="J282">
        <v>184.77</v>
      </c>
      <c r="K282" s="4">
        <f t="shared" si="67"/>
        <v>2.7958236745225</v>
      </c>
      <c r="L282" s="5">
        <v>2.7958236745225001E-2</v>
      </c>
      <c r="M282" s="19">
        <f t="shared" si="68"/>
        <v>7.3592627010500564</v>
      </c>
      <c r="N282" s="5">
        <v>7.3592627010500566E-2</v>
      </c>
      <c r="O282" s="19">
        <f t="shared" si="69"/>
        <v>7.71</v>
      </c>
      <c r="P282" s="8">
        <v>7.7100000000000002E-2</v>
      </c>
      <c r="Q282" s="19">
        <f t="shared" si="70"/>
        <v>23.0502416666667</v>
      </c>
      <c r="R282">
        <v>23050.241666666701</v>
      </c>
      <c r="S282" s="4">
        <f t="shared" si="71"/>
        <v>3.0910424533583161</v>
      </c>
      <c r="T282" s="15">
        <v>1998</v>
      </c>
      <c r="U282" s="15">
        <v>117.24</v>
      </c>
      <c r="V282" s="15">
        <v>163.52000000000001</v>
      </c>
      <c r="W282" s="4">
        <f t="shared" si="72"/>
        <v>16.526481977739749</v>
      </c>
      <c r="X282" s="18">
        <f t="shared" si="73"/>
        <v>10.675189565487434</v>
      </c>
      <c r="Y282" s="18">
        <f t="shared" si="74"/>
        <v>5.4331362037854136</v>
      </c>
      <c r="Z282" s="18">
        <f t="shared" si="75"/>
        <v>0.96483010274061221</v>
      </c>
      <c r="AA282" s="12">
        <f t="shared" si="76"/>
        <v>1.5425447854088867</v>
      </c>
      <c r="AB282">
        <f t="shared" si="77"/>
        <v>5.447392460207058</v>
      </c>
      <c r="AC282" s="18">
        <f t="shared" si="66"/>
        <v>0.11362301278927335</v>
      </c>
      <c r="AD282" s="18">
        <f t="shared" si="78"/>
        <v>4.7805213770522714</v>
      </c>
      <c r="AE282" s="12">
        <v>823.49</v>
      </c>
      <c r="AF282" s="12">
        <v>785.57600000000002</v>
      </c>
      <c r="AG282" s="8">
        <f t="shared" si="79"/>
        <v>4.8262676049166453E-2</v>
      </c>
      <c r="AH282" s="21">
        <f t="shared" si="64"/>
        <v>1.3158476764299833</v>
      </c>
      <c r="AI282" s="21">
        <f t="shared" si="65"/>
        <v>2.8690064060263349</v>
      </c>
      <c r="AJ282" t="s">
        <v>59</v>
      </c>
      <c r="AK282">
        <v>5652</v>
      </c>
      <c r="AL282">
        <v>429533</v>
      </c>
      <c r="AM282">
        <v>197002</v>
      </c>
    </row>
    <row r="283" spans="1:39" x14ac:dyDescent="0.3">
      <c r="A283" t="s">
        <v>60</v>
      </c>
      <c r="B283">
        <v>2019</v>
      </c>
      <c r="C283">
        <v>325.95600000000002</v>
      </c>
      <c r="D283">
        <v>4944.51</v>
      </c>
      <c r="E283">
        <v>2549.058</v>
      </c>
      <c r="F283">
        <v>1185.231</v>
      </c>
      <c r="G283">
        <v>7493.5680000000002</v>
      </c>
      <c r="H283">
        <v>4602.1809999999996</v>
      </c>
      <c r="I283">
        <v>2891.3870000000002</v>
      </c>
      <c r="J283">
        <v>4095.66</v>
      </c>
      <c r="K283" s="4">
        <f t="shared" si="67"/>
        <v>2.7958236745225</v>
      </c>
      <c r="L283" s="5">
        <v>2.7958236745225001E-2</v>
      </c>
      <c r="M283" s="19">
        <f t="shared" si="68"/>
        <v>7.3592627010500564</v>
      </c>
      <c r="N283" s="5">
        <v>7.3592627010500566E-2</v>
      </c>
      <c r="O283" s="19">
        <f t="shared" si="69"/>
        <v>7.71</v>
      </c>
      <c r="P283" s="8">
        <v>7.7100000000000002E-2</v>
      </c>
      <c r="Q283" s="19">
        <f t="shared" si="70"/>
        <v>23.0502416666667</v>
      </c>
      <c r="R283">
        <v>23050.241666666701</v>
      </c>
      <c r="S283" s="4">
        <f t="shared" si="71"/>
        <v>2.8332133440562162</v>
      </c>
      <c r="T283" s="15">
        <v>2003</v>
      </c>
      <c r="U283" s="15">
        <v>117.24</v>
      </c>
      <c r="V283" s="15">
        <v>163.52000000000001</v>
      </c>
      <c r="W283" s="4">
        <f t="shared" si="72"/>
        <v>16.526481977739749</v>
      </c>
      <c r="X283" s="18">
        <f t="shared" si="73"/>
        <v>11.273343900349555</v>
      </c>
      <c r="Y283" s="18">
        <f t="shared" si="74"/>
        <v>4.3498103973968076</v>
      </c>
      <c r="Z283" s="18">
        <f t="shared" si="75"/>
        <v>1.5916862737502795</v>
      </c>
      <c r="AA283" s="12">
        <f t="shared" si="76"/>
        <v>1.2072559733962294</v>
      </c>
      <c r="AB283">
        <f t="shared" si="77"/>
        <v>8.4300352105478904</v>
      </c>
      <c r="AC283" s="18">
        <f t="shared" si="66"/>
        <v>0.15816644354198159</v>
      </c>
      <c r="AD283" s="18">
        <f t="shared" si="78"/>
        <v>4.7805213770522714</v>
      </c>
      <c r="AE283" s="12">
        <v>7744.4089999999997</v>
      </c>
      <c r="AF283" s="12">
        <v>6342.7060000000001</v>
      </c>
      <c r="AG283" s="8">
        <f t="shared" si="79"/>
        <v>0.22099447775129408</v>
      </c>
      <c r="AH283" s="21">
        <f t="shared" si="64"/>
        <v>9.7287328044946495</v>
      </c>
      <c r="AI283" s="21">
        <f t="shared" si="65"/>
        <v>24.163453945491831</v>
      </c>
      <c r="AJ283" t="s">
        <v>60</v>
      </c>
      <c r="AK283">
        <v>643813</v>
      </c>
      <c r="AL283">
        <v>6617645</v>
      </c>
      <c r="AM283">
        <v>2664408</v>
      </c>
    </row>
    <row r="284" spans="1:39" x14ac:dyDescent="0.3">
      <c r="A284" t="s">
        <v>61</v>
      </c>
      <c r="B284">
        <v>2019</v>
      </c>
      <c r="C284">
        <v>207.25800000000001</v>
      </c>
      <c r="D284">
        <v>4912.9489999999996</v>
      </c>
      <c r="E284">
        <v>7019.2049999999999</v>
      </c>
      <c r="F284">
        <v>2851.64</v>
      </c>
      <c r="G284">
        <v>11932.154</v>
      </c>
      <c r="H284">
        <v>3776.502</v>
      </c>
      <c r="I284">
        <v>8155.652</v>
      </c>
      <c r="J284">
        <v>2684.94</v>
      </c>
      <c r="K284" s="4">
        <f t="shared" si="67"/>
        <v>2.7958236745225</v>
      </c>
      <c r="L284" s="5">
        <v>2.7958236745225001E-2</v>
      </c>
      <c r="M284" s="19">
        <f t="shared" si="68"/>
        <v>7.3592627010500564</v>
      </c>
      <c r="N284" s="5">
        <v>7.3592627010500566E-2</v>
      </c>
      <c r="O284" s="19">
        <f t="shared" si="69"/>
        <v>7.71</v>
      </c>
      <c r="P284" s="8">
        <v>7.7100000000000002E-2</v>
      </c>
      <c r="Q284" s="19">
        <f t="shared" si="70"/>
        <v>23.0502416666667</v>
      </c>
      <c r="R284">
        <v>23050.241666666701</v>
      </c>
      <c r="S284" s="4">
        <f t="shared" si="71"/>
        <v>3.2958368660043291</v>
      </c>
      <c r="T284" s="15">
        <v>1993</v>
      </c>
      <c r="U284" s="15">
        <v>117.24</v>
      </c>
      <c r="V284" s="15">
        <v>163.52000000000001</v>
      </c>
      <c r="W284" s="4">
        <f t="shared" si="72"/>
        <v>16.526481977739749</v>
      </c>
      <c r="X284" s="18">
        <f t="shared" si="73"/>
        <v>2.5412805745021982</v>
      </c>
      <c r="Y284" s="18">
        <f t="shared" si="74"/>
        <v>1.73697054194909</v>
      </c>
      <c r="Z284" s="18">
        <f t="shared" si="75"/>
        <v>0.46305335244809365</v>
      </c>
      <c r="AA284" s="12">
        <f t="shared" si="76"/>
        <v>1.8298170536399321</v>
      </c>
      <c r="AB284">
        <f t="shared" si="77"/>
        <v>8.8952269309941006</v>
      </c>
      <c r="AC284" s="18">
        <f t="shared" si="66"/>
        <v>0.23898786421965387</v>
      </c>
      <c r="AD284" s="18">
        <f t="shared" si="78"/>
        <v>4.7805213770522714</v>
      </c>
      <c r="AE284" s="12">
        <v>7330.2039999999997</v>
      </c>
      <c r="AF284" s="12">
        <v>7720.518</v>
      </c>
      <c r="AG284" s="8">
        <f t="shared" si="79"/>
        <v>-5.0555416100318697E-2</v>
      </c>
      <c r="AH284" s="21">
        <f t="shared" si="64"/>
        <v>1.1799586621630911</v>
      </c>
      <c r="AI284" s="21">
        <f t="shared" si="65"/>
        <v>1.7662931150927845</v>
      </c>
      <c r="AJ284" t="s">
        <v>61</v>
      </c>
      <c r="AK284">
        <v>147631</v>
      </c>
      <c r="AL284">
        <v>12511540</v>
      </c>
      <c r="AM284">
        <v>8358239</v>
      </c>
    </row>
    <row r="285" spans="1:39" x14ac:dyDescent="0.3">
      <c r="A285" t="s">
        <v>62</v>
      </c>
      <c r="B285">
        <v>2019</v>
      </c>
      <c r="C285">
        <v>4.2359999999999998</v>
      </c>
      <c r="D285">
        <v>626.75699999999995</v>
      </c>
      <c r="E285">
        <v>368.43200000000002</v>
      </c>
      <c r="F285">
        <v>345.92200000000003</v>
      </c>
      <c r="G285">
        <v>995.18899999999996</v>
      </c>
      <c r="H285">
        <v>394.75599999999997</v>
      </c>
      <c r="I285">
        <v>600.43299999999999</v>
      </c>
      <c r="J285">
        <v>385</v>
      </c>
      <c r="K285" s="4">
        <f t="shared" si="67"/>
        <v>2.7958236745225</v>
      </c>
      <c r="L285" s="5">
        <v>2.7958236745225001E-2</v>
      </c>
      <c r="M285" s="19">
        <f t="shared" si="68"/>
        <v>7.3592627010500564</v>
      </c>
      <c r="N285" s="5">
        <v>7.3592627010500566E-2</v>
      </c>
      <c r="O285" s="19">
        <f t="shared" si="69"/>
        <v>7.71</v>
      </c>
      <c r="P285" s="8">
        <v>7.7100000000000002E-2</v>
      </c>
      <c r="Q285" s="19">
        <f t="shared" si="70"/>
        <v>23.0502416666667</v>
      </c>
      <c r="R285">
        <v>23050.241666666701</v>
      </c>
      <c r="S285" s="4">
        <f t="shared" si="71"/>
        <v>2.9444389791664403</v>
      </c>
      <c r="T285" s="15">
        <v>2001</v>
      </c>
      <c r="U285" s="15">
        <v>117.24</v>
      </c>
      <c r="V285" s="15">
        <v>163.52000000000001</v>
      </c>
      <c r="W285" s="4">
        <f t="shared" si="72"/>
        <v>16.526481977739749</v>
      </c>
      <c r="X285" s="18">
        <f t="shared" si="73"/>
        <v>0.70549087075493844</v>
      </c>
      <c r="Y285" s="18">
        <f t="shared" si="74"/>
        <v>0.42564779152502685</v>
      </c>
      <c r="Z285" s="18">
        <f t="shared" si="75"/>
        <v>0.65745220532515702</v>
      </c>
      <c r="AA285" s="12">
        <f t="shared" si="76"/>
        <v>1.6279402597402597</v>
      </c>
      <c r="AB285">
        <f t="shared" si="77"/>
        <v>6.4111675478419192</v>
      </c>
      <c r="AC285" s="18">
        <f t="shared" si="66"/>
        <v>0.34759427606213494</v>
      </c>
      <c r="AD285" s="18">
        <f t="shared" si="78"/>
        <v>4.7805213770522714</v>
      </c>
      <c r="AE285" s="12">
        <v>544.95000000000005</v>
      </c>
      <c r="AF285" s="12">
        <v>424.24700000000001</v>
      </c>
      <c r="AG285" s="8">
        <f t="shared" si="79"/>
        <v>0.28451114562978647</v>
      </c>
      <c r="AH285" s="21">
        <f t="shared" si="64"/>
        <v>0.41155508245338518</v>
      </c>
      <c r="AI285" s="21">
        <f t="shared" si="65"/>
        <v>0.62962311410452954</v>
      </c>
      <c r="AJ285" t="s">
        <v>62</v>
      </c>
      <c r="AK285">
        <v>3758</v>
      </c>
      <c r="AL285">
        <v>913122</v>
      </c>
      <c r="AM285">
        <v>596865</v>
      </c>
    </row>
    <row r="286" spans="1:39" x14ac:dyDescent="0.3">
      <c r="A286" t="s">
        <v>63</v>
      </c>
      <c r="B286">
        <v>2019</v>
      </c>
      <c r="C286">
        <v>17.873000000000001</v>
      </c>
      <c r="D286">
        <v>183.37899999999999</v>
      </c>
      <c r="E286">
        <v>69.706000000000003</v>
      </c>
      <c r="F286">
        <v>57.631999999999998</v>
      </c>
      <c r="G286">
        <v>253.08500000000001</v>
      </c>
      <c r="H286">
        <v>118.77500000000001</v>
      </c>
      <c r="I286">
        <v>134.31</v>
      </c>
      <c r="J286">
        <v>116.16</v>
      </c>
      <c r="K286" s="4">
        <f t="shared" si="67"/>
        <v>2.7958236745225</v>
      </c>
      <c r="L286" s="5">
        <v>2.7958236745225001E-2</v>
      </c>
      <c r="M286" s="19">
        <f t="shared" si="68"/>
        <v>7.3592627010500564</v>
      </c>
      <c r="N286" s="5">
        <v>7.3592627010500566E-2</v>
      </c>
      <c r="O286" s="19">
        <f t="shared" si="69"/>
        <v>7.71</v>
      </c>
      <c r="P286" s="8">
        <v>7.7100000000000002E-2</v>
      </c>
      <c r="Q286" s="19">
        <f t="shared" si="70"/>
        <v>23.0502416666667</v>
      </c>
      <c r="R286">
        <v>23050.241666666701</v>
      </c>
      <c r="S286" s="4">
        <f t="shared" si="71"/>
        <v>3.5553480614894135</v>
      </c>
      <c r="T286" s="15">
        <v>1985</v>
      </c>
      <c r="U286" s="15">
        <v>117.24</v>
      </c>
      <c r="V286" s="15">
        <v>163.52000000000001</v>
      </c>
      <c r="W286" s="4">
        <f t="shared" si="72"/>
        <v>16.526481977739749</v>
      </c>
      <c r="X286" s="18">
        <f t="shared" si="73"/>
        <v>13.307274216365125</v>
      </c>
      <c r="Y286" s="18">
        <f t="shared" si="74"/>
        <v>7.0620542505482344</v>
      </c>
      <c r="Z286" s="18">
        <f t="shared" si="75"/>
        <v>0.88433474797111167</v>
      </c>
      <c r="AA286" s="12">
        <f t="shared" si="76"/>
        <v>1.5786759641873278</v>
      </c>
      <c r="AB286">
        <f t="shared" si="77"/>
        <v>5.0419602796549805</v>
      </c>
      <c r="AC286" s="18">
        <f t="shared" si="66"/>
        <v>0.22771796036904596</v>
      </c>
      <c r="AD286" s="18">
        <f t="shared" si="78"/>
        <v>4.7805213770522714</v>
      </c>
      <c r="AE286" s="12">
        <v>471.88799999999998</v>
      </c>
      <c r="AF286" s="12">
        <v>572.92899999999997</v>
      </c>
      <c r="AG286" s="8">
        <f t="shared" si="79"/>
        <v>-0.17635867620595222</v>
      </c>
      <c r="AH286" s="21">
        <f t="shared" si="64"/>
        <v>-29.741554789168042</v>
      </c>
      <c r="AI286" s="21">
        <f t="shared" si="65"/>
        <v>-54.585272849069888</v>
      </c>
      <c r="AJ286" t="s">
        <v>63</v>
      </c>
      <c r="AK286">
        <v>-63558</v>
      </c>
      <c r="AL286">
        <v>213701</v>
      </c>
      <c r="AM286">
        <v>116438</v>
      </c>
    </row>
    <row r="287" spans="1:39" x14ac:dyDescent="0.3">
      <c r="A287" t="s">
        <v>64</v>
      </c>
      <c r="B287">
        <v>2019</v>
      </c>
      <c r="C287">
        <v>178.79599999999999</v>
      </c>
      <c r="D287">
        <v>513.37300000000005</v>
      </c>
      <c r="E287">
        <v>383.32600000000002</v>
      </c>
      <c r="F287">
        <v>324.13600000000002</v>
      </c>
      <c r="G287">
        <v>896.69899999999996</v>
      </c>
      <c r="H287">
        <v>341.50299999999999</v>
      </c>
      <c r="I287">
        <v>555.19600000000003</v>
      </c>
      <c r="J287">
        <v>280.20999999999998</v>
      </c>
      <c r="K287" s="4">
        <f t="shared" si="67"/>
        <v>2.7958236745225</v>
      </c>
      <c r="L287" s="5">
        <v>2.7958236745225001E-2</v>
      </c>
      <c r="M287" s="19">
        <f t="shared" si="68"/>
        <v>7.3592627010500564</v>
      </c>
      <c r="N287" s="5">
        <v>7.3592627010500566E-2</v>
      </c>
      <c r="O287" s="19">
        <f t="shared" si="69"/>
        <v>7.71</v>
      </c>
      <c r="P287" s="8">
        <v>7.7100000000000002E-2</v>
      </c>
      <c r="Q287" s="19">
        <f t="shared" si="70"/>
        <v>23.0502416666667</v>
      </c>
      <c r="R287">
        <v>23050.241666666701</v>
      </c>
      <c r="S287" s="4">
        <f t="shared" si="71"/>
        <v>3.8712010109078911</v>
      </c>
      <c r="T287" s="15">
        <v>1972</v>
      </c>
      <c r="U287" s="15">
        <v>117.24</v>
      </c>
      <c r="V287" s="15">
        <v>163.52000000000001</v>
      </c>
      <c r="W287" s="4">
        <f t="shared" si="72"/>
        <v>16.526481977739749</v>
      </c>
      <c r="X287" s="18">
        <f t="shared" si="73"/>
        <v>32.204122508087231</v>
      </c>
      <c r="Y287" s="18">
        <f t="shared" si="74"/>
        <v>19.939355346665938</v>
      </c>
      <c r="Z287" s="18">
        <f t="shared" si="75"/>
        <v>0.61510349498195227</v>
      </c>
      <c r="AA287" s="12">
        <f t="shared" si="76"/>
        <v>1.8321009243067703</v>
      </c>
      <c r="AB287">
        <f t="shared" si="77"/>
        <v>6.3069551217299535</v>
      </c>
      <c r="AC287" s="18">
        <f t="shared" si="66"/>
        <v>0.36147692815537885</v>
      </c>
      <c r="AD287" s="18">
        <f t="shared" si="78"/>
        <v>4.7805213770522714</v>
      </c>
      <c r="AE287" s="12">
        <v>2567.7359999999999</v>
      </c>
      <c r="AF287" s="12">
        <v>2338.7719999999999</v>
      </c>
      <c r="AG287" s="8">
        <f t="shared" si="79"/>
        <v>9.7899239429923027E-2</v>
      </c>
      <c r="AH287" s="21">
        <f t="shared" si="64"/>
        <v>18.918222646036483</v>
      </c>
      <c r="AI287" s="21">
        <f t="shared" si="65"/>
        <v>31.253017252331226</v>
      </c>
      <c r="AJ287" t="s">
        <v>64</v>
      </c>
      <c r="AK287">
        <v>147603</v>
      </c>
      <c r="AL287">
        <v>780216</v>
      </c>
      <c r="AM287">
        <v>472284</v>
      </c>
    </row>
    <row r="288" spans="1:39" x14ac:dyDescent="0.3">
      <c r="A288" t="s">
        <v>65</v>
      </c>
      <c r="B288">
        <v>2019</v>
      </c>
      <c r="C288">
        <v>21.192</v>
      </c>
      <c r="D288">
        <v>655.20600000000002</v>
      </c>
      <c r="E288">
        <v>1564.0250000000001</v>
      </c>
      <c r="F288">
        <v>1104.0999999999999</v>
      </c>
      <c r="G288">
        <v>2219.2310000000002</v>
      </c>
      <c r="H288">
        <v>722.44899999999996</v>
      </c>
      <c r="I288">
        <v>1496.7819999999999</v>
      </c>
      <c r="J288">
        <v>666.56</v>
      </c>
      <c r="K288" s="4">
        <f t="shared" si="67"/>
        <v>2.7958236745225</v>
      </c>
      <c r="L288" s="5">
        <v>2.7958236745225001E-2</v>
      </c>
      <c r="M288" s="19">
        <f t="shared" si="68"/>
        <v>7.3592627010500564</v>
      </c>
      <c r="N288" s="5">
        <v>7.3592627010500566E-2</v>
      </c>
      <c r="O288" s="19">
        <f t="shared" si="69"/>
        <v>7.71</v>
      </c>
      <c r="P288" s="8">
        <v>7.7100000000000002E-2</v>
      </c>
      <c r="Q288" s="19">
        <f t="shared" si="70"/>
        <v>23.0502416666667</v>
      </c>
      <c r="R288">
        <v>23050.241666666701</v>
      </c>
      <c r="S288" s="4">
        <f t="shared" si="71"/>
        <v>3.6888794541139363</v>
      </c>
      <c r="T288" s="15">
        <v>1980</v>
      </c>
      <c r="U288" s="15">
        <v>117.24</v>
      </c>
      <c r="V288" s="15">
        <v>163.52000000000001</v>
      </c>
      <c r="W288" s="4">
        <f t="shared" si="72"/>
        <v>16.526481977739749</v>
      </c>
      <c r="X288" s="18">
        <f t="shared" si="73"/>
        <v>1.4158374432616105</v>
      </c>
      <c r="Y288" s="18">
        <f t="shared" si="74"/>
        <v>0.95492537730412008</v>
      </c>
      <c r="Z288" s="18">
        <f t="shared" si="75"/>
        <v>0.48266815073938624</v>
      </c>
      <c r="AA288" s="12">
        <f t="shared" si="76"/>
        <v>0.98296627460393671</v>
      </c>
      <c r="AB288">
        <f t="shared" si="77"/>
        <v>7.2131508974335903</v>
      </c>
      <c r="AC288" s="18">
        <f t="shared" si="66"/>
        <v>0.49751467963452195</v>
      </c>
      <c r="AD288" s="18">
        <f t="shared" si="78"/>
        <v>4.7805213770522714</v>
      </c>
      <c r="AE288" s="12">
        <v>1717.77</v>
      </c>
      <c r="AF288" s="12">
        <v>1768.4649999999999</v>
      </c>
      <c r="AG288" s="8">
        <f t="shared" si="79"/>
        <v>-2.8666103089402355E-2</v>
      </c>
      <c r="AH288" s="21">
        <f t="shared" si="64"/>
        <v>-0.92252838621652355</v>
      </c>
      <c r="AI288" s="21">
        <f t="shared" si="65"/>
        <v>-1.4224366512932951</v>
      </c>
      <c r="AJ288" t="s">
        <v>65</v>
      </c>
      <c r="AK288">
        <v>-21941</v>
      </c>
      <c r="AL288">
        <v>2378355</v>
      </c>
      <c r="AM288">
        <v>1542494</v>
      </c>
    </row>
    <row r="289" spans="1:39" x14ac:dyDescent="0.3">
      <c r="A289" t="s">
        <v>66</v>
      </c>
      <c r="B289">
        <v>2019</v>
      </c>
      <c r="C289">
        <v>166.94200000000001</v>
      </c>
      <c r="D289">
        <v>871.14599999999996</v>
      </c>
      <c r="E289">
        <v>201.06800000000001</v>
      </c>
      <c r="F289">
        <v>193.608</v>
      </c>
      <c r="G289">
        <v>1072.2139999999999</v>
      </c>
      <c r="H289">
        <v>345.47399999999999</v>
      </c>
      <c r="I289">
        <v>726.74</v>
      </c>
      <c r="J289">
        <v>342.56</v>
      </c>
      <c r="K289" s="4">
        <f t="shared" si="67"/>
        <v>2.7958236745225</v>
      </c>
      <c r="L289" s="5">
        <v>2.7958236745225001E-2</v>
      </c>
      <c r="M289" s="19">
        <f t="shared" si="68"/>
        <v>7.3592627010500564</v>
      </c>
      <c r="N289" s="5">
        <v>7.3592627010500566E-2</v>
      </c>
      <c r="O289" s="19">
        <f t="shared" si="69"/>
        <v>7.71</v>
      </c>
      <c r="P289" s="8">
        <v>7.7100000000000002E-2</v>
      </c>
      <c r="Q289" s="19">
        <f t="shared" si="70"/>
        <v>23.0502416666667</v>
      </c>
      <c r="R289">
        <v>23050.241666666701</v>
      </c>
      <c r="S289" s="4">
        <f t="shared" si="71"/>
        <v>4.1271343850450917</v>
      </c>
      <c r="T289" s="15">
        <v>1958</v>
      </c>
      <c r="U289" s="15">
        <v>117.24</v>
      </c>
      <c r="V289" s="15">
        <v>163.52000000000001</v>
      </c>
      <c r="W289" s="4">
        <f t="shared" si="72"/>
        <v>16.526481977739749</v>
      </c>
      <c r="X289" s="18">
        <f t="shared" si="73"/>
        <v>22.971351514984729</v>
      </c>
      <c r="Y289" s="18">
        <f t="shared" si="74"/>
        <v>15.569839602915092</v>
      </c>
      <c r="Z289" s="18">
        <f t="shared" si="75"/>
        <v>0.47537496215978203</v>
      </c>
      <c r="AA289" s="12">
        <f t="shared" si="76"/>
        <v>2.5430464736104623</v>
      </c>
      <c r="AB289">
        <f t="shared" si="77"/>
        <v>6.4857158275463789</v>
      </c>
      <c r="AC289" s="18">
        <f t="shared" si="66"/>
        <v>0.18056843130196026</v>
      </c>
      <c r="AD289" s="18">
        <f t="shared" si="78"/>
        <v>4.7805213770522714</v>
      </c>
      <c r="AE289" s="12">
        <v>2562.4070000000002</v>
      </c>
      <c r="AF289" s="12">
        <v>2484.797</v>
      </c>
      <c r="AG289" s="8">
        <f t="shared" si="79"/>
        <v>3.1233939834924191E-2</v>
      </c>
      <c r="AH289" s="21">
        <f t="shared" si="64"/>
        <v>15.931634756242222</v>
      </c>
      <c r="AI289" s="21">
        <f t="shared" si="65"/>
        <v>23.52549710100384</v>
      </c>
      <c r="AJ289" t="s">
        <v>66</v>
      </c>
      <c r="AK289">
        <v>180641</v>
      </c>
      <c r="AL289">
        <v>1133851</v>
      </c>
      <c r="AM289">
        <v>767852</v>
      </c>
    </row>
    <row r="290" spans="1:39" x14ac:dyDescent="0.3">
      <c r="A290" t="s">
        <v>67</v>
      </c>
      <c r="B290">
        <v>2019</v>
      </c>
      <c r="C290">
        <v>449.846</v>
      </c>
      <c r="D290">
        <v>1940.921</v>
      </c>
      <c r="E290">
        <v>625.29</v>
      </c>
      <c r="F290">
        <v>576.12199999999996</v>
      </c>
      <c r="G290">
        <v>2566.212</v>
      </c>
      <c r="H290">
        <v>1330.4680000000001</v>
      </c>
      <c r="I290">
        <v>1235.7429999999999</v>
      </c>
      <c r="J290">
        <v>1269.6199999999999</v>
      </c>
      <c r="K290" s="4">
        <f t="shared" si="67"/>
        <v>2.7958236745225</v>
      </c>
      <c r="L290" s="5">
        <v>2.7958236745225001E-2</v>
      </c>
      <c r="M290" s="19">
        <f t="shared" si="68"/>
        <v>7.3592627010500564</v>
      </c>
      <c r="N290" s="5">
        <v>7.3592627010500566E-2</v>
      </c>
      <c r="O290" s="19">
        <f t="shared" si="69"/>
        <v>7.71</v>
      </c>
      <c r="P290" s="8">
        <v>7.7100000000000002E-2</v>
      </c>
      <c r="Q290" s="19">
        <f t="shared" si="70"/>
        <v>23.0502416666667</v>
      </c>
      <c r="R290">
        <v>23050.241666666701</v>
      </c>
      <c r="S290" s="4">
        <f t="shared" si="71"/>
        <v>3.4657359027997265</v>
      </c>
      <c r="T290" s="15">
        <v>1988</v>
      </c>
      <c r="U290" s="15">
        <v>117.24</v>
      </c>
      <c r="V290" s="15">
        <v>163.52000000000001</v>
      </c>
      <c r="W290" s="4">
        <f t="shared" si="72"/>
        <v>16.526481977739749</v>
      </c>
      <c r="X290" s="18">
        <f t="shared" si="73"/>
        <v>36.402876649918312</v>
      </c>
      <c r="Y290" s="18">
        <f t="shared" si="74"/>
        <v>17.529572771072694</v>
      </c>
      <c r="Z290" s="18">
        <f t="shared" si="75"/>
        <v>1.0766542881489114</v>
      </c>
      <c r="AA290" s="12">
        <f t="shared" si="76"/>
        <v>1.5287416707361259</v>
      </c>
      <c r="AB290">
        <f t="shared" si="77"/>
        <v>7.3584210395976255</v>
      </c>
      <c r="AC290" s="18">
        <f t="shared" si="66"/>
        <v>0.22450288596577367</v>
      </c>
      <c r="AD290" s="18">
        <f t="shared" si="78"/>
        <v>4.7805213770522714</v>
      </c>
      <c r="AE290" s="12">
        <v>4411.8720000000003</v>
      </c>
      <c r="AF290" s="12">
        <v>3950.8939999999998</v>
      </c>
      <c r="AG290" s="8">
        <f t="shared" si="79"/>
        <v>0.11667688376352303</v>
      </c>
      <c r="AH290" s="21">
        <f t="shared" si="64"/>
        <v>14.669947405311513</v>
      </c>
      <c r="AI290" s="21">
        <f t="shared" si="65"/>
        <v>39.607678080115839</v>
      </c>
      <c r="AJ290" t="s">
        <v>67</v>
      </c>
      <c r="AK290">
        <v>369826</v>
      </c>
      <c r="AL290">
        <v>2520977</v>
      </c>
      <c r="AM290">
        <v>933723</v>
      </c>
    </row>
    <row r="291" spans="1:39" x14ac:dyDescent="0.3">
      <c r="A291" t="s">
        <v>68</v>
      </c>
      <c r="B291">
        <v>2019</v>
      </c>
      <c r="C291">
        <v>6364.6149999999998</v>
      </c>
      <c r="D291">
        <v>24261.892</v>
      </c>
      <c r="E291">
        <v>73035.358999999997</v>
      </c>
      <c r="F291">
        <v>40791.699000000001</v>
      </c>
      <c r="G291">
        <v>97297.251000000004</v>
      </c>
      <c r="H291">
        <v>45408.843999999997</v>
      </c>
      <c r="I291">
        <v>51888.406999999999</v>
      </c>
      <c r="J291">
        <v>30492.19</v>
      </c>
      <c r="K291" s="4">
        <f t="shared" si="67"/>
        <v>2.7958236745225</v>
      </c>
      <c r="L291" s="5">
        <v>2.7958236745225001E-2</v>
      </c>
      <c r="M291" s="19">
        <f t="shared" si="68"/>
        <v>7.3592627010500564</v>
      </c>
      <c r="N291" s="5">
        <v>7.3592627010500566E-2</v>
      </c>
      <c r="O291" s="19">
        <f t="shared" si="69"/>
        <v>7.71</v>
      </c>
      <c r="P291" s="8">
        <v>7.7100000000000002E-2</v>
      </c>
      <c r="Q291" s="19">
        <f t="shared" si="70"/>
        <v>23.0502416666667</v>
      </c>
      <c r="R291">
        <v>23050.241666666701</v>
      </c>
      <c r="S291" s="4">
        <f t="shared" si="71"/>
        <v>2.7725887222397811</v>
      </c>
      <c r="T291" s="15">
        <v>2004</v>
      </c>
      <c r="U291" s="15">
        <v>117.24</v>
      </c>
      <c r="V291" s="15">
        <v>163.52000000000001</v>
      </c>
      <c r="W291" s="4">
        <f t="shared" si="72"/>
        <v>16.526481977739749</v>
      </c>
      <c r="X291" s="18">
        <f t="shared" si="73"/>
        <v>12.265967232333804</v>
      </c>
      <c r="Y291" s="18">
        <f t="shared" si="74"/>
        <v>6.5414129737334497</v>
      </c>
      <c r="Z291" s="18">
        <f t="shared" si="75"/>
        <v>0.87512503515476969</v>
      </c>
      <c r="AA291" s="12">
        <f t="shared" si="76"/>
        <v>0.79567561398508935</v>
      </c>
      <c r="AB291">
        <f t="shared" si="77"/>
        <v>10.993760893921419</v>
      </c>
      <c r="AC291" s="18">
        <f t="shared" si="66"/>
        <v>0.4192482169922766</v>
      </c>
      <c r="AD291" s="18">
        <f t="shared" si="78"/>
        <v>4.7805213770522714</v>
      </c>
      <c r="AE291" s="12">
        <v>38818.747000000003</v>
      </c>
      <c r="AF291" s="12">
        <v>39378.747000000003</v>
      </c>
      <c r="AG291" s="8">
        <f t="shared" si="79"/>
        <v>-1.4220868937246783E-2</v>
      </c>
      <c r="AH291" s="21">
        <f t="shared" si="64"/>
        <v>8.7049020393175685</v>
      </c>
      <c r="AI291" s="21">
        <f t="shared" si="65"/>
        <v>16.495182260818311</v>
      </c>
      <c r="AJ291" t="s">
        <v>68</v>
      </c>
      <c r="AK291">
        <v>5621505</v>
      </c>
      <c r="AL291">
        <v>64578613</v>
      </c>
      <c r="AM291">
        <v>34079678</v>
      </c>
    </row>
    <row r="292" spans="1:39" x14ac:dyDescent="0.3">
      <c r="A292" t="s">
        <v>69</v>
      </c>
      <c r="B292">
        <v>2019</v>
      </c>
      <c r="C292">
        <v>47.918999999999997</v>
      </c>
      <c r="D292">
        <v>819.55</v>
      </c>
      <c r="E292">
        <v>451.983</v>
      </c>
      <c r="F292">
        <v>359.18599999999998</v>
      </c>
      <c r="G292">
        <v>1271.5329999999999</v>
      </c>
      <c r="H292">
        <v>589.54499999999996</v>
      </c>
      <c r="I292">
        <v>681.98800000000006</v>
      </c>
      <c r="J292">
        <v>464.56</v>
      </c>
      <c r="K292" s="4">
        <f t="shared" si="67"/>
        <v>2.7958236745225</v>
      </c>
      <c r="L292" s="5">
        <v>2.7958236745225001E-2</v>
      </c>
      <c r="M292" s="19">
        <f t="shared" si="68"/>
        <v>7.3592627010500564</v>
      </c>
      <c r="N292" s="5">
        <v>7.3592627010500566E-2</v>
      </c>
      <c r="O292" s="19">
        <f t="shared" si="69"/>
        <v>7.71</v>
      </c>
      <c r="P292" s="8">
        <v>7.7100000000000002E-2</v>
      </c>
      <c r="Q292" s="19">
        <f t="shared" si="70"/>
        <v>23.0502416666667</v>
      </c>
      <c r="R292">
        <v>23050.241666666701</v>
      </c>
      <c r="S292" s="4">
        <f t="shared" si="71"/>
        <v>3.2188758248682006</v>
      </c>
      <c r="T292" s="15">
        <v>1995</v>
      </c>
      <c r="U292" s="15">
        <v>117.24</v>
      </c>
      <c r="V292" s="15">
        <v>163.52000000000001</v>
      </c>
      <c r="W292" s="4">
        <f t="shared" si="72"/>
        <v>16.526481977739749</v>
      </c>
      <c r="X292" s="18">
        <f t="shared" si="73"/>
        <v>7.0263699654539362</v>
      </c>
      <c r="Y292" s="18">
        <f t="shared" si="74"/>
        <v>3.7686005789861534</v>
      </c>
      <c r="Z292" s="18">
        <f t="shared" si="75"/>
        <v>0.86445069414711095</v>
      </c>
      <c r="AA292" s="12">
        <f t="shared" si="76"/>
        <v>1.7641424143275357</v>
      </c>
      <c r="AB292">
        <f t="shared" si="77"/>
        <v>6.6562134170962493</v>
      </c>
      <c r="AC292" s="18">
        <f t="shared" si="66"/>
        <v>0.28248264103251747</v>
      </c>
      <c r="AD292" s="18">
        <f t="shared" si="78"/>
        <v>4.7805213770522714</v>
      </c>
      <c r="AE292" s="12">
        <v>1069.7439999999999</v>
      </c>
      <c r="AF292" s="12">
        <v>607.54999999999995</v>
      </c>
      <c r="AG292" s="8">
        <f t="shared" si="79"/>
        <v>0.76075055550983461</v>
      </c>
      <c r="AH292" s="21">
        <f t="shared" si="64"/>
        <v>3.8298186722840626</v>
      </c>
      <c r="AI292" s="21">
        <f t="shared" si="65"/>
        <v>8.1548769124652605</v>
      </c>
      <c r="AJ292" t="s">
        <v>69</v>
      </c>
      <c r="AK292">
        <v>40434</v>
      </c>
      <c r="AL292">
        <v>1055768</v>
      </c>
      <c r="AM292">
        <v>495826</v>
      </c>
    </row>
    <row r="293" spans="1:39" x14ac:dyDescent="0.3">
      <c r="A293" t="s">
        <v>70</v>
      </c>
      <c r="B293">
        <v>2019</v>
      </c>
      <c r="C293">
        <v>44.356999999999999</v>
      </c>
      <c r="D293">
        <v>127.58199999999999</v>
      </c>
      <c r="E293">
        <v>263.20499999999998</v>
      </c>
      <c r="F293">
        <v>152.286</v>
      </c>
      <c r="G293">
        <v>390.78699999999998</v>
      </c>
      <c r="H293">
        <v>242.75299999999999</v>
      </c>
      <c r="I293">
        <v>148.03299999999999</v>
      </c>
      <c r="J293">
        <v>168.79</v>
      </c>
      <c r="K293" s="4">
        <f t="shared" si="67"/>
        <v>2.7958236745225</v>
      </c>
      <c r="L293" s="5">
        <v>2.7958236745225001E-2</v>
      </c>
      <c r="M293" s="19">
        <f t="shared" si="68"/>
        <v>7.3592627010500564</v>
      </c>
      <c r="N293" s="5">
        <v>7.3592627010500566E-2</v>
      </c>
      <c r="O293" s="19">
        <f t="shared" si="69"/>
        <v>7.71</v>
      </c>
      <c r="P293" s="8">
        <v>7.7100000000000002E-2</v>
      </c>
      <c r="Q293" s="19">
        <f t="shared" si="70"/>
        <v>23.0502416666667</v>
      </c>
      <c r="R293">
        <v>23050.241666666701</v>
      </c>
      <c r="S293" s="4">
        <f t="shared" si="71"/>
        <v>3.2958368660043291</v>
      </c>
      <c r="T293" s="15">
        <v>1993</v>
      </c>
      <c r="U293" s="15">
        <v>117.24</v>
      </c>
      <c r="V293" s="15">
        <v>163.52000000000001</v>
      </c>
      <c r="W293" s="4">
        <f t="shared" si="72"/>
        <v>16.526481977739749</v>
      </c>
      <c r="X293" s="18">
        <f t="shared" si="73"/>
        <v>29.964264724757321</v>
      </c>
      <c r="Y293" s="18">
        <f t="shared" si="74"/>
        <v>11.350684644064414</v>
      </c>
      <c r="Z293" s="18">
        <f t="shared" si="75"/>
        <v>1.6398573291090501</v>
      </c>
      <c r="AA293" s="12">
        <f t="shared" si="76"/>
        <v>0.75586231411813498</v>
      </c>
      <c r="AB293">
        <f t="shared" si="77"/>
        <v>5.4763975334908475</v>
      </c>
      <c r="AC293" s="18">
        <f t="shared" si="66"/>
        <v>0.38969054753612586</v>
      </c>
      <c r="AD293" s="18">
        <f t="shared" si="78"/>
        <v>4.7805213770522714</v>
      </c>
      <c r="AE293" s="12">
        <v>224.50899999999999</v>
      </c>
      <c r="AF293" s="12">
        <v>200.82400000000001</v>
      </c>
      <c r="AG293" s="8">
        <f t="shared" si="79"/>
        <v>0.11793909094530521</v>
      </c>
      <c r="AH293" s="21">
        <f t="shared" si="64"/>
        <v>32.063425640561647</v>
      </c>
      <c r="AI293" s="21">
        <f t="shared" si="65"/>
        <v>54.689609938655039</v>
      </c>
      <c r="AJ293" t="s">
        <v>70</v>
      </c>
      <c r="AK293">
        <v>56700</v>
      </c>
      <c r="AL293">
        <v>176837</v>
      </c>
      <c r="AM293">
        <v>103676</v>
      </c>
    </row>
    <row r="294" spans="1:39" x14ac:dyDescent="0.3">
      <c r="A294" t="s">
        <v>71</v>
      </c>
      <c r="B294">
        <v>2019</v>
      </c>
      <c r="C294">
        <v>207.459</v>
      </c>
      <c r="D294">
        <v>858.44500000000005</v>
      </c>
      <c r="E294">
        <v>909.24699999999996</v>
      </c>
      <c r="F294">
        <v>458.60700000000003</v>
      </c>
      <c r="G294">
        <v>1767.692</v>
      </c>
      <c r="H294">
        <v>639.11300000000006</v>
      </c>
      <c r="I294">
        <v>1128.58</v>
      </c>
      <c r="J294">
        <v>544.62</v>
      </c>
      <c r="K294" s="4">
        <f t="shared" si="67"/>
        <v>2.7958236745225</v>
      </c>
      <c r="L294" s="5">
        <v>2.7958236745225001E-2</v>
      </c>
      <c r="M294" s="19">
        <f t="shared" si="68"/>
        <v>7.3592627010500564</v>
      </c>
      <c r="N294" s="5">
        <v>7.3592627010500566E-2</v>
      </c>
      <c r="O294" s="19">
        <f t="shared" si="69"/>
        <v>7.71</v>
      </c>
      <c r="P294" s="8">
        <v>7.7100000000000002E-2</v>
      </c>
      <c r="Q294" s="19">
        <f t="shared" si="70"/>
        <v>23.0502416666667</v>
      </c>
      <c r="R294">
        <v>23050.241666666701</v>
      </c>
      <c r="S294" s="4">
        <f t="shared" si="71"/>
        <v>3.9512437185814275</v>
      </c>
      <c r="T294" s="15">
        <v>1968</v>
      </c>
      <c r="U294" s="15">
        <v>117.24</v>
      </c>
      <c r="V294" s="15">
        <v>163.52000000000001</v>
      </c>
      <c r="W294" s="4">
        <f t="shared" si="72"/>
        <v>16.526481977739749</v>
      </c>
      <c r="X294" s="18">
        <f t="shared" si="73"/>
        <v>18.382303425543604</v>
      </c>
      <c r="Y294" s="18">
        <f t="shared" si="74"/>
        <v>11.736150867911379</v>
      </c>
      <c r="Z294" s="18">
        <f t="shared" si="75"/>
        <v>0.56629835722766675</v>
      </c>
      <c r="AA294" s="12">
        <f t="shared" si="76"/>
        <v>1.5762274613491978</v>
      </c>
      <c r="AB294">
        <f t="shared" si="77"/>
        <v>6.9856648988495431</v>
      </c>
      <c r="AC294" s="18">
        <f t="shared" si="66"/>
        <v>0.25943829581171379</v>
      </c>
      <c r="AD294" s="18">
        <f t="shared" si="78"/>
        <v>4.7805213770522714</v>
      </c>
      <c r="AE294" s="12">
        <v>1652.5129999999999</v>
      </c>
      <c r="AF294" s="12">
        <v>1693.4359999999999</v>
      </c>
      <c r="AG294" s="8">
        <f t="shared" si="79"/>
        <v>-2.4165660822139133E-2</v>
      </c>
      <c r="AH294" s="21">
        <f t="shared" si="64"/>
        <v>16.186405448632751</v>
      </c>
      <c r="AI294" s="21">
        <f t="shared" si="65"/>
        <v>24.00754706943038</v>
      </c>
      <c r="AJ294" t="s">
        <v>71</v>
      </c>
      <c r="AK294">
        <v>252702</v>
      </c>
      <c r="AL294">
        <v>1561199</v>
      </c>
      <c r="AM294">
        <v>1052594</v>
      </c>
    </row>
    <row r="295" spans="1:39" x14ac:dyDescent="0.3">
      <c r="A295" t="s">
        <v>72</v>
      </c>
      <c r="B295">
        <v>2019</v>
      </c>
      <c r="C295">
        <v>451.97899999999998</v>
      </c>
      <c r="D295">
        <v>5683.2709999999997</v>
      </c>
      <c r="E295">
        <v>5081.2820000000002</v>
      </c>
      <c r="F295">
        <v>3039.866</v>
      </c>
      <c r="G295">
        <v>10764.554</v>
      </c>
      <c r="H295">
        <v>4618.982</v>
      </c>
      <c r="I295">
        <v>6145.5720000000001</v>
      </c>
      <c r="J295">
        <v>3060.15</v>
      </c>
      <c r="K295" s="4">
        <f t="shared" si="67"/>
        <v>2.7958236745225</v>
      </c>
      <c r="L295" s="5">
        <v>2.7958236745225001E-2</v>
      </c>
      <c r="M295" s="19">
        <f t="shared" si="68"/>
        <v>7.3592627010500564</v>
      </c>
      <c r="N295" s="5">
        <v>7.3592627010500566E-2</v>
      </c>
      <c r="O295" s="19">
        <f t="shared" si="69"/>
        <v>7.71</v>
      </c>
      <c r="P295" s="8">
        <v>7.7100000000000002E-2</v>
      </c>
      <c r="Q295" s="19">
        <f t="shared" si="70"/>
        <v>23.0502416666667</v>
      </c>
      <c r="R295">
        <v>23050.241666666701</v>
      </c>
      <c r="S295" s="4">
        <f t="shared" si="71"/>
        <v>3.0910424533583161</v>
      </c>
      <c r="T295" s="15">
        <v>1998</v>
      </c>
      <c r="U295" s="15">
        <v>117.24</v>
      </c>
      <c r="V295" s="15">
        <v>163.52000000000001</v>
      </c>
      <c r="W295" s="4">
        <f t="shared" si="72"/>
        <v>16.526481977739749</v>
      </c>
      <c r="X295" s="18">
        <f t="shared" si="73"/>
        <v>7.3545473065810638</v>
      </c>
      <c r="Y295" s="18">
        <f t="shared" si="74"/>
        <v>4.1987712635377186</v>
      </c>
      <c r="Z295" s="18">
        <f t="shared" si="75"/>
        <v>0.75159513223504659</v>
      </c>
      <c r="AA295" s="12">
        <f t="shared" si="76"/>
        <v>1.8571870659934968</v>
      </c>
      <c r="AB295">
        <f t="shared" si="77"/>
        <v>8.7922488573509394</v>
      </c>
      <c r="AC295" s="18">
        <f t="shared" si="66"/>
        <v>0.28239590790291913</v>
      </c>
      <c r="AD295" s="18">
        <f t="shared" si="78"/>
        <v>4.7805213770522714</v>
      </c>
      <c r="AE295" s="12">
        <v>7985.8549999999996</v>
      </c>
      <c r="AF295" s="12">
        <v>7941.91</v>
      </c>
      <c r="AG295" s="8">
        <f t="shared" si="79"/>
        <v>5.5333037015024992E-3</v>
      </c>
      <c r="AH295" s="21">
        <f t="shared" si="64"/>
        <v>6.9474760549821344</v>
      </c>
      <c r="AI295" s="21">
        <f t="shared" si="65"/>
        <v>26.327609951947604</v>
      </c>
      <c r="AJ295" t="s">
        <v>98</v>
      </c>
      <c r="AK295">
        <v>157903</v>
      </c>
      <c r="AL295">
        <v>2272811</v>
      </c>
      <c r="AM295">
        <v>599762</v>
      </c>
    </row>
    <row r="296" spans="1:39" x14ac:dyDescent="0.3">
      <c r="A296" t="s">
        <v>73</v>
      </c>
      <c r="B296">
        <v>2019</v>
      </c>
      <c r="C296">
        <v>1193.925</v>
      </c>
      <c r="D296">
        <v>7333.3639999999996</v>
      </c>
      <c r="E296">
        <v>1269.5999999999999</v>
      </c>
      <c r="F296">
        <v>923.87</v>
      </c>
      <c r="G296">
        <v>8602.9639999999999</v>
      </c>
      <c r="H296">
        <v>4025.6990000000001</v>
      </c>
      <c r="I296">
        <v>4577.2659999999996</v>
      </c>
      <c r="J296">
        <v>4017.86</v>
      </c>
      <c r="K296" s="4">
        <f t="shared" si="67"/>
        <v>2.7958236745225</v>
      </c>
      <c r="L296" s="5">
        <v>2.7958236745225001E-2</v>
      </c>
      <c r="M296" s="19">
        <f t="shared" si="68"/>
        <v>7.3592627010500564</v>
      </c>
      <c r="N296" s="5">
        <v>7.3592627010500566E-2</v>
      </c>
      <c r="O296" s="19">
        <f t="shared" si="69"/>
        <v>7.71</v>
      </c>
      <c r="P296" s="8">
        <v>7.7100000000000002E-2</v>
      </c>
      <c r="Q296" s="19">
        <f t="shared" si="70"/>
        <v>23.0502416666667</v>
      </c>
      <c r="R296">
        <v>23050.241666666701</v>
      </c>
      <c r="S296" s="4">
        <f t="shared" si="71"/>
        <v>3.4657359027997265</v>
      </c>
      <c r="T296" s="15">
        <v>1988</v>
      </c>
      <c r="U296" s="15">
        <v>117.24</v>
      </c>
      <c r="V296" s="15">
        <v>163.52000000000001</v>
      </c>
      <c r="W296" s="4">
        <f t="shared" si="72"/>
        <v>16.526481977739749</v>
      </c>
      <c r="X296" s="18">
        <f t="shared" si="73"/>
        <v>26.083801990096273</v>
      </c>
      <c r="Y296" s="18">
        <f t="shared" si="74"/>
        <v>13.878065745712757</v>
      </c>
      <c r="Z296" s="18">
        <f t="shared" si="75"/>
        <v>0.87949859151729448</v>
      </c>
      <c r="AA296" s="12">
        <f t="shared" si="76"/>
        <v>1.825191519863808</v>
      </c>
      <c r="AB296">
        <f t="shared" si="77"/>
        <v>8.5680969529985731</v>
      </c>
      <c r="AC296" s="18">
        <f t="shared" si="66"/>
        <v>0.10738973218997545</v>
      </c>
      <c r="AD296" s="18">
        <f t="shared" si="78"/>
        <v>4.7805213770522714</v>
      </c>
      <c r="AE296" s="12">
        <v>17144.251</v>
      </c>
      <c r="AF296" s="12">
        <v>14678.8</v>
      </c>
      <c r="AG296" s="8">
        <f t="shared" si="79"/>
        <v>0.16795998310488602</v>
      </c>
      <c r="AH296" s="21">
        <f t="shared" si="64"/>
        <v>6.0088179095843781</v>
      </c>
      <c r="AI296" s="21">
        <f t="shared" si="65"/>
        <v>9.4965158941399785</v>
      </c>
      <c r="AJ296" t="s">
        <v>72</v>
      </c>
      <c r="AK296">
        <v>567157</v>
      </c>
      <c r="AL296">
        <v>9438745</v>
      </c>
      <c r="AM296">
        <v>5972264</v>
      </c>
    </row>
    <row r="297" spans="1:39" x14ac:dyDescent="0.3">
      <c r="A297" t="s">
        <v>74</v>
      </c>
      <c r="B297">
        <v>2019</v>
      </c>
      <c r="C297">
        <v>125.17</v>
      </c>
      <c r="D297">
        <v>2716.951</v>
      </c>
      <c r="E297">
        <v>297.76600000000002</v>
      </c>
      <c r="F297">
        <v>292.54599999999999</v>
      </c>
      <c r="G297">
        <v>3014.7170000000001</v>
      </c>
      <c r="H297">
        <v>2180.1950000000002</v>
      </c>
      <c r="I297">
        <v>834.52200000000005</v>
      </c>
      <c r="J297">
        <v>2179.36</v>
      </c>
      <c r="K297" s="4">
        <f t="shared" si="67"/>
        <v>2.7958236745225</v>
      </c>
      <c r="L297" s="5">
        <v>2.7958236745225001E-2</v>
      </c>
      <c r="M297" s="19">
        <f t="shared" si="68"/>
        <v>7.3592627010500564</v>
      </c>
      <c r="N297" s="5">
        <v>7.3592627010500566E-2</v>
      </c>
      <c r="O297" s="19">
        <f t="shared" si="69"/>
        <v>7.71</v>
      </c>
      <c r="P297" s="8">
        <v>7.7100000000000002E-2</v>
      </c>
      <c r="Q297" s="19">
        <f t="shared" si="70"/>
        <v>23.0502416666667</v>
      </c>
      <c r="R297">
        <v>23050.241666666701</v>
      </c>
      <c r="S297" s="4">
        <f t="shared" si="71"/>
        <v>2.7725887222397811</v>
      </c>
      <c r="T297" s="15">
        <v>2004</v>
      </c>
      <c r="U297" s="15">
        <v>117.24</v>
      </c>
      <c r="V297" s="15">
        <v>163.52000000000001</v>
      </c>
      <c r="W297" s="4">
        <f t="shared" si="72"/>
        <v>16.526481977739749</v>
      </c>
      <c r="X297" s="18">
        <f t="shared" si="73"/>
        <v>14.999005418670809</v>
      </c>
      <c r="Y297" s="18">
        <f t="shared" si="74"/>
        <v>4.1519651761674474</v>
      </c>
      <c r="Z297" s="18">
        <f t="shared" si="75"/>
        <v>2.6125075192745069</v>
      </c>
      <c r="AA297" s="12">
        <f t="shared" si="76"/>
        <v>1.2466737941413992</v>
      </c>
      <c r="AB297">
        <f t="shared" si="77"/>
        <v>7.5194961197152681</v>
      </c>
      <c r="AC297" s="18">
        <f t="shared" si="66"/>
        <v>9.7039290918517387E-2</v>
      </c>
      <c r="AD297" s="18">
        <f t="shared" si="78"/>
        <v>4.7805213770522714</v>
      </c>
      <c r="AE297" s="12">
        <v>4266.942</v>
      </c>
      <c r="AF297" s="12">
        <v>3637.105</v>
      </c>
      <c r="AG297" s="8">
        <f t="shared" si="79"/>
        <v>0.17316986999275522</v>
      </c>
      <c r="AH297" s="21">
        <f t="shared" si="64"/>
        <v>7.4577504732107593</v>
      </c>
      <c r="AI297" s="21">
        <f t="shared" si="65"/>
        <v>24.856694484319117</v>
      </c>
      <c r="AJ297" t="s">
        <v>74</v>
      </c>
      <c r="AK297">
        <v>204327</v>
      </c>
      <c r="AL297">
        <v>2739794</v>
      </c>
      <c r="AM297">
        <v>822020</v>
      </c>
    </row>
    <row r="298" spans="1:39" x14ac:dyDescent="0.3">
      <c r="A298" t="s">
        <v>75</v>
      </c>
      <c r="B298">
        <v>2019</v>
      </c>
      <c r="C298">
        <v>5370.1480000000001</v>
      </c>
      <c r="D298">
        <v>19164.602999999999</v>
      </c>
      <c r="E298">
        <v>7797.8739999999998</v>
      </c>
      <c r="F298">
        <v>4685.4399999999996</v>
      </c>
      <c r="G298">
        <v>26962.475999999999</v>
      </c>
      <c r="H298">
        <v>6886.2290000000003</v>
      </c>
      <c r="I298">
        <v>20076.246999999999</v>
      </c>
      <c r="J298">
        <v>6087.83</v>
      </c>
      <c r="K298" s="4">
        <f t="shared" si="67"/>
        <v>2.7958236745225</v>
      </c>
      <c r="L298" s="5">
        <v>2.7958236745225001E-2</v>
      </c>
      <c r="M298" s="19">
        <f t="shared" si="68"/>
        <v>7.3592627010500564</v>
      </c>
      <c r="N298" s="5">
        <v>7.3592627010500566E-2</v>
      </c>
      <c r="O298" s="19">
        <f t="shared" si="69"/>
        <v>7.71</v>
      </c>
      <c r="P298" s="8">
        <v>7.7100000000000002E-2</v>
      </c>
      <c r="Q298" s="19">
        <f t="shared" si="70"/>
        <v>23.0502416666667</v>
      </c>
      <c r="R298">
        <v>23050.241666666701</v>
      </c>
      <c r="S298" s="4">
        <f t="shared" si="71"/>
        <v>2.8332133440562162</v>
      </c>
      <c r="T298" s="15">
        <v>2003</v>
      </c>
      <c r="U298" s="15">
        <v>117.24</v>
      </c>
      <c r="V298" s="15">
        <v>163.52000000000001</v>
      </c>
      <c r="W298" s="4">
        <f t="shared" si="72"/>
        <v>16.526481977739749</v>
      </c>
      <c r="X298" s="18">
        <f t="shared" si="73"/>
        <v>26.748764348236996</v>
      </c>
      <c r="Y298" s="18">
        <f t="shared" si="74"/>
        <v>19.917117404202791</v>
      </c>
      <c r="Z298" s="18">
        <f t="shared" si="75"/>
        <v>0.34300379946510923</v>
      </c>
      <c r="AA298" s="12">
        <f t="shared" si="76"/>
        <v>3.1480187521662071</v>
      </c>
      <c r="AB298">
        <f t="shared" si="77"/>
        <v>9.7104362795445933</v>
      </c>
      <c r="AC298" s="18">
        <f t="shared" si="66"/>
        <v>0.17377632529000675</v>
      </c>
      <c r="AD298" s="18">
        <f t="shared" si="78"/>
        <v>4.7805213770522714</v>
      </c>
      <c r="AE298" s="12">
        <v>38133.79</v>
      </c>
      <c r="AF298" s="12">
        <v>36043.017999999996</v>
      </c>
      <c r="AG298" s="8">
        <f t="shared" si="79"/>
        <v>5.8007684040221177E-2</v>
      </c>
      <c r="AH298" s="21">
        <f t="shared" si="64"/>
        <v>19.684359050399067</v>
      </c>
      <c r="AI298" s="21">
        <f t="shared" si="65"/>
        <v>27.32606558156434</v>
      </c>
      <c r="AJ298" t="s">
        <v>75</v>
      </c>
      <c r="AK298">
        <v>4402750</v>
      </c>
      <c r="AL298">
        <v>22366743</v>
      </c>
      <c r="AM298">
        <v>16111906</v>
      </c>
    </row>
    <row r="299" spans="1:39" x14ac:dyDescent="0.3">
      <c r="A299" t="s">
        <v>76</v>
      </c>
      <c r="B299">
        <v>2019</v>
      </c>
      <c r="C299">
        <v>308.726</v>
      </c>
      <c r="D299">
        <v>9647.2900000000009</v>
      </c>
      <c r="E299">
        <v>7585.9989999999998</v>
      </c>
      <c r="F299">
        <v>4220.3149999999996</v>
      </c>
      <c r="G299">
        <v>17233.289000000001</v>
      </c>
      <c r="H299">
        <v>9631.6200000000008</v>
      </c>
      <c r="I299">
        <v>7601.6689999999999</v>
      </c>
      <c r="J299">
        <v>7789.93</v>
      </c>
      <c r="K299" s="4">
        <f t="shared" si="67"/>
        <v>2.7958236745225</v>
      </c>
      <c r="L299" s="5">
        <v>2.7958236745225001E-2</v>
      </c>
      <c r="M299" s="19">
        <f t="shared" si="68"/>
        <v>7.3592627010500564</v>
      </c>
      <c r="N299" s="5">
        <v>7.3592627010500566E-2</v>
      </c>
      <c r="O299" s="19">
        <f t="shared" si="69"/>
        <v>7.71</v>
      </c>
      <c r="P299" s="8">
        <v>7.7100000000000002E-2</v>
      </c>
      <c r="Q299" s="19">
        <f t="shared" si="70"/>
        <v>23.0502416666667</v>
      </c>
      <c r="R299">
        <v>23050.241666666701</v>
      </c>
      <c r="S299" s="4">
        <f t="shared" si="71"/>
        <v>3.2188758248682006</v>
      </c>
      <c r="T299" s="15">
        <v>1995</v>
      </c>
      <c r="U299" s="15">
        <v>117.24</v>
      </c>
      <c r="V299" s="15">
        <v>163.52000000000001</v>
      </c>
      <c r="W299" s="4">
        <f t="shared" si="72"/>
        <v>16.526481977739749</v>
      </c>
      <c r="X299" s="18">
        <f t="shared" si="73"/>
        <v>4.0612923293555667</v>
      </c>
      <c r="Y299" s="18">
        <f t="shared" si="74"/>
        <v>1.7914514170800477</v>
      </c>
      <c r="Z299" s="18">
        <f t="shared" si="75"/>
        <v>1.2670401723621485</v>
      </c>
      <c r="AA299" s="12">
        <f t="shared" si="76"/>
        <v>1.2384308973251366</v>
      </c>
      <c r="AB299">
        <f t="shared" si="77"/>
        <v>9.2628330782640038</v>
      </c>
      <c r="AC299" s="18">
        <f t="shared" si="66"/>
        <v>0.24489318318749251</v>
      </c>
      <c r="AD299" s="18">
        <f t="shared" si="78"/>
        <v>4.7805213770522714</v>
      </c>
      <c r="AE299" s="12">
        <v>11377.826999999999</v>
      </c>
      <c r="AF299" s="12">
        <v>10646.871999999999</v>
      </c>
      <c r="AG299" s="8">
        <f t="shared" si="79"/>
        <v>6.8654436720944886E-2</v>
      </c>
      <c r="AH299" s="21">
        <f t="shared" si="64"/>
        <v>1.7322169836934744</v>
      </c>
      <c r="AI299" s="21">
        <f t="shared" si="65"/>
        <v>4.7603223367226581</v>
      </c>
      <c r="AJ299" t="s">
        <v>76</v>
      </c>
      <c r="AK299">
        <v>289651</v>
      </c>
      <c r="AL299">
        <v>16721404</v>
      </c>
      <c r="AM299">
        <v>6084693</v>
      </c>
    </row>
    <row r="300" spans="1:39" x14ac:dyDescent="0.3">
      <c r="A300" t="s">
        <v>77</v>
      </c>
      <c r="B300">
        <v>2019</v>
      </c>
      <c r="C300">
        <v>207.04300000000001</v>
      </c>
      <c r="D300">
        <v>272.03800000000001</v>
      </c>
      <c r="E300">
        <v>525.43700000000001</v>
      </c>
      <c r="F300">
        <v>439.41399999999999</v>
      </c>
      <c r="G300">
        <v>797.47500000000002</v>
      </c>
      <c r="H300">
        <v>325.464</v>
      </c>
      <c r="I300">
        <v>472.01</v>
      </c>
      <c r="J300">
        <v>301.98</v>
      </c>
      <c r="K300" s="4">
        <f t="shared" si="67"/>
        <v>2.7958236745225</v>
      </c>
      <c r="L300" s="5">
        <v>2.7958236745225001E-2</v>
      </c>
      <c r="M300" s="19">
        <f t="shared" si="68"/>
        <v>7.3592627010500564</v>
      </c>
      <c r="N300" s="5">
        <v>7.3592627010500566E-2</v>
      </c>
      <c r="O300" s="19">
        <f t="shared" si="69"/>
        <v>7.71</v>
      </c>
      <c r="P300" s="8">
        <v>7.7100000000000002E-2</v>
      </c>
      <c r="Q300" s="19">
        <f t="shared" si="70"/>
        <v>23.0502416666667</v>
      </c>
      <c r="R300">
        <v>23050.241666666701</v>
      </c>
      <c r="S300" s="4">
        <f t="shared" si="71"/>
        <v>2.4849066497880004</v>
      </c>
      <c r="T300" s="15">
        <v>2008</v>
      </c>
      <c r="U300" s="15">
        <v>117.24</v>
      </c>
      <c r="V300" s="15">
        <v>163.52000000000001</v>
      </c>
      <c r="W300" s="4">
        <f t="shared" si="72"/>
        <v>16.526481977739749</v>
      </c>
      <c r="X300" s="18">
        <f t="shared" si="73"/>
        <v>43.86411304845236</v>
      </c>
      <c r="Y300" s="18">
        <f t="shared" si="74"/>
        <v>25.962318567980187</v>
      </c>
      <c r="Z300" s="18">
        <f t="shared" si="75"/>
        <v>0.68952776424228301</v>
      </c>
      <c r="AA300" s="12">
        <f t="shared" si="76"/>
        <v>0.90084773826081199</v>
      </c>
      <c r="AB300">
        <f t="shared" si="77"/>
        <v>6.1896853651780113</v>
      </c>
      <c r="AC300" s="18">
        <f t="shared" si="66"/>
        <v>0.55100661462741773</v>
      </c>
      <c r="AD300" s="18">
        <f t="shared" si="78"/>
        <v>4.7805213770522714</v>
      </c>
      <c r="AE300" s="12">
        <v>1525.7380000000001</v>
      </c>
      <c r="AF300" s="12">
        <v>1539.616</v>
      </c>
      <c r="AG300" s="8">
        <f t="shared" si="79"/>
        <v>-9.0139359424687253E-3</v>
      </c>
      <c r="AH300" s="21">
        <f t="shared" si="64"/>
        <v>16.690927081656863</v>
      </c>
      <c r="AI300" s="21">
        <f t="shared" si="65"/>
        <v>31.581321802133452</v>
      </c>
      <c r="AJ300" t="s">
        <v>77</v>
      </c>
      <c r="AK300">
        <v>140006</v>
      </c>
      <c r="AL300">
        <v>838815</v>
      </c>
      <c r="AM300">
        <v>443319</v>
      </c>
    </row>
    <row r="301" spans="1:39" x14ac:dyDescent="0.3">
      <c r="A301" t="s">
        <v>78</v>
      </c>
      <c r="B301">
        <v>2019</v>
      </c>
      <c r="C301">
        <v>41.368000000000002</v>
      </c>
      <c r="D301">
        <v>420.596</v>
      </c>
      <c r="E301">
        <v>386.21</v>
      </c>
      <c r="F301">
        <v>80.992999999999995</v>
      </c>
      <c r="G301">
        <v>806.80600000000004</v>
      </c>
      <c r="H301">
        <v>425.46800000000002</v>
      </c>
      <c r="I301">
        <v>381.33800000000002</v>
      </c>
      <c r="J301">
        <v>141.56</v>
      </c>
      <c r="K301" s="4">
        <f t="shared" si="67"/>
        <v>2.7958236745225</v>
      </c>
      <c r="L301" s="5">
        <v>2.7958236745225001E-2</v>
      </c>
      <c r="M301" s="19">
        <f t="shared" si="68"/>
        <v>7.3592627010500564</v>
      </c>
      <c r="N301" s="5">
        <v>7.3592627010500566E-2</v>
      </c>
      <c r="O301" s="19">
        <f t="shared" si="69"/>
        <v>7.71</v>
      </c>
      <c r="P301" s="8">
        <v>7.7100000000000002E-2</v>
      </c>
      <c r="Q301" s="19">
        <f t="shared" si="70"/>
        <v>23.0502416666667</v>
      </c>
      <c r="R301">
        <v>23050.241666666701</v>
      </c>
      <c r="S301" s="4">
        <f t="shared" si="71"/>
        <v>4.0943445622221004</v>
      </c>
      <c r="T301" s="15">
        <v>1960</v>
      </c>
      <c r="U301" s="15">
        <v>117.24</v>
      </c>
      <c r="V301" s="15">
        <v>163.52000000000001</v>
      </c>
      <c r="W301" s="4">
        <f t="shared" si="72"/>
        <v>16.526481977739749</v>
      </c>
      <c r="X301" s="18">
        <f t="shared" si="73"/>
        <v>10.848118991550802</v>
      </c>
      <c r="Y301" s="18">
        <f t="shared" si="74"/>
        <v>5.1273788246492957</v>
      </c>
      <c r="Z301" s="18">
        <f t="shared" si="75"/>
        <v>1.1157241082714022</v>
      </c>
      <c r="AA301" s="12">
        <f t="shared" si="76"/>
        <v>2.9711500423848545</v>
      </c>
      <c r="AB301">
        <f t="shared" si="77"/>
        <v>6.2013181218124638</v>
      </c>
      <c r="AC301" s="18">
        <f t="shared" si="66"/>
        <v>0.1003872058462629</v>
      </c>
      <c r="AD301" s="18">
        <f t="shared" si="78"/>
        <v>4.7805213770522714</v>
      </c>
      <c r="AE301" s="12">
        <v>929.14700000000005</v>
      </c>
      <c r="AF301" s="12">
        <v>928.60299999999995</v>
      </c>
      <c r="AG301" s="8">
        <f t="shared" si="79"/>
        <v>5.8582623575424209E-4</v>
      </c>
      <c r="AH301" s="21">
        <f t="shared" si="64"/>
        <v>1.4414569783621987</v>
      </c>
      <c r="AI301" s="21">
        <f t="shared" si="65"/>
        <v>3.580345799849193</v>
      </c>
      <c r="AJ301" t="s">
        <v>78</v>
      </c>
      <c r="AK301">
        <v>12203</v>
      </c>
      <c r="AL301">
        <v>846574</v>
      </c>
      <c r="AM301">
        <v>340833</v>
      </c>
    </row>
    <row r="302" spans="1:39" x14ac:dyDescent="0.3">
      <c r="A302" t="s">
        <v>79</v>
      </c>
      <c r="B302">
        <v>2019</v>
      </c>
      <c r="C302">
        <v>73.835999999999999</v>
      </c>
      <c r="D302">
        <v>365.52499999999998</v>
      </c>
      <c r="E302">
        <v>108.40600000000001</v>
      </c>
      <c r="F302">
        <v>80.882000000000005</v>
      </c>
      <c r="G302">
        <v>473.93200000000002</v>
      </c>
      <c r="H302">
        <v>144.834</v>
      </c>
      <c r="I302">
        <v>329.09699999999998</v>
      </c>
      <c r="J302">
        <v>144.83000000000001</v>
      </c>
      <c r="K302" s="4">
        <f t="shared" si="67"/>
        <v>2.7958236745225</v>
      </c>
      <c r="L302" s="5">
        <v>2.7958236745225001E-2</v>
      </c>
      <c r="M302" s="19">
        <f t="shared" si="68"/>
        <v>7.3592627010500564</v>
      </c>
      <c r="N302" s="5">
        <v>7.3592627010500566E-2</v>
      </c>
      <c r="O302" s="19">
        <f t="shared" si="69"/>
        <v>7.71</v>
      </c>
      <c r="P302" s="8">
        <v>7.7100000000000002E-2</v>
      </c>
      <c r="Q302" s="19">
        <f t="shared" si="70"/>
        <v>23.0502416666667</v>
      </c>
      <c r="R302">
        <v>23050.241666666701</v>
      </c>
      <c r="S302" s="4">
        <f t="shared" si="71"/>
        <v>3.784189633918261</v>
      </c>
      <c r="T302" s="15">
        <v>1976</v>
      </c>
      <c r="U302" s="15">
        <v>117.24</v>
      </c>
      <c r="V302" s="15">
        <v>163.52000000000001</v>
      </c>
      <c r="W302" s="4">
        <f t="shared" si="72"/>
        <v>16.526481977739749</v>
      </c>
      <c r="X302" s="18">
        <f t="shared" si="73"/>
        <v>22.435938340367734</v>
      </c>
      <c r="Y302" s="18">
        <f t="shared" si="74"/>
        <v>15.579450216486753</v>
      </c>
      <c r="Z302" s="18">
        <f t="shared" si="75"/>
        <v>0.44009516950929367</v>
      </c>
      <c r="AA302" s="12">
        <f t="shared" si="76"/>
        <v>2.5238210315542355</v>
      </c>
      <c r="AB302">
        <f t="shared" si="77"/>
        <v>5.6692987304608584</v>
      </c>
      <c r="AC302" s="18">
        <f t="shared" si="66"/>
        <v>0.17066161390241638</v>
      </c>
      <c r="AD302" s="18">
        <f t="shared" si="78"/>
        <v>4.7805213770522714</v>
      </c>
      <c r="AE302" s="12">
        <v>669.67899999999997</v>
      </c>
      <c r="AF302" s="12">
        <v>647.49400000000003</v>
      </c>
      <c r="AG302" s="8">
        <f t="shared" si="79"/>
        <v>3.4262865756284913E-2</v>
      </c>
      <c r="AH302" s="21">
        <f t="shared" si="64"/>
        <v>19.400298717862658</v>
      </c>
      <c r="AI302" s="21">
        <f t="shared" si="65"/>
        <v>26.673088681487293</v>
      </c>
      <c r="AJ302" t="s">
        <v>79</v>
      </c>
      <c r="AK302">
        <v>92482</v>
      </c>
      <c r="AL302">
        <v>476704</v>
      </c>
      <c r="AM302">
        <v>346724</v>
      </c>
    </row>
    <row r="303" spans="1:39" x14ac:dyDescent="0.3">
      <c r="A303" t="s">
        <v>80</v>
      </c>
      <c r="B303">
        <v>2019</v>
      </c>
      <c r="C303">
        <v>214.423</v>
      </c>
      <c r="D303">
        <v>879.67200000000003</v>
      </c>
      <c r="E303">
        <v>1191.6010000000001</v>
      </c>
      <c r="F303">
        <v>1048.021</v>
      </c>
      <c r="G303">
        <v>2071.2730000000001</v>
      </c>
      <c r="H303">
        <v>988.154</v>
      </c>
      <c r="I303">
        <v>1083.1199999999999</v>
      </c>
      <c r="J303">
        <v>823.67</v>
      </c>
      <c r="K303" s="4">
        <f t="shared" si="67"/>
        <v>2.7958236745225</v>
      </c>
      <c r="L303" s="5">
        <v>2.7958236745225001E-2</v>
      </c>
      <c r="M303" s="19">
        <f t="shared" si="68"/>
        <v>7.3592627010500564</v>
      </c>
      <c r="N303" s="5">
        <v>7.3592627010500566E-2</v>
      </c>
      <c r="O303" s="19">
        <f t="shared" si="69"/>
        <v>7.71</v>
      </c>
      <c r="P303" s="8">
        <v>7.7100000000000002E-2</v>
      </c>
      <c r="Q303" s="19">
        <f t="shared" si="70"/>
        <v>23.0502416666667</v>
      </c>
      <c r="R303">
        <v>23050.241666666701</v>
      </c>
      <c r="S303" s="4">
        <f t="shared" si="71"/>
        <v>2.9957322735539909</v>
      </c>
      <c r="T303" s="15">
        <v>2000</v>
      </c>
      <c r="U303" s="15">
        <v>117.24</v>
      </c>
      <c r="V303" s="15">
        <v>163.52000000000001</v>
      </c>
      <c r="W303" s="4">
        <f t="shared" si="72"/>
        <v>16.526481977739749</v>
      </c>
      <c r="X303" s="18">
        <f t="shared" si="73"/>
        <v>19.796790752640522</v>
      </c>
      <c r="Y303" s="18">
        <f t="shared" si="74"/>
        <v>10.352232660783971</v>
      </c>
      <c r="Z303" s="18">
        <f t="shared" si="75"/>
        <v>0.91232181106433274</v>
      </c>
      <c r="AA303" s="12">
        <f t="shared" si="76"/>
        <v>1.0679908215668896</v>
      </c>
      <c r="AB303">
        <f t="shared" si="77"/>
        <v>7.1441535520574231</v>
      </c>
      <c r="AC303" s="18">
        <f t="shared" si="66"/>
        <v>0.50597917319445573</v>
      </c>
      <c r="AD303" s="18">
        <f t="shared" si="78"/>
        <v>4.7805213770522714</v>
      </c>
      <c r="AE303" s="12">
        <v>2231.826</v>
      </c>
      <c r="AF303" s="12">
        <v>2408.319</v>
      </c>
      <c r="AG303" s="8">
        <f t="shared" si="79"/>
        <v>-7.3284726815675147E-2</v>
      </c>
      <c r="AH303" s="21">
        <f t="shared" si="64"/>
        <v>8.4150768554246085</v>
      </c>
      <c r="AI303" s="21">
        <f t="shared" si="65"/>
        <v>19.619538134740218</v>
      </c>
      <c r="AJ303" t="s">
        <v>80</v>
      </c>
      <c r="AK303">
        <v>178352</v>
      </c>
      <c r="AL303">
        <v>2119434</v>
      </c>
      <c r="AM303">
        <v>909053</v>
      </c>
    </row>
    <row r="304" spans="1:39" x14ac:dyDescent="0.3">
      <c r="A304" t="s">
        <v>81</v>
      </c>
      <c r="B304">
        <v>2019</v>
      </c>
      <c r="C304">
        <v>233.33199999999999</v>
      </c>
      <c r="D304">
        <v>2515.6660000000002</v>
      </c>
      <c r="E304">
        <v>2212.3710000000001</v>
      </c>
      <c r="F304">
        <v>502.79599999999999</v>
      </c>
      <c r="G304">
        <v>4728.0370000000003</v>
      </c>
      <c r="H304">
        <v>3088.2260000000001</v>
      </c>
      <c r="I304">
        <v>1639.8109999999999</v>
      </c>
      <c r="J304">
        <v>2592.15</v>
      </c>
      <c r="K304" s="4">
        <f t="shared" si="67"/>
        <v>2.7958236745225</v>
      </c>
      <c r="L304" s="5">
        <v>2.7958236745225001E-2</v>
      </c>
      <c r="M304" s="19">
        <f t="shared" si="68"/>
        <v>7.3592627010500564</v>
      </c>
      <c r="N304" s="5">
        <v>7.3592627010500566E-2</v>
      </c>
      <c r="O304" s="19">
        <f t="shared" si="69"/>
        <v>7.71</v>
      </c>
      <c r="P304" s="8">
        <v>7.7100000000000002E-2</v>
      </c>
      <c r="Q304" s="19">
        <f t="shared" si="70"/>
        <v>23.0502416666667</v>
      </c>
      <c r="R304">
        <v>23050.241666666701</v>
      </c>
      <c r="S304" s="4">
        <f t="shared" si="71"/>
        <v>3.6375861597263857</v>
      </c>
      <c r="T304" s="15">
        <v>1982</v>
      </c>
      <c r="U304" s="15">
        <v>117.24</v>
      </c>
      <c r="V304" s="15">
        <v>163.52000000000001</v>
      </c>
      <c r="W304" s="4">
        <f t="shared" si="72"/>
        <v>16.526481977739749</v>
      </c>
      <c r="X304" s="18">
        <f t="shared" si="73"/>
        <v>14.229200804239026</v>
      </c>
      <c r="Y304" s="18">
        <f t="shared" si="74"/>
        <v>4.9350713625972045</v>
      </c>
      <c r="Z304" s="18">
        <f t="shared" si="75"/>
        <v>1.8832816708754851</v>
      </c>
      <c r="AA304" s="12">
        <f t="shared" si="76"/>
        <v>0.97049399147425885</v>
      </c>
      <c r="AB304">
        <f t="shared" si="77"/>
        <v>7.969500263747185</v>
      </c>
      <c r="AC304" s="18">
        <f t="shared" si="66"/>
        <v>0.10634349942692918</v>
      </c>
      <c r="AD304" s="18">
        <f t="shared" si="78"/>
        <v>4.7805213770522714</v>
      </c>
      <c r="AE304" s="12">
        <v>18274.374</v>
      </c>
      <c r="AF304" s="12">
        <v>14881.843000000001</v>
      </c>
      <c r="AG304" s="8">
        <f t="shared" si="79"/>
        <v>0.22796443961947446</v>
      </c>
      <c r="AH304" s="21">
        <f t="shared" si="64"/>
        <v>6.893737305278731</v>
      </c>
      <c r="AI304" s="21">
        <f t="shared" si="65"/>
        <v>19.559507695033567</v>
      </c>
      <c r="AJ304" t="s">
        <v>81</v>
      </c>
      <c r="AK304">
        <v>300267</v>
      </c>
      <c r="AL304">
        <v>4355649</v>
      </c>
      <c r="AM304">
        <v>1535146</v>
      </c>
    </row>
    <row r="305" spans="1:39" x14ac:dyDescent="0.3">
      <c r="A305" t="s">
        <v>82</v>
      </c>
      <c r="B305">
        <v>2019</v>
      </c>
      <c r="C305">
        <v>216.84700000000001</v>
      </c>
      <c r="D305">
        <v>1624.461</v>
      </c>
      <c r="E305">
        <v>1298.3440000000001</v>
      </c>
      <c r="F305">
        <v>1090.578</v>
      </c>
      <c r="G305">
        <v>2922.8049999999998</v>
      </c>
      <c r="H305">
        <v>1497.538</v>
      </c>
      <c r="I305">
        <v>1425.2670000000001</v>
      </c>
      <c r="J305">
        <v>1331.36</v>
      </c>
      <c r="K305" s="4">
        <f t="shared" si="67"/>
        <v>2.7958236745225</v>
      </c>
      <c r="L305" s="5">
        <v>2.7958236745225001E-2</v>
      </c>
      <c r="M305" s="19">
        <f t="shared" si="68"/>
        <v>7.3592627010500564</v>
      </c>
      <c r="N305" s="5">
        <v>7.3592627010500566E-2</v>
      </c>
      <c r="O305" s="19">
        <f t="shared" si="69"/>
        <v>7.71</v>
      </c>
      <c r="P305" s="8">
        <v>7.7100000000000002E-2</v>
      </c>
      <c r="Q305" s="19">
        <f t="shared" si="70"/>
        <v>23.0502416666667</v>
      </c>
      <c r="R305">
        <v>23050.241666666701</v>
      </c>
      <c r="S305" s="4">
        <f t="shared" si="71"/>
        <v>3.784189633918261</v>
      </c>
      <c r="T305" s="15">
        <v>1976</v>
      </c>
      <c r="U305" s="15">
        <v>117.24</v>
      </c>
      <c r="V305" s="15">
        <v>163.52000000000001</v>
      </c>
      <c r="W305" s="4">
        <f t="shared" si="72"/>
        <v>16.526481977739749</v>
      </c>
      <c r="X305" s="18">
        <f t="shared" si="73"/>
        <v>15.214482619747738</v>
      </c>
      <c r="Y305" s="18">
        <f t="shared" si="74"/>
        <v>7.4191401752768327</v>
      </c>
      <c r="Z305" s="18">
        <f t="shared" si="75"/>
        <v>1.050706990339354</v>
      </c>
      <c r="AA305" s="12">
        <f t="shared" si="76"/>
        <v>1.2201515743300084</v>
      </c>
      <c r="AB305">
        <f t="shared" si="77"/>
        <v>7.4885339295767324</v>
      </c>
      <c r="AC305" s="18">
        <f t="shared" si="66"/>
        <v>0.37312718433148978</v>
      </c>
      <c r="AD305" s="18">
        <f t="shared" si="78"/>
        <v>4.7805213770522714</v>
      </c>
      <c r="AE305" s="12">
        <v>3645.0529999999999</v>
      </c>
      <c r="AF305" s="12">
        <v>3664.4450000000002</v>
      </c>
      <c r="AG305" s="8">
        <f t="shared" si="79"/>
        <v>-5.2919337034667679E-3</v>
      </c>
      <c r="AH305" s="21">
        <f t="shared" si="64"/>
        <v>8.0200140053693403</v>
      </c>
      <c r="AI305" s="21">
        <f t="shared" si="65"/>
        <v>20.403980576591312</v>
      </c>
      <c r="AJ305" t="s">
        <v>82</v>
      </c>
      <c r="AK305">
        <v>260436</v>
      </c>
      <c r="AL305">
        <v>3247326</v>
      </c>
      <c r="AM305">
        <v>1276398</v>
      </c>
    </row>
    <row r="306" spans="1:39" x14ac:dyDescent="0.3">
      <c r="A306" t="s">
        <v>83</v>
      </c>
      <c r="B306">
        <v>2019</v>
      </c>
      <c r="C306">
        <v>349.08699999999999</v>
      </c>
      <c r="D306">
        <v>1830.894</v>
      </c>
      <c r="E306">
        <v>586.01</v>
      </c>
      <c r="F306">
        <v>464.23700000000002</v>
      </c>
      <c r="G306">
        <v>2416.904</v>
      </c>
      <c r="H306">
        <v>609.91700000000003</v>
      </c>
      <c r="I306">
        <v>1806.9870000000001</v>
      </c>
      <c r="J306">
        <v>554.65</v>
      </c>
      <c r="K306" s="4">
        <f t="shared" si="67"/>
        <v>2.7958236745225</v>
      </c>
      <c r="L306" s="5">
        <v>2.7958236745225001E-2</v>
      </c>
      <c r="M306" s="19">
        <f t="shared" si="68"/>
        <v>7.3592627010500564</v>
      </c>
      <c r="N306" s="5">
        <v>7.3592627010500566E-2</v>
      </c>
      <c r="O306" s="19">
        <f t="shared" si="69"/>
        <v>7.71</v>
      </c>
      <c r="P306" s="8">
        <v>7.7100000000000002E-2</v>
      </c>
      <c r="Q306" s="19">
        <f t="shared" si="70"/>
        <v>23.0502416666667</v>
      </c>
      <c r="R306">
        <v>23050.241666666701</v>
      </c>
      <c r="S306" s="4">
        <f t="shared" si="71"/>
        <v>3.6635616461296463</v>
      </c>
      <c r="T306" s="15">
        <v>1981</v>
      </c>
      <c r="U306" s="15">
        <v>117.24</v>
      </c>
      <c r="V306" s="15">
        <v>163.52000000000001</v>
      </c>
      <c r="W306" s="4">
        <f t="shared" si="72"/>
        <v>16.526481977739749</v>
      </c>
      <c r="X306" s="18">
        <f t="shared" si="73"/>
        <v>19.318733338978085</v>
      </c>
      <c r="Y306" s="18">
        <f t="shared" si="74"/>
        <v>14.443560853058294</v>
      </c>
      <c r="Z306" s="18">
        <f t="shared" si="75"/>
        <v>0.33753258877900061</v>
      </c>
      <c r="AA306" s="12">
        <f t="shared" si="76"/>
        <v>3.3009898133958355</v>
      </c>
      <c r="AB306">
        <f t="shared" si="77"/>
        <v>7.2984775402279327</v>
      </c>
      <c r="AC306" s="18">
        <f t="shared" si="66"/>
        <v>0.19207920546285662</v>
      </c>
      <c r="AD306" s="18">
        <f t="shared" si="78"/>
        <v>4.7805213770522714</v>
      </c>
      <c r="AE306" s="12">
        <v>3298.7109999999998</v>
      </c>
      <c r="AF306" s="12">
        <v>2881.395</v>
      </c>
      <c r="AG306" s="8">
        <f t="shared" si="79"/>
        <v>0.14483123625882596</v>
      </c>
      <c r="AH306" s="21">
        <f t="shared" si="64"/>
        <v>16.403329878639966</v>
      </c>
      <c r="AI306" s="21">
        <f t="shared" si="65"/>
        <v>23.20417950165055</v>
      </c>
      <c r="AJ306" t="s">
        <v>83</v>
      </c>
      <c r="AK306">
        <v>294384</v>
      </c>
      <c r="AL306">
        <v>1794660</v>
      </c>
      <c r="AM306">
        <v>1268668</v>
      </c>
    </row>
    <row r="307" spans="1:39" x14ac:dyDescent="0.3">
      <c r="A307" t="s">
        <v>84</v>
      </c>
      <c r="B307">
        <v>2019</v>
      </c>
      <c r="C307">
        <v>3.89</v>
      </c>
      <c r="D307">
        <v>1211.4359999999999</v>
      </c>
      <c r="E307">
        <v>379.19200000000001</v>
      </c>
      <c r="F307">
        <v>323.18099999999998</v>
      </c>
      <c r="G307">
        <v>1590.6279999999999</v>
      </c>
      <c r="H307">
        <v>1175.0250000000001</v>
      </c>
      <c r="I307">
        <v>415.60300000000001</v>
      </c>
      <c r="J307">
        <v>1090.33</v>
      </c>
      <c r="K307" s="4">
        <f t="shared" si="67"/>
        <v>2.7958236745225</v>
      </c>
      <c r="L307" s="5">
        <v>2.7958236745225001E-2</v>
      </c>
      <c r="M307" s="19">
        <f t="shared" si="68"/>
        <v>7.3592627010500564</v>
      </c>
      <c r="N307" s="5">
        <v>7.3592627010500566E-2</v>
      </c>
      <c r="O307" s="19">
        <f t="shared" si="69"/>
        <v>7.71</v>
      </c>
      <c r="P307" s="8">
        <v>7.7100000000000002E-2</v>
      </c>
      <c r="Q307" s="19">
        <f t="shared" si="70"/>
        <v>23.0502416666667</v>
      </c>
      <c r="R307">
        <v>23050.241666666701</v>
      </c>
      <c r="S307" s="4">
        <f t="shared" si="71"/>
        <v>3.784189633918261</v>
      </c>
      <c r="T307" s="15">
        <v>1976</v>
      </c>
      <c r="U307" s="15">
        <v>117.24</v>
      </c>
      <c r="V307" s="15">
        <v>163.52000000000001</v>
      </c>
      <c r="W307" s="4">
        <f t="shared" si="72"/>
        <v>16.526481977739749</v>
      </c>
      <c r="X307" s="18">
        <f t="shared" si="73"/>
        <v>0.93598939372429946</v>
      </c>
      <c r="Y307" s="18">
        <f t="shared" si="74"/>
        <v>0.24455749553006739</v>
      </c>
      <c r="Z307" s="18">
        <f t="shared" si="75"/>
        <v>2.8272774739354625</v>
      </c>
      <c r="AA307" s="12">
        <f t="shared" si="76"/>
        <v>1.1110727944750671</v>
      </c>
      <c r="AB307">
        <f t="shared" si="77"/>
        <v>6.8801190647609411</v>
      </c>
      <c r="AC307" s="18">
        <f t="shared" si="66"/>
        <v>0.2031782415498784</v>
      </c>
      <c r="AD307" s="18">
        <f t="shared" si="78"/>
        <v>4.7805213770522714</v>
      </c>
      <c r="AE307" s="12">
        <v>1352.799</v>
      </c>
      <c r="AF307" s="12">
        <v>1281.7190000000001</v>
      </c>
      <c r="AG307" s="8">
        <f t="shared" si="79"/>
        <v>5.5456773286500338E-2</v>
      </c>
      <c r="AH307" s="21">
        <f t="shared" si="64"/>
        <v>7.0576316445163198E-2</v>
      </c>
      <c r="AI307" s="21">
        <f t="shared" si="65"/>
        <v>0.29800083867013716</v>
      </c>
      <c r="AJ307" t="s">
        <v>84</v>
      </c>
      <c r="AK307">
        <v>1201</v>
      </c>
      <c r="AL307">
        <v>1701704</v>
      </c>
      <c r="AM307">
        <v>403019</v>
      </c>
    </row>
    <row r="308" spans="1:39" x14ac:dyDescent="0.3">
      <c r="A308" t="s">
        <v>85</v>
      </c>
      <c r="B308">
        <v>2019</v>
      </c>
      <c r="C308">
        <v>89.808000000000007</v>
      </c>
      <c r="D308">
        <v>959.08399999999995</v>
      </c>
      <c r="E308">
        <v>672.11099999999999</v>
      </c>
      <c r="F308">
        <v>556.745</v>
      </c>
      <c r="G308">
        <v>1631.1949999999999</v>
      </c>
      <c r="H308">
        <v>1045.45</v>
      </c>
      <c r="I308">
        <v>585.745</v>
      </c>
      <c r="J308">
        <v>966.81</v>
      </c>
      <c r="K308" s="4">
        <f t="shared" si="67"/>
        <v>2.7958236745225</v>
      </c>
      <c r="L308" s="5">
        <v>2.7958236745225001E-2</v>
      </c>
      <c r="M308" s="19">
        <f t="shared" si="68"/>
        <v>7.3592627010500564</v>
      </c>
      <c r="N308" s="5">
        <v>7.3592627010500566E-2</v>
      </c>
      <c r="O308" s="19">
        <f t="shared" si="69"/>
        <v>7.71</v>
      </c>
      <c r="P308" s="8">
        <v>7.7100000000000002E-2</v>
      </c>
      <c r="Q308" s="19">
        <f t="shared" si="70"/>
        <v>23.0502416666667</v>
      </c>
      <c r="R308">
        <v>23050.241666666701</v>
      </c>
      <c r="S308" s="4">
        <f t="shared" si="71"/>
        <v>4.0943445622221004</v>
      </c>
      <c r="T308" s="15">
        <v>1960</v>
      </c>
      <c r="U308" s="15">
        <v>117.24</v>
      </c>
      <c r="V308" s="15">
        <v>163.52000000000001</v>
      </c>
      <c r="W308" s="4">
        <f t="shared" si="72"/>
        <v>16.526481977739749</v>
      </c>
      <c r="X308" s="18">
        <f t="shared" si="73"/>
        <v>15.332269161495191</v>
      </c>
      <c r="Y308" s="18">
        <f t="shared" si="74"/>
        <v>5.5056568957114269</v>
      </c>
      <c r="Z308" s="18">
        <f t="shared" si="75"/>
        <v>1.7848210398722995</v>
      </c>
      <c r="AA308" s="12">
        <f t="shared" si="76"/>
        <v>0.9920087711132487</v>
      </c>
      <c r="AB308">
        <f t="shared" si="77"/>
        <v>6.9053030330002461</v>
      </c>
      <c r="AC308" s="18">
        <f t="shared" si="66"/>
        <v>0.34131112466627228</v>
      </c>
      <c r="AD308" s="18">
        <f t="shared" si="78"/>
        <v>4.7805213770522714</v>
      </c>
      <c r="AE308" s="12">
        <v>2159.4659999999999</v>
      </c>
      <c r="AF308" s="12">
        <v>2335.3829999999998</v>
      </c>
      <c r="AG308" s="8">
        <f t="shared" si="79"/>
        <v>-7.5326830759665522E-2</v>
      </c>
      <c r="AH308" s="21">
        <f t="shared" si="64"/>
        <v>6.3855291078800169</v>
      </c>
      <c r="AI308" s="21">
        <f t="shared" si="65"/>
        <v>13.924074708052798</v>
      </c>
      <c r="AJ308" t="s">
        <v>85</v>
      </c>
      <c r="AK308">
        <v>102494</v>
      </c>
      <c r="AL308">
        <v>1605098</v>
      </c>
      <c r="AM308">
        <v>736092</v>
      </c>
    </row>
    <row r="309" spans="1:39" x14ac:dyDescent="0.3">
      <c r="A309" t="s">
        <v>86</v>
      </c>
      <c r="B309">
        <v>2019</v>
      </c>
      <c r="C309">
        <v>677.77599999999995</v>
      </c>
      <c r="D309">
        <v>1651.0139999999999</v>
      </c>
      <c r="E309">
        <v>574.31399999999996</v>
      </c>
      <c r="F309">
        <v>524.529</v>
      </c>
      <c r="G309">
        <v>2225.3290000000002</v>
      </c>
      <c r="H309">
        <v>783.25800000000004</v>
      </c>
      <c r="I309">
        <v>1442.0709999999999</v>
      </c>
      <c r="J309">
        <v>778.14</v>
      </c>
      <c r="K309" s="4">
        <f t="shared" si="67"/>
        <v>2.7958236745225</v>
      </c>
      <c r="L309" s="5">
        <v>2.7958236745225001E-2</v>
      </c>
      <c r="M309" s="19">
        <f t="shared" si="68"/>
        <v>7.3592627010500564</v>
      </c>
      <c r="N309" s="5">
        <v>7.3592627010500566E-2</v>
      </c>
      <c r="O309" s="19">
        <f t="shared" si="69"/>
        <v>7.71</v>
      </c>
      <c r="P309" s="8">
        <v>7.7100000000000002E-2</v>
      </c>
      <c r="Q309" s="19">
        <f t="shared" si="70"/>
        <v>23.0502416666667</v>
      </c>
      <c r="R309">
        <v>23050.241666666701</v>
      </c>
      <c r="S309" s="4">
        <f t="shared" si="71"/>
        <v>3.9318256327243257</v>
      </c>
      <c r="T309" s="15">
        <v>1969</v>
      </c>
      <c r="U309" s="15">
        <v>117.24</v>
      </c>
      <c r="V309" s="15">
        <v>163.52000000000001</v>
      </c>
      <c r="W309" s="4">
        <f t="shared" si="72"/>
        <v>16.526481977739749</v>
      </c>
      <c r="X309" s="18">
        <f t="shared" si="73"/>
        <v>47.00018237659588</v>
      </c>
      <c r="Y309" s="18">
        <f t="shared" si="74"/>
        <v>30.457339117047404</v>
      </c>
      <c r="Z309" s="18">
        <f t="shared" si="75"/>
        <v>0.54314801421011871</v>
      </c>
      <c r="AA309" s="12">
        <f t="shared" si="76"/>
        <v>2.1217441591487392</v>
      </c>
      <c r="AB309">
        <f t="shared" si="77"/>
        <v>7.2158949278106554</v>
      </c>
      <c r="AC309" s="18">
        <f t="shared" si="66"/>
        <v>0.23570851770681997</v>
      </c>
      <c r="AD309" s="18">
        <f t="shared" si="78"/>
        <v>4.7805213770522714</v>
      </c>
      <c r="AE309" s="12">
        <v>3102.8290000000002</v>
      </c>
      <c r="AF309" s="12">
        <v>3454.857</v>
      </c>
      <c r="AG309" s="8">
        <f t="shared" si="79"/>
        <v>-0.10189365290661807</v>
      </c>
      <c r="AH309" s="21">
        <f t="shared" si="64"/>
        <v>28.73618910087669</v>
      </c>
      <c r="AI309" s="21">
        <f t="shared" si="65"/>
        <v>45.427166283695406</v>
      </c>
      <c r="AJ309" t="s">
        <v>86</v>
      </c>
      <c r="AK309">
        <v>636977</v>
      </c>
      <c r="AL309">
        <v>2216637</v>
      </c>
      <c r="AM309">
        <v>1402194</v>
      </c>
    </row>
    <row r="310" spans="1:39" x14ac:dyDescent="0.3">
      <c r="A310" t="s">
        <v>87</v>
      </c>
      <c r="B310">
        <v>2019</v>
      </c>
      <c r="C310">
        <v>1179.123</v>
      </c>
      <c r="D310">
        <v>4611.3609999999999</v>
      </c>
      <c r="E310">
        <v>2001.0530000000001</v>
      </c>
      <c r="F310">
        <v>1504.403</v>
      </c>
      <c r="G310">
        <v>6612.4139999999998</v>
      </c>
      <c r="H310">
        <v>1735.134</v>
      </c>
      <c r="I310">
        <v>4877.28</v>
      </c>
      <c r="J310">
        <v>1715.66</v>
      </c>
      <c r="K310" s="4">
        <f t="shared" si="67"/>
        <v>2.7958236745225</v>
      </c>
      <c r="L310" s="5">
        <v>2.7958236745225001E-2</v>
      </c>
      <c r="M310" s="19">
        <f t="shared" si="68"/>
        <v>7.3592627010500564</v>
      </c>
      <c r="N310" s="5">
        <v>7.3592627010500566E-2</v>
      </c>
      <c r="O310" s="19">
        <f t="shared" si="69"/>
        <v>7.71</v>
      </c>
      <c r="P310" s="8">
        <v>7.7100000000000002E-2</v>
      </c>
      <c r="Q310" s="19">
        <f t="shared" si="70"/>
        <v>23.0502416666667</v>
      </c>
      <c r="R310">
        <v>23050.241666666701</v>
      </c>
      <c r="S310" s="4">
        <f t="shared" si="71"/>
        <v>3.1354942159291497</v>
      </c>
      <c r="T310" s="15">
        <v>1997</v>
      </c>
      <c r="U310" s="15">
        <v>117.24</v>
      </c>
      <c r="V310" s="15">
        <v>163.52000000000001</v>
      </c>
      <c r="W310" s="4">
        <f t="shared" si="72"/>
        <v>16.526481977739749</v>
      </c>
      <c r="X310" s="18">
        <f t="shared" si="73"/>
        <v>24.175831611061906</v>
      </c>
      <c r="Y310" s="18">
        <f t="shared" si="74"/>
        <v>17.831959704882365</v>
      </c>
      <c r="Z310" s="18">
        <f t="shared" si="75"/>
        <v>0.35575853754551717</v>
      </c>
      <c r="AA310" s="12">
        <f t="shared" si="76"/>
        <v>2.6878058589697256</v>
      </c>
      <c r="AB310">
        <f t="shared" si="77"/>
        <v>8.3049389493836543</v>
      </c>
      <c r="AC310" s="18">
        <f t="shared" si="66"/>
        <v>0.22751191924764541</v>
      </c>
      <c r="AD310" s="18">
        <f t="shared" si="78"/>
        <v>4.7805213770522714</v>
      </c>
      <c r="AE310" s="12">
        <v>7895.0169999999998</v>
      </c>
      <c r="AF310" s="12">
        <v>9406.8770000000004</v>
      </c>
      <c r="AG310" s="8">
        <f t="shared" si="79"/>
        <v>-0.16071858917683313</v>
      </c>
      <c r="AH310" s="21">
        <f t="shared" si="64"/>
        <v>22.895852226684653</v>
      </c>
      <c r="AI310" s="21">
        <f t="shared" si="65"/>
        <v>35.916130327342572</v>
      </c>
      <c r="AJ310" t="s">
        <v>87</v>
      </c>
      <c r="AK310">
        <v>1442098</v>
      </c>
      <c r="AL310">
        <v>6298512</v>
      </c>
      <c r="AM310">
        <v>4015182</v>
      </c>
    </row>
    <row r="311" spans="1:39" x14ac:dyDescent="0.3">
      <c r="A311" t="s">
        <v>88</v>
      </c>
      <c r="B311">
        <v>2019</v>
      </c>
      <c r="C311">
        <v>10554.332</v>
      </c>
      <c r="D311">
        <v>24721.564999999999</v>
      </c>
      <c r="E311">
        <v>19978.308000000001</v>
      </c>
      <c r="F311">
        <v>14893.54</v>
      </c>
      <c r="G311">
        <v>44699.873</v>
      </c>
      <c r="H311">
        <v>14968.618</v>
      </c>
      <c r="I311">
        <v>29731.255000000001</v>
      </c>
      <c r="J311">
        <v>14442.85</v>
      </c>
      <c r="K311" s="4">
        <f t="shared" si="67"/>
        <v>2.7958236745225</v>
      </c>
      <c r="L311" s="5">
        <v>2.7958236745225001E-2</v>
      </c>
      <c r="M311" s="19">
        <f t="shared" si="68"/>
        <v>7.3592627010500564</v>
      </c>
      <c r="N311" s="5">
        <v>7.3592627010500566E-2</v>
      </c>
      <c r="O311" s="19">
        <f t="shared" si="69"/>
        <v>7.71</v>
      </c>
      <c r="P311" s="8">
        <v>7.7100000000000002E-2</v>
      </c>
      <c r="Q311" s="19">
        <f t="shared" si="70"/>
        <v>23.0502416666667</v>
      </c>
      <c r="R311">
        <v>23050.241666666701</v>
      </c>
      <c r="S311" s="4">
        <f t="shared" si="71"/>
        <v>3.784189633918261</v>
      </c>
      <c r="T311" s="15">
        <v>1976</v>
      </c>
      <c r="U311" s="15">
        <v>117.24</v>
      </c>
      <c r="V311" s="15">
        <v>163.52000000000001</v>
      </c>
      <c r="W311" s="4">
        <f t="shared" si="72"/>
        <v>16.526481977739749</v>
      </c>
      <c r="X311" s="18">
        <f t="shared" si="73"/>
        <v>35.499113643201404</v>
      </c>
      <c r="Y311" s="18">
        <f t="shared" si="74"/>
        <v>23.611548068604133</v>
      </c>
      <c r="Z311" s="18">
        <f t="shared" si="75"/>
        <v>0.50346404818767321</v>
      </c>
      <c r="AA311" s="12">
        <f t="shared" si="76"/>
        <v>1.7116819048871932</v>
      </c>
      <c r="AB311">
        <f t="shared" si="77"/>
        <v>10.215960818407066</v>
      </c>
      <c r="AC311" s="18">
        <f t="shared" si="66"/>
        <v>0.33318976096419783</v>
      </c>
      <c r="AD311" s="18">
        <f t="shared" si="78"/>
        <v>4.7805213770522714</v>
      </c>
      <c r="AE311" s="12">
        <v>56400.23</v>
      </c>
      <c r="AF311" s="12">
        <v>52629.23</v>
      </c>
      <c r="AG311" s="8">
        <f t="shared" si="79"/>
        <v>7.1652197837589485E-2</v>
      </c>
      <c r="AH311" s="21">
        <f t="shared" si="64"/>
        <v>27.31253072135501</v>
      </c>
      <c r="AI311" s="21">
        <f t="shared" si="65"/>
        <v>38.84696682536795</v>
      </c>
      <c r="AJ311" t="s">
        <v>88</v>
      </c>
      <c r="AK311">
        <v>10205630</v>
      </c>
      <c r="AL311">
        <v>37366109</v>
      </c>
      <c r="AM311">
        <v>26271369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1"/>
  <sheetViews>
    <sheetView zoomScale="74" workbookViewId="0">
      <selection sqref="A1:AD311"/>
    </sheetView>
  </sheetViews>
  <sheetFormatPr defaultRowHeight="14.4" x14ac:dyDescent="0.3"/>
  <cols>
    <col min="2" max="4" width="9" bestFit="1" customWidth="1"/>
    <col min="5" max="5" width="10" bestFit="1" customWidth="1"/>
    <col min="6" max="6" width="9" bestFit="1" customWidth="1"/>
    <col min="7" max="8" width="10" bestFit="1" customWidth="1"/>
    <col min="9" max="19" width="9" bestFit="1" customWidth="1"/>
    <col min="20" max="20" width="10.44140625" bestFit="1" customWidth="1"/>
    <col min="21" max="23" width="9" bestFit="1" customWidth="1"/>
    <col min="28" max="28" width="12.5546875" style="12" bestFit="1" customWidth="1"/>
    <col min="29" max="29" width="9.21875" style="12" bestFit="1" customWidth="1"/>
  </cols>
  <sheetData>
    <row r="1" spans="1:30" ht="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6" t="s">
        <v>26</v>
      </c>
      <c r="AB1" s="17" t="s">
        <v>89</v>
      </c>
      <c r="AC1" s="17" t="s">
        <v>90</v>
      </c>
      <c r="AD1" t="s">
        <v>91</v>
      </c>
    </row>
    <row r="2" spans="1:30" x14ac:dyDescent="0.3">
      <c r="A2" s="2" t="s">
        <v>27</v>
      </c>
      <c r="B2" s="3">
        <v>2023</v>
      </c>
      <c r="C2" s="4">
        <v>0.70299999999999996</v>
      </c>
      <c r="D2" s="4">
        <v>173.749</v>
      </c>
      <c r="E2" s="4">
        <v>39.109000000000002</v>
      </c>
      <c r="F2" s="4">
        <v>23.645</v>
      </c>
      <c r="G2" s="4">
        <v>212.857</v>
      </c>
      <c r="H2" s="4">
        <v>10.222</v>
      </c>
      <c r="I2" s="4">
        <v>202.636</v>
      </c>
      <c r="J2" s="4">
        <v>9.15</v>
      </c>
      <c r="K2" s="5">
        <v>3.2528928266766205E-2</v>
      </c>
      <c r="L2" s="5">
        <v>5.0464307361874884E-2</v>
      </c>
      <c r="M2" s="5">
        <v>9.3200000000000005E-2</v>
      </c>
      <c r="N2" s="4">
        <v>23787.319166666701</v>
      </c>
      <c r="O2" s="3">
        <f>B2-P2+1</f>
        <v>45</v>
      </c>
      <c r="P2" s="6">
        <v>1979</v>
      </c>
      <c r="Q2" s="7">
        <v>139.74</v>
      </c>
      <c r="R2" s="7">
        <v>183.07</v>
      </c>
      <c r="S2" s="4">
        <f>N2*Q2/(1000*R2)</f>
        <v>18.15720751816248</v>
      </c>
      <c r="T2" s="8">
        <f>C2/I2</f>
        <v>3.4692749560788802E-3</v>
      </c>
      <c r="U2" s="8">
        <f>C2/G2</f>
        <v>3.3026867803266982E-3</v>
      </c>
      <c r="V2" s="9">
        <f>H2/I2</f>
        <v>5.044513314514696E-2</v>
      </c>
      <c r="W2">
        <f>D2/J2</f>
        <v>18.98896174863388</v>
      </c>
      <c r="X2">
        <f>LN(100*G2/R2)</f>
        <v>4.7559221713681952</v>
      </c>
      <c r="Y2" s="8">
        <f>F2/G2</f>
        <v>0.11108396717044776</v>
      </c>
      <c r="Z2" s="8">
        <f>(M2+1)/(K2+1)-1</f>
        <v>5.8759682244523548E-2</v>
      </c>
      <c r="AA2" s="10">
        <f>M2-K2</f>
        <v>6.06710717332338E-2</v>
      </c>
      <c r="AB2" s="12">
        <v>139.25899999999999</v>
      </c>
      <c r="AC2" s="12">
        <v>212.00800000000001</v>
      </c>
      <c r="AD2" s="8">
        <f>(AB2-AC2)/AC2</f>
        <v>-0.34314271159578891</v>
      </c>
    </row>
    <row r="3" spans="1:30" x14ac:dyDescent="0.3">
      <c r="A3" t="s">
        <v>28</v>
      </c>
      <c r="B3" s="11">
        <v>2023</v>
      </c>
      <c r="C3" s="12">
        <v>11.714</v>
      </c>
      <c r="D3" s="12">
        <v>468.81</v>
      </c>
      <c r="E3" s="12">
        <v>584.346</v>
      </c>
      <c r="F3" s="12">
        <v>171.61500000000001</v>
      </c>
      <c r="G3" s="12">
        <v>1053.1559999999999</v>
      </c>
      <c r="H3" s="12">
        <v>304.536</v>
      </c>
      <c r="I3" s="12">
        <v>748.62</v>
      </c>
      <c r="J3" s="12">
        <v>227.95</v>
      </c>
      <c r="K3" s="5">
        <v>3.2528928266766205E-2</v>
      </c>
      <c r="L3" s="5">
        <v>5.0464307361874884E-2</v>
      </c>
      <c r="M3" s="8">
        <v>9.3200000000000005E-2</v>
      </c>
      <c r="N3" s="12">
        <v>23787.319166666701</v>
      </c>
      <c r="O3" s="3">
        <f t="shared" ref="O3:O66" si="0">B3-P3+1</f>
        <v>29</v>
      </c>
      <c r="P3" s="13">
        <v>1995</v>
      </c>
      <c r="Q3" s="14">
        <v>139.74</v>
      </c>
      <c r="R3" s="14">
        <v>183.07</v>
      </c>
      <c r="S3" s="4">
        <f t="shared" ref="S3:S66" si="1">N3*Q3/(1000*R3)</f>
        <v>18.15720751816248</v>
      </c>
      <c r="T3" s="8">
        <f t="shared" ref="T3:T66" si="2">C3/I3</f>
        <v>1.5647457989367102E-2</v>
      </c>
      <c r="U3" s="8">
        <f t="shared" ref="U3:U66" si="3">C3/G3</f>
        <v>1.1122758641644734E-2</v>
      </c>
      <c r="V3" s="9">
        <f t="shared" ref="V3:V66" si="4">H3/I3</f>
        <v>0.40679650557024927</v>
      </c>
      <c r="W3">
        <f t="shared" ref="W3:W66" si="5">D3/J3</f>
        <v>2.0566352270234702</v>
      </c>
      <c r="X3">
        <f t="shared" ref="X3:X66" si="6">LN(100*G3/R3)</f>
        <v>6.3548482419344383</v>
      </c>
      <c r="Y3" s="8">
        <f t="shared" ref="Y3:Y66" si="7">F3/G3</f>
        <v>0.16295306678212915</v>
      </c>
      <c r="Z3" s="8">
        <f t="shared" ref="Z3:Z66" si="8">(M3+1)/(K3+1)-1</f>
        <v>5.8759682244523548E-2</v>
      </c>
      <c r="AA3" s="10">
        <f t="shared" ref="AA3:AA66" si="9">M3-K3</f>
        <v>6.06710717332338E-2</v>
      </c>
      <c r="AB3" s="12">
        <v>599.59699999999998</v>
      </c>
      <c r="AC3" s="12">
        <v>961.62599999999998</v>
      </c>
      <c r="AD3" s="8">
        <f t="shared" ref="AD3:AD66" si="10">(AB3-AC3)/AC3</f>
        <v>-0.37647588563537177</v>
      </c>
    </row>
    <row r="4" spans="1:30" x14ac:dyDescent="0.3">
      <c r="A4" t="s">
        <v>29</v>
      </c>
      <c r="B4" s="11">
        <v>2023</v>
      </c>
      <c r="C4" s="12">
        <v>8.2870000000000008</v>
      </c>
      <c r="D4" s="12">
        <v>1121.6569999999999</v>
      </c>
      <c r="E4" s="12">
        <v>457.548</v>
      </c>
      <c r="F4" s="12">
        <v>13.837</v>
      </c>
      <c r="G4" s="12">
        <v>1579.2049999999999</v>
      </c>
      <c r="H4" s="12">
        <v>665.24199999999996</v>
      </c>
      <c r="I4" s="12">
        <v>913.96299999999997</v>
      </c>
      <c r="J4" s="12">
        <v>664.3</v>
      </c>
      <c r="K4" s="5">
        <v>3.2528928266766205E-2</v>
      </c>
      <c r="L4" s="5">
        <v>5.0464307361874884E-2</v>
      </c>
      <c r="M4" s="8">
        <v>9.3200000000000005E-2</v>
      </c>
      <c r="N4" s="12">
        <v>23787.319166666701</v>
      </c>
      <c r="O4" s="3">
        <f t="shared" si="0"/>
        <v>49</v>
      </c>
      <c r="P4" s="13">
        <v>1975</v>
      </c>
      <c r="Q4" s="14">
        <v>139.74</v>
      </c>
      <c r="R4" s="14">
        <v>183.07</v>
      </c>
      <c r="S4" s="4">
        <f t="shared" si="1"/>
        <v>18.15720751816248</v>
      </c>
      <c r="T4" s="8">
        <f t="shared" si="2"/>
        <v>9.0671066553022397E-3</v>
      </c>
      <c r="U4" s="8">
        <f t="shared" si="3"/>
        <v>5.2475771036692518E-3</v>
      </c>
      <c r="V4" s="9">
        <f t="shared" si="4"/>
        <v>0.72786535122318952</v>
      </c>
      <c r="W4">
        <f t="shared" si="5"/>
        <v>1.6884796025891917</v>
      </c>
      <c r="X4">
        <f t="shared" si="6"/>
        <v>6.7599784274594539</v>
      </c>
      <c r="Y4" s="8">
        <f t="shared" si="7"/>
        <v>8.7620036664017662E-3</v>
      </c>
      <c r="Z4" s="8">
        <f t="shared" si="8"/>
        <v>5.8759682244523548E-2</v>
      </c>
      <c r="AA4" s="10">
        <f t="shared" si="9"/>
        <v>6.06710717332338E-2</v>
      </c>
      <c r="AB4" s="12">
        <v>1025.223</v>
      </c>
      <c r="AC4" s="12">
        <v>1605.396</v>
      </c>
      <c r="AD4" s="8">
        <f t="shared" si="10"/>
        <v>-0.3613893394526958</v>
      </c>
    </row>
    <row r="5" spans="1:30" x14ac:dyDescent="0.3">
      <c r="A5" t="s">
        <v>30</v>
      </c>
      <c r="B5" s="11">
        <v>2023</v>
      </c>
      <c r="C5" s="12">
        <v>63.872</v>
      </c>
      <c r="D5" s="12">
        <v>337.58800000000002</v>
      </c>
      <c r="E5" s="12">
        <v>313.79700000000003</v>
      </c>
      <c r="F5" s="12">
        <v>90.275999999999996</v>
      </c>
      <c r="G5" s="12">
        <v>651.38400000000001</v>
      </c>
      <c r="H5" s="12">
        <v>160.565</v>
      </c>
      <c r="I5" s="12">
        <v>490.81900000000002</v>
      </c>
      <c r="J5" s="12">
        <v>157.46</v>
      </c>
      <c r="K5" s="5">
        <v>3.2528928266766205E-2</v>
      </c>
      <c r="L5" s="5">
        <v>5.0464307361874884E-2</v>
      </c>
      <c r="M5" s="8">
        <v>9.3200000000000005E-2</v>
      </c>
      <c r="N5" s="12">
        <v>23787.319166666701</v>
      </c>
      <c r="O5" s="3">
        <f t="shared" si="0"/>
        <v>47</v>
      </c>
      <c r="P5" s="13">
        <v>1977</v>
      </c>
      <c r="Q5" s="14">
        <v>139.74</v>
      </c>
      <c r="R5" s="14">
        <v>183.07</v>
      </c>
      <c r="S5" s="4">
        <f t="shared" si="1"/>
        <v>18.15720751816248</v>
      </c>
      <c r="T5" s="8">
        <f t="shared" si="2"/>
        <v>0.13013351153887684</v>
      </c>
      <c r="U5" s="8">
        <f t="shared" si="3"/>
        <v>9.8055831890252132E-2</v>
      </c>
      <c r="V5" s="9">
        <f t="shared" si="4"/>
        <v>0.32713688752880388</v>
      </c>
      <c r="W5">
        <f t="shared" si="5"/>
        <v>2.1439603708878447</v>
      </c>
      <c r="X5">
        <f t="shared" si="6"/>
        <v>5.8744009226848277</v>
      </c>
      <c r="Y5" s="8">
        <f t="shared" si="7"/>
        <v>0.13859106149368114</v>
      </c>
      <c r="Z5" s="8">
        <f t="shared" si="8"/>
        <v>5.8759682244523548E-2</v>
      </c>
      <c r="AA5" s="10">
        <f t="shared" si="9"/>
        <v>6.06710717332338E-2</v>
      </c>
      <c r="AB5" s="12">
        <v>532.79300000000001</v>
      </c>
      <c r="AC5" s="12">
        <v>617.43200000000002</v>
      </c>
      <c r="AD5" s="8">
        <f t="shared" si="10"/>
        <v>-0.13708230218064502</v>
      </c>
    </row>
    <row r="6" spans="1:30" x14ac:dyDescent="0.3">
      <c r="A6" t="s">
        <v>31</v>
      </c>
      <c r="B6" s="11">
        <v>2023</v>
      </c>
      <c r="C6" s="12">
        <v>9.8529999999999998</v>
      </c>
      <c r="D6" s="12">
        <v>1482.105</v>
      </c>
      <c r="E6" s="12">
        <v>267.07499999999999</v>
      </c>
      <c r="F6" s="12">
        <v>250.49600000000001</v>
      </c>
      <c r="G6" s="12">
        <v>1749.18</v>
      </c>
      <c r="H6" s="12">
        <v>950.03800000000001</v>
      </c>
      <c r="I6" s="12">
        <v>799.14200000000005</v>
      </c>
      <c r="J6" s="12">
        <v>950.04</v>
      </c>
      <c r="K6" s="5">
        <v>3.2528928266766205E-2</v>
      </c>
      <c r="L6" s="5">
        <v>5.0464307361874884E-2</v>
      </c>
      <c r="M6" s="8">
        <v>9.3200000000000005E-2</v>
      </c>
      <c r="N6" s="12">
        <v>23787.319166666701</v>
      </c>
      <c r="O6" s="3">
        <f t="shared" si="0"/>
        <v>21</v>
      </c>
      <c r="P6" s="13">
        <v>2003</v>
      </c>
      <c r="Q6" s="14">
        <v>139.74</v>
      </c>
      <c r="R6" s="14">
        <v>183.07</v>
      </c>
      <c r="S6" s="4">
        <f t="shared" si="1"/>
        <v>18.15720751816248</v>
      </c>
      <c r="T6" s="8">
        <f t="shared" si="2"/>
        <v>1.232947336017879E-2</v>
      </c>
      <c r="U6" s="8">
        <f>C6/G6</f>
        <v>5.6329251420665681E-3</v>
      </c>
      <c r="V6" s="9">
        <f t="shared" si="4"/>
        <v>1.1888225121442746</v>
      </c>
      <c r="W6">
        <f t="shared" si="5"/>
        <v>1.560044840217254</v>
      </c>
      <c r="X6">
        <f t="shared" si="6"/>
        <v>6.8622039783002595</v>
      </c>
      <c r="Y6" s="8">
        <f t="shared" si="7"/>
        <v>0.14320767445317234</v>
      </c>
      <c r="Z6" s="8">
        <f t="shared" si="8"/>
        <v>5.8759682244523548E-2</v>
      </c>
      <c r="AA6" s="10">
        <f t="shared" si="9"/>
        <v>6.06710717332338E-2</v>
      </c>
      <c r="AB6" s="12">
        <v>1117.7739999999999</v>
      </c>
      <c r="AC6" s="12">
        <v>1174.0219999999999</v>
      </c>
      <c r="AD6" s="8">
        <f t="shared" si="10"/>
        <v>-4.7910516157278184E-2</v>
      </c>
    </row>
    <row r="7" spans="1:30" x14ac:dyDescent="0.3">
      <c r="A7" t="s">
        <v>32</v>
      </c>
      <c r="B7" s="11">
        <v>2023</v>
      </c>
      <c r="C7" s="12">
        <v>74.989999999999995</v>
      </c>
      <c r="D7" s="12">
        <v>1945.3869999999999</v>
      </c>
      <c r="E7" s="12">
        <v>558.40499999999997</v>
      </c>
      <c r="F7" s="12">
        <v>156.62299999999999</v>
      </c>
      <c r="G7" s="12">
        <v>2503.7919999999999</v>
      </c>
      <c r="H7" s="12">
        <v>1585.5409999999999</v>
      </c>
      <c r="I7" s="12">
        <v>918.25099999999998</v>
      </c>
      <c r="J7" s="12">
        <v>1472.93</v>
      </c>
      <c r="K7" s="5">
        <v>3.2528928266766205E-2</v>
      </c>
      <c r="L7" s="5">
        <v>5.0464307361874884E-2</v>
      </c>
      <c r="M7" s="8">
        <v>9.3200000000000005E-2</v>
      </c>
      <c r="N7" s="12">
        <v>23787.319166666701</v>
      </c>
      <c r="O7" s="3">
        <f t="shared" si="0"/>
        <v>18</v>
      </c>
      <c r="P7" s="13">
        <v>2006</v>
      </c>
      <c r="Q7" s="14">
        <v>139.74</v>
      </c>
      <c r="R7" s="14">
        <v>183.07</v>
      </c>
      <c r="S7" s="4">
        <f t="shared" si="1"/>
        <v>18.15720751816248</v>
      </c>
      <c r="T7" s="8">
        <f t="shared" si="2"/>
        <v>8.1666123968283183E-2</v>
      </c>
      <c r="U7" s="8">
        <f t="shared" si="3"/>
        <v>2.9950570973946718E-2</v>
      </c>
      <c r="V7" s="9">
        <f t="shared" si="4"/>
        <v>1.7266967310680847</v>
      </c>
      <c r="W7">
        <f t="shared" si="5"/>
        <v>1.3207599818049736</v>
      </c>
      <c r="X7">
        <f t="shared" si="6"/>
        <v>7.2208632543022437</v>
      </c>
      <c r="Y7" s="8">
        <f t="shared" si="7"/>
        <v>6.2554317611047558E-2</v>
      </c>
      <c r="Z7" s="8">
        <f t="shared" si="8"/>
        <v>5.8759682244523548E-2</v>
      </c>
      <c r="AA7" s="10">
        <f t="shared" si="9"/>
        <v>6.06710717332338E-2</v>
      </c>
      <c r="AB7" s="12">
        <v>1641.8489999999999</v>
      </c>
      <c r="AC7" s="12">
        <v>1692.604</v>
      </c>
      <c r="AD7" s="8">
        <f t="shared" si="10"/>
        <v>-2.9986340573459655E-2</v>
      </c>
    </row>
    <row r="8" spans="1:30" x14ac:dyDescent="0.3">
      <c r="A8" t="s">
        <v>33</v>
      </c>
      <c r="B8" s="11">
        <v>2023</v>
      </c>
      <c r="C8" s="12">
        <v>-220.86600000000001</v>
      </c>
      <c r="D8" s="12">
        <v>344.928</v>
      </c>
      <c r="E8" s="12">
        <v>892.15099999999995</v>
      </c>
      <c r="F8" s="12">
        <v>445.98200000000003</v>
      </c>
      <c r="G8" s="12">
        <v>1237.08</v>
      </c>
      <c r="H8" s="12">
        <v>1215.2529999999999</v>
      </c>
      <c r="I8" s="12">
        <v>21.827000000000002</v>
      </c>
      <c r="J8" s="12">
        <v>1182.33</v>
      </c>
      <c r="K8" s="5">
        <v>3.2528928266766205E-2</v>
      </c>
      <c r="L8" s="5">
        <v>5.0464307361874884E-2</v>
      </c>
      <c r="M8" s="8">
        <v>9.3200000000000005E-2</v>
      </c>
      <c r="N8" s="12">
        <v>23787.319166666701</v>
      </c>
      <c r="O8" s="3">
        <f t="shared" si="0"/>
        <v>48</v>
      </c>
      <c r="P8" s="13">
        <v>1976</v>
      </c>
      <c r="Q8" s="14">
        <v>139.74</v>
      </c>
      <c r="R8" s="14">
        <v>183.07</v>
      </c>
      <c r="S8" s="4">
        <f t="shared" si="1"/>
        <v>18.15720751816248</v>
      </c>
      <c r="T8" s="8">
        <f t="shared" si="2"/>
        <v>-10.11893526366427</v>
      </c>
      <c r="U8" s="8">
        <f t="shared" si="3"/>
        <v>-0.17853817053060433</v>
      </c>
      <c r="V8" s="9">
        <f t="shared" si="4"/>
        <v>55.676593210244185</v>
      </c>
      <c r="W8">
        <f t="shared" si="5"/>
        <v>0.29173580979929464</v>
      </c>
      <c r="X8">
        <f t="shared" si="6"/>
        <v>6.5158106355214613</v>
      </c>
      <c r="Y8" s="8">
        <f t="shared" si="7"/>
        <v>0.36051185048662987</v>
      </c>
      <c r="Z8" s="8">
        <f t="shared" si="8"/>
        <v>5.8759682244523548E-2</v>
      </c>
      <c r="AA8" s="10">
        <f t="shared" si="9"/>
        <v>6.06710717332338E-2</v>
      </c>
      <c r="AB8" s="12">
        <v>788.77200000000005</v>
      </c>
      <c r="AC8" s="12">
        <v>3432.5770000000002</v>
      </c>
      <c r="AD8" s="8">
        <f t="shared" si="10"/>
        <v>-0.77020996178672763</v>
      </c>
    </row>
    <row r="9" spans="1:30" x14ac:dyDescent="0.3">
      <c r="A9" t="s">
        <v>34</v>
      </c>
      <c r="B9" s="11">
        <v>2023</v>
      </c>
      <c r="C9" s="12">
        <v>39.192</v>
      </c>
      <c r="D9" s="12">
        <v>2950.6039999999998</v>
      </c>
      <c r="E9" s="12">
        <v>2162.0659999999998</v>
      </c>
      <c r="F9" s="12">
        <v>1031.788</v>
      </c>
      <c r="G9" s="12">
        <v>5112.67</v>
      </c>
      <c r="H9" s="12">
        <v>2264.8029999999999</v>
      </c>
      <c r="I9" s="12">
        <v>2847.8670000000002</v>
      </c>
      <c r="J9" s="12">
        <v>2103.11</v>
      </c>
      <c r="K9" s="5">
        <v>3.2528928266766205E-2</v>
      </c>
      <c r="L9" s="5">
        <v>5.0464307361874884E-2</v>
      </c>
      <c r="M9" s="8">
        <v>9.3200000000000005E-2</v>
      </c>
      <c r="N9" s="12">
        <v>23787.319166666701</v>
      </c>
      <c r="O9" s="3">
        <f t="shared" si="0"/>
        <v>31</v>
      </c>
      <c r="P9" s="13">
        <v>1993</v>
      </c>
      <c r="Q9" s="14">
        <v>139.74</v>
      </c>
      <c r="R9" s="14">
        <v>183.07</v>
      </c>
      <c r="S9" s="4">
        <f t="shared" si="1"/>
        <v>18.15720751816248</v>
      </c>
      <c r="T9" s="8">
        <f t="shared" si="2"/>
        <v>1.376187862705667E-2</v>
      </c>
      <c r="U9" s="8">
        <f t="shared" si="3"/>
        <v>7.6656619730982051E-3</v>
      </c>
      <c r="V9" s="9">
        <f t="shared" si="4"/>
        <v>0.79526291080306766</v>
      </c>
      <c r="W9">
        <f t="shared" si="5"/>
        <v>1.4029717893976061</v>
      </c>
      <c r="X9">
        <f t="shared" si="6"/>
        <v>7.9347786442571362</v>
      </c>
      <c r="Y9" s="8">
        <f t="shared" si="7"/>
        <v>0.20181001316337646</v>
      </c>
      <c r="Z9" s="8">
        <f t="shared" si="8"/>
        <v>5.8759682244523548E-2</v>
      </c>
      <c r="AA9" s="10">
        <f t="shared" si="9"/>
        <v>6.06710717332338E-2</v>
      </c>
      <c r="AB9" s="12">
        <v>4461.7870000000003</v>
      </c>
      <c r="AC9" s="12">
        <v>4934.5060000000003</v>
      </c>
      <c r="AD9" s="8">
        <f t="shared" si="10"/>
        <v>-9.5798647321535327E-2</v>
      </c>
    </row>
    <row r="10" spans="1:30" x14ac:dyDescent="0.3">
      <c r="A10" t="s">
        <v>35</v>
      </c>
      <c r="B10" s="11">
        <v>2023</v>
      </c>
      <c r="C10" s="12">
        <v>251.69900000000001</v>
      </c>
      <c r="D10" s="12">
        <v>11090.13</v>
      </c>
      <c r="E10" s="12">
        <v>9217.3230000000003</v>
      </c>
      <c r="F10" s="12">
        <v>6560.6469999999999</v>
      </c>
      <c r="G10" s="12">
        <v>20307.453000000001</v>
      </c>
      <c r="H10" s="12">
        <v>12481.171</v>
      </c>
      <c r="I10" s="12">
        <v>7826.2820000000002</v>
      </c>
      <c r="J10" s="12">
        <v>8203.9699999999993</v>
      </c>
      <c r="K10" s="5">
        <v>3.2528928266766205E-2</v>
      </c>
      <c r="L10" s="5">
        <v>5.0464307361874884E-2</v>
      </c>
      <c r="M10" s="8">
        <v>9.3200000000000005E-2</v>
      </c>
      <c r="N10" s="12">
        <v>23787.319166666701</v>
      </c>
      <c r="O10" s="3">
        <f t="shared" si="0"/>
        <v>27</v>
      </c>
      <c r="P10" s="13">
        <v>1997</v>
      </c>
      <c r="Q10" s="14">
        <v>139.74</v>
      </c>
      <c r="R10" s="14">
        <v>183.07</v>
      </c>
      <c r="S10" s="4">
        <f t="shared" si="1"/>
        <v>18.15720751816248</v>
      </c>
      <c r="T10" s="8">
        <f t="shared" si="2"/>
        <v>3.2160737371845279E-2</v>
      </c>
      <c r="U10" s="8">
        <f t="shared" si="3"/>
        <v>1.2394414996307021E-2</v>
      </c>
      <c r="V10" s="9">
        <f t="shared" si="4"/>
        <v>1.5947765490688937</v>
      </c>
      <c r="W10">
        <f t="shared" si="5"/>
        <v>1.3518004088264584</v>
      </c>
      <c r="X10">
        <f t="shared" si="6"/>
        <v>9.3140448331317423</v>
      </c>
      <c r="Y10" s="8">
        <f t="shared" si="7"/>
        <v>0.32306596991754699</v>
      </c>
      <c r="Z10" s="8">
        <f t="shared" si="8"/>
        <v>5.8759682244523548E-2</v>
      </c>
      <c r="AA10" s="10">
        <f t="shared" si="9"/>
        <v>6.06710717332338E-2</v>
      </c>
      <c r="AB10" s="12">
        <v>11991.539000000001</v>
      </c>
      <c r="AC10" s="12">
        <v>13807.691000000001</v>
      </c>
      <c r="AD10" s="8">
        <f t="shared" si="10"/>
        <v>-0.13153191217850979</v>
      </c>
    </row>
    <row r="11" spans="1:30" x14ac:dyDescent="0.3">
      <c r="A11" t="s">
        <v>36</v>
      </c>
      <c r="B11" s="11">
        <v>2023</v>
      </c>
      <c r="C11" s="12">
        <v>30.324999999999999</v>
      </c>
      <c r="D11" s="12">
        <v>3148.0120000000002</v>
      </c>
      <c r="E11" s="12">
        <v>3385.6489999999999</v>
      </c>
      <c r="F11" s="12">
        <v>1617.376</v>
      </c>
      <c r="G11" s="12">
        <v>6533.6610000000001</v>
      </c>
      <c r="H11" s="12">
        <v>4625.3389999999999</v>
      </c>
      <c r="I11" s="12">
        <v>1908.3219999999999</v>
      </c>
      <c r="J11" s="12">
        <v>3011.07</v>
      </c>
      <c r="K11" s="5">
        <v>3.2528928266766205E-2</v>
      </c>
      <c r="L11" s="5">
        <v>5.0464307361874884E-2</v>
      </c>
      <c r="M11" s="8">
        <v>9.3200000000000005E-2</v>
      </c>
      <c r="N11" s="12">
        <v>23787.319166666701</v>
      </c>
      <c r="O11" s="3">
        <f t="shared" si="0"/>
        <v>7</v>
      </c>
      <c r="P11" s="13">
        <v>2017</v>
      </c>
      <c r="Q11" s="14">
        <v>139.74</v>
      </c>
      <c r="R11" s="14">
        <v>183.07</v>
      </c>
      <c r="S11" s="4">
        <f t="shared" si="1"/>
        <v>18.15720751816248</v>
      </c>
      <c r="T11" s="8">
        <f t="shared" si="2"/>
        <v>1.5890924068370015E-2</v>
      </c>
      <c r="U11" s="8">
        <f t="shared" si="3"/>
        <v>4.6413488547997822E-3</v>
      </c>
      <c r="V11" s="9">
        <f t="shared" si="4"/>
        <v>2.4237728224062818</v>
      </c>
      <c r="W11">
        <f t="shared" si="5"/>
        <v>1.0454795139269428</v>
      </c>
      <c r="X11">
        <f t="shared" si="6"/>
        <v>8.1800243009792695</v>
      </c>
      <c r="Y11" s="8">
        <f t="shared" si="7"/>
        <v>0.24754513587405283</v>
      </c>
      <c r="Z11" s="8">
        <f t="shared" si="8"/>
        <v>5.8759682244523548E-2</v>
      </c>
      <c r="AA11" s="10">
        <f t="shared" si="9"/>
        <v>6.06710717332338E-2</v>
      </c>
      <c r="AB11" s="12">
        <v>5204.2309999999998</v>
      </c>
      <c r="AC11" s="12">
        <v>7085.3680000000004</v>
      </c>
      <c r="AD11" s="8">
        <f t="shared" si="10"/>
        <v>-0.2654960194022386</v>
      </c>
    </row>
    <row r="12" spans="1:30" x14ac:dyDescent="0.3">
      <c r="A12" t="s">
        <v>37</v>
      </c>
      <c r="B12" s="11">
        <v>2023</v>
      </c>
      <c r="C12" s="12">
        <v>96.162000000000006</v>
      </c>
      <c r="D12" s="12">
        <v>1242.22</v>
      </c>
      <c r="E12" s="12">
        <v>1085.57</v>
      </c>
      <c r="F12" s="12">
        <v>596.68299999999999</v>
      </c>
      <c r="G12" s="12">
        <v>2327.7910000000002</v>
      </c>
      <c r="H12" s="12">
        <v>915.45799999999997</v>
      </c>
      <c r="I12" s="12">
        <v>1412.3320000000001</v>
      </c>
      <c r="J12" s="12">
        <v>900.37</v>
      </c>
      <c r="K12" s="5">
        <v>3.2528928266766205E-2</v>
      </c>
      <c r="L12" s="5">
        <v>5.0464307361874884E-2</v>
      </c>
      <c r="M12" s="8">
        <v>9.3200000000000005E-2</v>
      </c>
      <c r="N12" s="12">
        <v>23787.319166666701</v>
      </c>
      <c r="O12" s="3">
        <f t="shared" si="0"/>
        <v>25</v>
      </c>
      <c r="P12" s="13">
        <v>1999</v>
      </c>
      <c r="Q12" s="14">
        <v>139.74</v>
      </c>
      <c r="R12" s="14">
        <v>183.07</v>
      </c>
      <c r="S12" s="4">
        <f t="shared" si="1"/>
        <v>18.15720751816248</v>
      </c>
      <c r="T12" s="8">
        <f t="shared" si="2"/>
        <v>6.8087390217031127E-2</v>
      </c>
      <c r="U12" s="8">
        <f t="shared" si="3"/>
        <v>4.1310409740393357E-2</v>
      </c>
      <c r="V12" s="9">
        <f t="shared" si="4"/>
        <v>0.64818895273915755</v>
      </c>
      <c r="W12">
        <f t="shared" si="5"/>
        <v>1.3796772437997713</v>
      </c>
      <c r="X12">
        <f t="shared" si="6"/>
        <v>7.1479766208140312</v>
      </c>
      <c r="Y12" s="8">
        <f t="shared" si="7"/>
        <v>0.25633014304119223</v>
      </c>
      <c r="Z12" s="8">
        <f t="shared" si="8"/>
        <v>5.8759682244523548E-2</v>
      </c>
      <c r="AA12" s="10">
        <f t="shared" si="9"/>
        <v>6.06710717332338E-2</v>
      </c>
      <c r="AB12" s="12">
        <v>1510.7149999999999</v>
      </c>
      <c r="AC12" s="12">
        <v>1618.7760000000001</v>
      </c>
      <c r="AD12" s="8">
        <f t="shared" si="10"/>
        <v>-6.6754757915857499E-2</v>
      </c>
    </row>
    <row r="13" spans="1:30" x14ac:dyDescent="0.3">
      <c r="A13" t="s">
        <v>38</v>
      </c>
      <c r="B13" s="11">
        <v>2023</v>
      </c>
      <c r="C13" s="12">
        <v>354.685</v>
      </c>
      <c r="D13" s="12">
        <v>5135.8710000000001</v>
      </c>
      <c r="E13" s="12">
        <v>2014.11</v>
      </c>
      <c r="F13" s="12">
        <v>1527.171</v>
      </c>
      <c r="G13" s="12">
        <v>7149.9809999999998</v>
      </c>
      <c r="H13" s="12">
        <v>1842.472</v>
      </c>
      <c r="I13" s="12">
        <v>5307.509</v>
      </c>
      <c r="J13" s="12">
        <v>1726.34</v>
      </c>
      <c r="K13" s="5">
        <v>3.2528928266766205E-2</v>
      </c>
      <c r="L13" s="5">
        <v>5.0464307361874884E-2</v>
      </c>
      <c r="M13" s="8">
        <v>9.3200000000000005E-2</v>
      </c>
      <c r="N13" s="12">
        <v>23787.319166666701</v>
      </c>
      <c r="O13" s="3">
        <f t="shared" si="0"/>
        <v>134</v>
      </c>
      <c r="P13" s="13">
        <v>1890</v>
      </c>
      <c r="Q13" s="14">
        <v>139.74</v>
      </c>
      <c r="R13" s="14">
        <v>183.07</v>
      </c>
      <c r="S13" s="4">
        <f t="shared" si="1"/>
        <v>18.15720751816248</v>
      </c>
      <c r="T13" s="8">
        <f t="shared" si="2"/>
        <v>6.6827018098320701E-2</v>
      </c>
      <c r="U13" s="8">
        <f t="shared" si="3"/>
        <v>4.9606425527564342E-2</v>
      </c>
      <c r="V13" s="9">
        <f t="shared" si="4"/>
        <v>0.34714439485641946</v>
      </c>
      <c r="W13">
        <f t="shared" si="5"/>
        <v>2.9750055029716047</v>
      </c>
      <c r="X13">
        <f t="shared" si="6"/>
        <v>8.2701665709670333</v>
      </c>
      <c r="Y13" s="8">
        <f t="shared" si="7"/>
        <v>0.21359091723460524</v>
      </c>
      <c r="Z13" s="8">
        <f t="shared" si="8"/>
        <v>5.8759682244523548E-2</v>
      </c>
      <c r="AA13" s="10">
        <f t="shared" si="9"/>
        <v>6.06710717332338E-2</v>
      </c>
      <c r="AB13" s="12">
        <v>7900.9639999999999</v>
      </c>
      <c r="AC13" s="12">
        <v>8525.4359999999997</v>
      </c>
      <c r="AD13" s="8">
        <f t="shared" si="10"/>
        <v>-7.3248101328776585E-2</v>
      </c>
    </row>
    <row r="14" spans="1:30" x14ac:dyDescent="0.3">
      <c r="A14" t="s">
        <v>39</v>
      </c>
      <c r="B14" s="11">
        <v>2023</v>
      </c>
      <c r="C14" s="12">
        <v>10.77</v>
      </c>
      <c r="D14" s="12">
        <v>667.91499999999996</v>
      </c>
      <c r="E14" s="12">
        <v>247.50299999999999</v>
      </c>
      <c r="F14" s="12">
        <v>56.49</v>
      </c>
      <c r="G14" s="12">
        <v>915.41800000000001</v>
      </c>
      <c r="H14" s="12">
        <v>33.536999999999999</v>
      </c>
      <c r="I14" s="12">
        <v>881.88099999999997</v>
      </c>
      <c r="J14" s="12">
        <v>31.85</v>
      </c>
      <c r="K14" s="5">
        <v>3.2528928266766205E-2</v>
      </c>
      <c r="L14" s="5">
        <v>5.0464307361874884E-2</v>
      </c>
      <c r="M14" s="8">
        <v>9.3200000000000005E-2</v>
      </c>
      <c r="N14" s="12">
        <v>23787.319166666701</v>
      </c>
      <c r="O14" s="3">
        <f t="shared" si="0"/>
        <v>9</v>
      </c>
      <c r="P14" s="13">
        <v>2015</v>
      </c>
      <c r="Q14" s="14">
        <v>139.74</v>
      </c>
      <c r="R14" s="14">
        <v>183.07</v>
      </c>
      <c r="S14" s="4">
        <f t="shared" si="1"/>
        <v>18.15720751816248</v>
      </c>
      <c r="T14" s="8">
        <f t="shared" si="2"/>
        <v>1.2212532076323222E-2</v>
      </c>
      <c r="U14" s="8">
        <f t="shared" si="3"/>
        <v>1.1765117137744724E-2</v>
      </c>
      <c r="V14" s="9">
        <f t="shared" si="4"/>
        <v>3.8028940412595351E-2</v>
      </c>
      <c r="W14">
        <f t="shared" si="5"/>
        <v>20.970643642072211</v>
      </c>
      <c r="X14">
        <f t="shared" si="6"/>
        <v>6.2146823841864514</v>
      </c>
      <c r="Y14" s="8">
        <f t="shared" si="7"/>
        <v>6.1709514123602552E-2</v>
      </c>
      <c r="Z14" s="8">
        <f t="shared" si="8"/>
        <v>5.8759682244523548E-2</v>
      </c>
      <c r="AA14" s="10">
        <f t="shared" si="9"/>
        <v>6.06710717332338E-2</v>
      </c>
      <c r="AB14" s="12">
        <v>186.17400000000001</v>
      </c>
      <c r="AC14" s="12">
        <v>386.24400000000003</v>
      </c>
      <c r="AD14" s="8">
        <f t="shared" si="10"/>
        <v>-0.51798862894957598</v>
      </c>
    </row>
    <row r="15" spans="1:30" x14ac:dyDescent="0.3">
      <c r="A15" t="s">
        <v>40</v>
      </c>
      <c r="B15" s="11">
        <v>2023</v>
      </c>
      <c r="C15" s="12">
        <v>140.36500000000001</v>
      </c>
      <c r="D15" s="12">
        <v>1452.789</v>
      </c>
      <c r="E15" s="12">
        <v>114.004</v>
      </c>
      <c r="F15" s="12">
        <v>24.861999999999998</v>
      </c>
      <c r="G15" s="12">
        <v>1566.7929999999999</v>
      </c>
      <c r="H15" s="12">
        <v>691.19600000000003</v>
      </c>
      <c r="I15" s="12">
        <v>875.59699999999998</v>
      </c>
      <c r="J15" s="12">
        <v>690.69</v>
      </c>
      <c r="K15" s="5">
        <v>3.2528928266766205E-2</v>
      </c>
      <c r="L15" s="5">
        <v>5.0464307361874884E-2</v>
      </c>
      <c r="M15" s="8">
        <v>9.3200000000000005E-2</v>
      </c>
      <c r="N15" s="12">
        <v>23787.319166666701</v>
      </c>
      <c r="O15" s="3">
        <f t="shared" si="0"/>
        <v>32</v>
      </c>
      <c r="P15" s="13">
        <v>1992</v>
      </c>
      <c r="Q15" s="14">
        <v>139.74</v>
      </c>
      <c r="R15" s="14">
        <v>183.07</v>
      </c>
      <c r="S15" s="4">
        <f t="shared" si="1"/>
        <v>18.15720751816248</v>
      </c>
      <c r="T15" s="8">
        <f t="shared" si="2"/>
        <v>0.1603077671577221</v>
      </c>
      <c r="U15" s="8">
        <f t="shared" si="3"/>
        <v>8.9587456671047172E-2</v>
      </c>
      <c r="V15" s="9">
        <f t="shared" si="4"/>
        <v>0.7893996895832216</v>
      </c>
      <c r="W15">
        <f t="shared" si="5"/>
        <v>2.1033879164313944</v>
      </c>
      <c r="X15">
        <f t="shared" si="6"/>
        <v>6.7520877267019879</v>
      </c>
      <c r="Y15" s="8">
        <f t="shared" si="7"/>
        <v>1.5868082126994441E-2</v>
      </c>
      <c r="Z15" s="8">
        <f t="shared" si="8"/>
        <v>5.8759682244523548E-2</v>
      </c>
      <c r="AA15" s="10">
        <f t="shared" si="9"/>
        <v>6.06710717332338E-2</v>
      </c>
      <c r="AB15" s="12">
        <v>2970.9119999999998</v>
      </c>
      <c r="AC15" s="12">
        <v>2304.8690000000001</v>
      </c>
      <c r="AD15" s="8">
        <f t="shared" si="10"/>
        <v>0.28897217152037691</v>
      </c>
    </row>
    <row r="16" spans="1:30" x14ac:dyDescent="0.3">
      <c r="A16" t="s">
        <v>41</v>
      </c>
      <c r="B16" s="11">
        <v>2023</v>
      </c>
      <c r="C16" s="12">
        <v>66.951999999999998</v>
      </c>
      <c r="D16" s="12">
        <v>2104.402</v>
      </c>
      <c r="E16" s="12">
        <v>1321.36</v>
      </c>
      <c r="F16" s="12">
        <v>485.94499999999999</v>
      </c>
      <c r="G16" s="12">
        <v>3425.7620000000002</v>
      </c>
      <c r="H16" s="12">
        <v>1931.5889999999999</v>
      </c>
      <c r="I16" s="12">
        <v>1494.173</v>
      </c>
      <c r="J16" s="12">
        <v>1575.22</v>
      </c>
      <c r="K16" s="5">
        <v>3.2528928266766205E-2</v>
      </c>
      <c r="L16" s="5">
        <v>5.0464307361874884E-2</v>
      </c>
      <c r="M16" s="8">
        <v>9.3200000000000005E-2</v>
      </c>
      <c r="N16" s="12">
        <v>23787.319166666701</v>
      </c>
      <c r="O16" s="3">
        <f t="shared" si="0"/>
        <v>47</v>
      </c>
      <c r="P16" s="13">
        <v>1977</v>
      </c>
      <c r="Q16" s="14">
        <v>139.74</v>
      </c>
      <c r="R16" s="14">
        <v>183.07</v>
      </c>
      <c r="S16" s="4">
        <f t="shared" si="1"/>
        <v>18.15720751816248</v>
      </c>
      <c r="T16" s="8">
        <f t="shared" si="2"/>
        <v>4.4808733660693906E-2</v>
      </c>
      <c r="U16" s="8">
        <f t="shared" si="3"/>
        <v>1.9543681084675465E-2</v>
      </c>
      <c r="V16" s="9">
        <f t="shared" si="4"/>
        <v>1.2927478946547688</v>
      </c>
      <c r="W16">
        <f t="shared" si="5"/>
        <v>1.3359416462462386</v>
      </c>
      <c r="X16">
        <f t="shared" si="6"/>
        <v>7.5343808003279236</v>
      </c>
      <c r="Y16" s="8">
        <f t="shared" si="7"/>
        <v>0.14185019274543881</v>
      </c>
      <c r="Z16" s="8">
        <f t="shared" si="8"/>
        <v>5.8759682244523548E-2</v>
      </c>
      <c r="AA16" s="10">
        <f t="shared" si="9"/>
        <v>6.06710717332338E-2</v>
      </c>
      <c r="AB16" s="12">
        <v>2047.752</v>
      </c>
      <c r="AC16" s="12">
        <v>2923.6410000000001</v>
      </c>
      <c r="AD16" s="8">
        <f t="shared" si="10"/>
        <v>-0.2995884241601483</v>
      </c>
    </row>
    <row r="17" spans="1:30" x14ac:dyDescent="0.3">
      <c r="A17" t="s">
        <v>42</v>
      </c>
      <c r="B17" s="11">
        <v>2023</v>
      </c>
      <c r="C17" s="12">
        <v>60.375</v>
      </c>
      <c r="D17" s="12">
        <v>2862.5540000000001</v>
      </c>
      <c r="E17" s="12">
        <v>1021.747</v>
      </c>
      <c r="F17" s="12">
        <v>946.697</v>
      </c>
      <c r="G17" s="12">
        <v>3884.3009999999999</v>
      </c>
      <c r="H17" s="12">
        <v>2560.1</v>
      </c>
      <c r="I17" s="12">
        <v>1324.2</v>
      </c>
      <c r="J17" s="12">
        <v>2458.35</v>
      </c>
      <c r="K17" s="5">
        <v>3.2528928266766205E-2</v>
      </c>
      <c r="L17" s="5">
        <v>5.0464307361874884E-2</v>
      </c>
      <c r="M17" s="8">
        <v>9.3200000000000005E-2</v>
      </c>
      <c r="N17" s="12">
        <v>23787.319166666701</v>
      </c>
      <c r="O17" s="3">
        <f t="shared" si="0"/>
        <v>48</v>
      </c>
      <c r="P17" s="13">
        <v>1976</v>
      </c>
      <c r="Q17" s="14">
        <v>139.74</v>
      </c>
      <c r="R17" s="14">
        <v>183.07</v>
      </c>
      <c r="S17" s="4">
        <f t="shared" si="1"/>
        <v>18.15720751816248</v>
      </c>
      <c r="T17" s="8">
        <f t="shared" si="2"/>
        <v>4.559356592659719E-2</v>
      </c>
      <c r="U17" s="8">
        <f t="shared" si="3"/>
        <v>1.5543337140968221E-2</v>
      </c>
      <c r="V17" s="9">
        <f t="shared" si="4"/>
        <v>1.9333182298746412</v>
      </c>
      <c r="W17">
        <f t="shared" si="5"/>
        <v>1.1644208513840586</v>
      </c>
      <c r="X17">
        <f t="shared" si="6"/>
        <v>7.6599999164589478</v>
      </c>
      <c r="Y17" s="8">
        <f t="shared" si="7"/>
        <v>0.24372390296220608</v>
      </c>
      <c r="Z17" s="8">
        <f t="shared" si="8"/>
        <v>5.8759682244523548E-2</v>
      </c>
      <c r="AA17" s="10">
        <f t="shared" si="9"/>
        <v>6.06710717332338E-2</v>
      </c>
      <c r="AB17" s="12">
        <v>5497.5609999999997</v>
      </c>
      <c r="AC17" s="12">
        <v>5559.7820000000002</v>
      </c>
      <c r="AD17" s="8">
        <f t="shared" si="10"/>
        <v>-1.1191266132377215E-2</v>
      </c>
    </row>
    <row r="18" spans="1:30" x14ac:dyDescent="0.3">
      <c r="A18" t="s">
        <v>43</v>
      </c>
      <c r="B18" s="11">
        <v>2023</v>
      </c>
      <c r="C18" s="12">
        <v>44.046999999999997</v>
      </c>
      <c r="D18" s="12">
        <v>2591.9929999999999</v>
      </c>
      <c r="E18" s="12">
        <v>1065.463</v>
      </c>
      <c r="F18" s="12">
        <v>189.833</v>
      </c>
      <c r="G18" s="12">
        <v>3657.4569999999999</v>
      </c>
      <c r="H18" s="12">
        <v>2582.799</v>
      </c>
      <c r="I18" s="12">
        <v>1074.6579999999999</v>
      </c>
      <c r="J18" s="12">
        <v>2220.3000000000002</v>
      </c>
      <c r="K18" s="5">
        <v>3.2528928266766205E-2</v>
      </c>
      <c r="L18" s="5">
        <v>5.0464307361874884E-2</v>
      </c>
      <c r="M18" s="8">
        <v>9.3200000000000005E-2</v>
      </c>
      <c r="N18" s="12">
        <v>23787.319166666701</v>
      </c>
      <c r="O18" s="3">
        <f t="shared" si="0"/>
        <v>15</v>
      </c>
      <c r="P18" s="13">
        <v>2009</v>
      </c>
      <c r="Q18" s="14">
        <v>139.74</v>
      </c>
      <c r="R18" s="14">
        <v>183.07</v>
      </c>
      <c r="S18" s="4">
        <f t="shared" si="1"/>
        <v>18.15720751816248</v>
      </c>
      <c r="T18" s="8">
        <f t="shared" si="2"/>
        <v>4.0986993071284075E-2</v>
      </c>
      <c r="U18" s="8">
        <f t="shared" si="3"/>
        <v>1.2043067081854961E-2</v>
      </c>
      <c r="V18" s="9">
        <f t="shared" si="4"/>
        <v>2.4033683274120698</v>
      </c>
      <c r="W18">
        <f t="shared" si="5"/>
        <v>1.1674066567580956</v>
      </c>
      <c r="X18">
        <f t="shared" si="6"/>
        <v>7.5998249687859492</v>
      </c>
      <c r="Y18" s="8">
        <f t="shared" si="7"/>
        <v>5.1903002550679339E-2</v>
      </c>
      <c r="Z18" s="8">
        <f t="shared" si="8"/>
        <v>5.8759682244523548E-2</v>
      </c>
      <c r="AA18" s="10">
        <f t="shared" si="9"/>
        <v>6.06710717332338E-2</v>
      </c>
      <c r="AB18" s="12">
        <v>7385.8779999999997</v>
      </c>
      <c r="AC18" s="12">
        <v>6367.5839999999998</v>
      </c>
      <c r="AD18" s="8">
        <f t="shared" si="10"/>
        <v>0.15991842431917661</v>
      </c>
    </row>
    <row r="19" spans="1:30" x14ac:dyDescent="0.3">
      <c r="A19" t="s">
        <v>44</v>
      </c>
      <c r="B19" s="11">
        <v>2023</v>
      </c>
      <c r="C19" s="12">
        <v>75.313999999999993</v>
      </c>
      <c r="D19" s="12">
        <v>1131.857</v>
      </c>
      <c r="E19" s="12">
        <v>530.74300000000005</v>
      </c>
      <c r="F19" s="12">
        <v>238.102</v>
      </c>
      <c r="G19" s="12">
        <v>1662.6</v>
      </c>
      <c r="H19" s="12">
        <v>820.86199999999997</v>
      </c>
      <c r="I19" s="12">
        <v>841.73800000000006</v>
      </c>
      <c r="J19" s="12">
        <v>795.84</v>
      </c>
      <c r="K19" s="5">
        <v>3.2528928266766205E-2</v>
      </c>
      <c r="L19" s="5">
        <v>5.0464307361874884E-2</v>
      </c>
      <c r="M19" s="8">
        <v>9.3200000000000005E-2</v>
      </c>
      <c r="N19" s="12">
        <v>23787.319166666701</v>
      </c>
      <c r="O19" s="3">
        <f t="shared" si="0"/>
        <v>16</v>
      </c>
      <c r="P19" s="13">
        <v>2008</v>
      </c>
      <c r="Q19" s="14">
        <v>139.74</v>
      </c>
      <c r="R19" s="14">
        <v>183.07</v>
      </c>
      <c r="S19" s="4">
        <f t="shared" si="1"/>
        <v>18.15720751816248</v>
      </c>
      <c r="T19" s="8">
        <f t="shared" si="2"/>
        <v>8.9474397021400948E-2</v>
      </c>
      <c r="U19" s="8">
        <f t="shared" si="3"/>
        <v>4.5298929387706001E-2</v>
      </c>
      <c r="V19" s="9">
        <f t="shared" si="4"/>
        <v>0.97519893363493138</v>
      </c>
      <c r="W19">
        <f t="shared" si="5"/>
        <v>1.4222167772416565</v>
      </c>
      <c r="X19">
        <f t="shared" si="6"/>
        <v>6.8114395137221555</v>
      </c>
      <c r="Y19" s="8">
        <f t="shared" si="7"/>
        <v>0.14321063394683028</v>
      </c>
      <c r="Z19" s="8">
        <f t="shared" si="8"/>
        <v>5.8759682244523548E-2</v>
      </c>
      <c r="AA19" s="10">
        <f t="shared" si="9"/>
        <v>6.06710717332338E-2</v>
      </c>
      <c r="AB19" s="12">
        <v>2939.7359999999999</v>
      </c>
      <c r="AC19" s="12">
        <v>2999.7350000000001</v>
      </c>
      <c r="AD19" s="8">
        <f t="shared" si="10"/>
        <v>-2.0001433459955711E-2</v>
      </c>
    </row>
    <row r="20" spans="1:30" x14ac:dyDescent="0.3">
      <c r="A20" t="s">
        <v>45</v>
      </c>
      <c r="B20" s="11">
        <v>2023</v>
      </c>
      <c r="C20" s="12">
        <v>25.007000000000001</v>
      </c>
      <c r="D20" s="12">
        <v>7101.241</v>
      </c>
      <c r="E20" s="12">
        <v>5910.4639999999999</v>
      </c>
      <c r="F20" s="12">
        <v>5148.4290000000001</v>
      </c>
      <c r="G20" s="12">
        <v>13011.704</v>
      </c>
      <c r="H20" s="12">
        <v>8345.4689999999991</v>
      </c>
      <c r="I20" s="12">
        <v>4666.2349999999997</v>
      </c>
      <c r="J20" s="12">
        <v>7141.61</v>
      </c>
      <c r="K20" s="5">
        <v>3.2528928266766205E-2</v>
      </c>
      <c r="L20" s="5">
        <v>5.0464307361874884E-2</v>
      </c>
      <c r="M20" s="8">
        <v>9.3200000000000005E-2</v>
      </c>
      <c r="N20" s="12">
        <v>23787.319166666701</v>
      </c>
      <c r="O20" s="3">
        <f t="shared" si="0"/>
        <v>28</v>
      </c>
      <c r="P20" s="13">
        <v>1996</v>
      </c>
      <c r="Q20" s="14">
        <v>139.74</v>
      </c>
      <c r="R20" s="14">
        <v>183.07</v>
      </c>
      <c r="S20" s="4">
        <f t="shared" si="1"/>
        <v>18.15720751816248</v>
      </c>
      <c r="T20" s="8">
        <f t="shared" si="2"/>
        <v>5.3591385774612726E-3</v>
      </c>
      <c r="U20" s="8">
        <f t="shared" si="3"/>
        <v>1.921885096679113E-3</v>
      </c>
      <c r="V20" s="9">
        <f t="shared" si="4"/>
        <v>1.7884802201346481</v>
      </c>
      <c r="W20">
        <f t="shared" si="5"/>
        <v>0.99434735304784216</v>
      </c>
      <c r="X20">
        <f t="shared" si="6"/>
        <v>8.8689061317272646</v>
      </c>
      <c r="Y20" s="8">
        <f t="shared" si="7"/>
        <v>0.39567676916105687</v>
      </c>
      <c r="Z20" s="8">
        <f t="shared" si="8"/>
        <v>5.8759682244523548E-2</v>
      </c>
      <c r="AA20" s="10">
        <f t="shared" si="9"/>
        <v>6.06710717332338E-2</v>
      </c>
      <c r="AB20" s="12">
        <v>11241.164000000001</v>
      </c>
      <c r="AC20" s="12">
        <v>11687.826999999999</v>
      </c>
      <c r="AD20" s="8">
        <f t="shared" si="10"/>
        <v>-3.8216085847266448E-2</v>
      </c>
    </row>
    <row r="21" spans="1:30" x14ac:dyDescent="0.3">
      <c r="A21" t="s">
        <v>46</v>
      </c>
      <c r="B21" s="11">
        <v>2023</v>
      </c>
      <c r="C21" s="12">
        <v>-33.414000000000001</v>
      </c>
      <c r="D21" s="12">
        <v>998.36400000000003</v>
      </c>
      <c r="E21" s="12">
        <v>445.69600000000003</v>
      </c>
      <c r="F21" s="12">
        <v>331.75599999999997</v>
      </c>
      <c r="G21" s="12">
        <v>1444.059</v>
      </c>
      <c r="H21" s="12">
        <v>543.51599999999996</v>
      </c>
      <c r="I21" s="12">
        <v>900.54399999999998</v>
      </c>
      <c r="J21" s="12">
        <v>533.80999999999995</v>
      </c>
      <c r="K21" s="5">
        <v>3.2528928266766205E-2</v>
      </c>
      <c r="L21" s="5">
        <v>5.0464307361874884E-2</v>
      </c>
      <c r="M21" s="8">
        <v>9.3200000000000005E-2</v>
      </c>
      <c r="N21" s="12">
        <v>23787.319166666701</v>
      </c>
      <c r="O21" s="3">
        <f t="shared" si="0"/>
        <v>51</v>
      </c>
      <c r="P21" s="13">
        <v>1973</v>
      </c>
      <c r="Q21" s="14">
        <v>139.74</v>
      </c>
      <c r="R21" s="14">
        <v>183.07</v>
      </c>
      <c r="S21" s="4">
        <f t="shared" si="1"/>
        <v>18.15720751816248</v>
      </c>
      <c r="T21" s="8">
        <f t="shared" si="2"/>
        <v>-3.7104239215407578E-2</v>
      </c>
      <c r="U21" s="8">
        <f t="shared" si="3"/>
        <v>-2.3138943768918032E-2</v>
      </c>
      <c r="V21" s="9">
        <f t="shared" si="4"/>
        <v>0.60354185914291802</v>
      </c>
      <c r="W21">
        <f t="shared" si="5"/>
        <v>1.8702609542721196</v>
      </c>
      <c r="X21">
        <f t="shared" si="6"/>
        <v>6.6705147699690066</v>
      </c>
      <c r="Y21" s="8">
        <f t="shared" si="7"/>
        <v>0.22973853561384955</v>
      </c>
      <c r="Z21" s="8">
        <f t="shared" si="8"/>
        <v>5.8759682244523548E-2</v>
      </c>
      <c r="AA21" s="10">
        <f t="shared" si="9"/>
        <v>6.06710717332338E-2</v>
      </c>
      <c r="AB21" s="12">
        <v>871.69100000000003</v>
      </c>
      <c r="AC21" s="12">
        <v>1001.213</v>
      </c>
      <c r="AD21" s="8">
        <f t="shared" si="10"/>
        <v>-0.12936508015776857</v>
      </c>
    </row>
    <row r="22" spans="1:30" x14ac:dyDescent="0.3">
      <c r="A22" t="s">
        <v>47</v>
      </c>
      <c r="B22" s="11">
        <v>2023</v>
      </c>
      <c r="C22" s="12">
        <v>246.334</v>
      </c>
      <c r="D22" s="12">
        <v>2291.8829999999998</v>
      </c>
      <c r="E22" s="12">
        <v>1092.454</v>
      </c>
      <c r="F22" s="12">
        <v>938.83900000000006</v>
      </c>
      <c r="G22" s="12">
        <v>3384.337</v>
      </c>
      <c r="H22" s="12">
        <v>1532.9590000000001</v>
      </c>
      <c r="I22" s="12">
        <v>1851.3779999999999</v>
      </c>
      <c r="J22" s="12">
        <v>1508.14</v>
      </c>
      <c r="K22" s="5">
        <v>3.2528928266766205E-2</v>
      </c>
      <c r="L22" s="5">
        <v>5.0464307361874884E-2</v>
      </c>
      <c r="M22" s="8">
        <v>9.3200000000000005E-2</v>
      </c>
      <c r="N22" s="12">
        <v>23787.319166666701</v>
      </c>
      <c r="O22" s="3">
        <f t="shared" si="0"/>
        <v>49</v>
      </c>
      <c r="P22" s="13">
        <v>1975</v>
      </c>
      <c r="Q22" s="14">
        <v>139.74</v>
      </c>
      <c r="R22" s="14">
        <v>183.07</v>
      </c>
      <c r="S22" s="4">
        <f t="shared" si="1"/>
        <v>18.15720751816248</v>
      </c>
      <c r="T22" s="8">
        <f t="shared" si="2"/>
        <v>0.13305440596139742</v>
      </c>
      <c r="U22" s="8">
        <f t="shared" si="3"/>
        <v>7.2786486688530133E-2</v>
      </c>
      <c r="V22" s="9">
        <f t="shared" si="4"/>
        <v>0.82800973113000165</v>
      </c>
      <c r="W22">
        <f t="shared" si="5"/>
        <v>1.5196752290901372</v>
      </c>
      <c r="X22">
        <f t="shared" si="6"/>
        <v>7.522214894681313</v>
      </c>
      <c r="Y22" s="8">
        <f t="shared" si="7"/>
        <v>0.27740706673123866</v>
      </c>
      <c r="Z22" s="8">
        <f t="shared" si="8"/>
        <v>5.8759682244523548E-2</v>
      </c>
      <c r="AA22" s="10">
        <f t="shared" si="9"/>
        <v>6.06710717332338E-2</v>
      </c>
      <c r="AB22" s="12">
        <v>4657.643</v>
      </c>
      <c r="AC22" s="12">
        <v>5139.1670000000004</v>
      </c>
      <c r="AD22" s="8">
        <f t="shared" si="10"/>
        <v>-9.3696896792807141E-2</v>
      </c>
    </row>
    <row r="23" spans="1:30" x14ac:dyDescent="0.3">
      <c r="A23" t="s">
        <v>48</v>
      </c>
      <c r="B23" s="11">
        <v>2023</v>
      </c>
      <c r="C23" s="12">
        <v>18.641999999999999</v>
      </c>
      <c r="D23" s="12">
        <v>770.38499999999999</v>
      </c>
      <c r="E23" s="12">
        <v>585.48599999999999</v>
      </c>
      <c r="F23" s="12">
        <v>352.16500000000002</v>
      </c>
      <c r="G23" s="12">
        <v>1355.8710000000001</v>
      </c>
      <c r="H23" s="12">
        <v>355.9</v>
      </c>
      <c r="I23" s="12">
        <v>999.971</v>
      </c>
      <c r="J23" s="12">
        <v>233.68</v>
      </c>
      <c r="K23" s="5">
        <v>3.2528928266766205E-2</v>
      </c>
      <c r="L23" s="5">
        <v>5.0464307361874884E-2</v>
      </c>
      <c r="M23" s="8">
        <v>9.3200000000000005E-2</v>
      </c>
      <c r="N23" s="12">
        <v>23787.319166666701</v>
      </c>
      <c r="O23" s="3">
        <f t="shared" si="0"/>
        <v>31</v>
      </c>
      <c r="P23" s="13">
        <v>1993</v>
      </c>
      <c r="Q23" s="14">
        <v>139.74</v>
      </c>
      <c r="R23" s="14">
        <v>183.07</v>
      </c>
      <c r="S23" s="4">
        <f t="shared" si="1"/>
        <v>18.15720751816248</v>
      </c>
      <c r="T23" s="8">
        <f t="shared" si="2"/>
        <v>1.8642540633678376E-2</v>
      </c>
      <c r="U23" s="8">
        <f t="shared" si="3"/>
        <v>1.3749095599802634E-2</v>
      </c>
      <c r="V23" s="9">
        <f t="shared" si="4"/>
        <v>0.35591032139932055</v>
      </c>
      <c r="W23">
        <f t="shared" si="5"/>
        <v>3.296751968503937</v>
      </c>
      <c r="X23">
        <f t="shared" si="6"/>
        <v>6.6075009238567395</v>
      </c>
      <c r="Y23" s="8">
        <f t="shared" si="7"/>
        <v>0.25973341121684879</v>
      </c>
      <c r="Z23" s="8">
        <f t="shared" si="8"/>
        <v>5.8759682244523548E-2</v>
      </c>
      <c r="AA23" s="10">
        <f t="shared" si="9"/>
        <v>6.06710717332338E-2</v>
      </c>
      <c r="AB23" s="12">
        <v>787.68399999999997</v>
      </c>
      <c r="AC23" s="12">
        <v>1021.675</v>
      </c>
      <c r="AD23" s="8">
        <f t="shared" si="10"/>
        <v>-0.22902684317419922</v>
      </c>
    </row>
    <row r="24" spans="1:30" x14ac:dyDescent="0.3">
      <c r="A24" t="s">
        <v>49</v>
      </c>
      <c r="B24" s="11">
        <v>2023</v>
      </c>
      <c r="C24" s="12">
        <v>302.33600000000001</v>
      </c>
      <c r="D24" s="12">
        <v>2127.0509999999999</v>
      </c>
      <c r="E24" s="12">
        <v>1229.133</v>
      </c>
      <c r="F24" s="12">
        <v>848.375</v>
      </c>
      <c r="G24" s="12">
        <v>3356.1840000000002</v>
      </c>
      <c r="H24" s="12">
        <v>1122.0440000000001</v>
      </c>
      <c r="I24" s="12">
        <v>2234.1410000000001</v>
      </c>
      <c r="J24" s="12">
        <v>1111.72</v>
      </c>
      <c r="K24" s="5">
        <v>3.2528928266766205E-2</v>
      </c>
      <c r="L24" s="5">
        <v>5.0464307361874884E-2</v>
      </c>
      <c r="M24" s="8">
        <v>9.3200000000000005E-2</v>
      </c>
      <c r="N24" s="12">
        <v>23787.319166666701</v>
      </c>
      <c r="O24" s="3">
        <f t="shared" si="0"/>
        <v>28</v>
      </c>
      <c r="P24" s="13">
        <v>1996</v>
      </c>
      <c r="Q24" s="14">
        <v>139.74</v>
      </c>
      <c r="R24" s="14">
        <v>183.07</v>
      </c>
      <c r="S24" s="4">
        <f t="shared" si="1"/>
        <v>18.15720751816248</v>
      </c>
      <c r="T24" s="8">
        <f t="shared" si="2"/>
        <v>0.13532538904214192</v>
      </c>
      <c r="U24" s="8">
        <f t="shared" si="3"/>
        <v>9.0083261227632327E-2</v>
      </c>
      <c r="V24" s="9">
        <f t="shared" si="4"/>
        <v>0.50222613523497406</v>
      </c>
      <c r="W24">
        <f t="shared" si="5"/>
        <v>1.9132974130176663</v>
      </c>
      <c r="X24">
        <f t="shared" si="6"/>
        <v>7.5138614858845187</v>
      </c>
      <c r="Y24" s="8">
        <f t="shared" si="7"/>
        <v>0.25277964497774852</v>
      </c>
      <c r="Z24" s="8">
        <f t="shared" si="8"/>
        <v>5.8759682244523548E-2</v>
      </c>
      <c r="AA24" s="10">
        <f t="shared" si="9"/>
        <v>6.06710717332338E-2</v>
      </c>
      <c r="AB24" s="12">
        <v>5089.0810000000001</v>
      </c>
      <c r="AC24" s="12">
        <v>5707.2030000000004</v>
      </c>
      <c r="AD24" s="8">
        <f t="shared" si="10"/>
        <v>-0.10830559207373563</v>
      </c>
    </row>
    <row r="25" spans="1:30" x14ac:dyDescent="0.3">
      <c r="A25" t="s">
        <v>50</v>
      </c>
      <c r="B25" s="11">
        <v>2023</v>
      </c>
      <c r="C25" s="12">
        <v>36.692</v>
      </c>
      <c r="D25" s="12">
        <v>271.94400000000002</v>
      </c>
      <c r="E25" s="12">
        <v>136.964</v>
      </c>
      <c r="F25" s="12">
        <v>128.70599999999999</v>
      </c>
      <c r="G25" s="12">
        <v>408.90699999999998</v>
      </c>
      <c r="H25" s="12">
        <v>117.251</v>
      </c>
      <c r="I25" s="12">
        <v>291.65600000000001</v>
      </c>
      <c r="J25" s="12">
        <v>114.61</v>
      </c>
      <c r="K25" s="5">
        <v>3.2528928266766205E-2</v>
      </c>
      <c r="L25" s="5">
        <v>5.0464307361874884E-2</v>
      </c>
      <c r="M25" s="8">
        <v>9.3200000000000005E-2</v>
      </c>
      <c r="N25" s="12">
        <v>23787.319166666701</v>
      </c>
      <c r="O25" s="3">
        <f t="shared" si="0"/>
        <v>33</v>
      </c>
      <c r="P25" s="13">
        <v>1991</v>
      </c>
      <c r="Q25" s="14">
        <v>139.74</v>
      </c>
      <c r="R25" s="14">
        <v>183.07</v>
      </c>
      <c r="S25" s="4">
        <f t="shared" si="1"/>
        <v>18.15720751816248</v>
      </c>
      <c r="T25" s="8">
        <f t="shared" si="2"/>
        <v>0.1258057437529144</v>
      </c>
      <c r="U25" s="8">
        <f t="shared" si="3"/>
        <v>8.9731895027475694E-2</v>
      </c>
      <c r="V25" s="9">
        <f t="shared" si="4"/>
        <v>0.40201813094878897</v>
      </c>
      <c r="W25">
        <f t="shared" si="5"/>
        <v>2.3727772445685371</v>
      </c>
      <c r="X25">
        <f t="shared" si="6"/>
        <v>5.4087893389492594</v>
      </c>
      <c r="Y25" s="8">
        <f t="shared" si="7"/>
        <v>0.31475616705020942</v>
      </c>
      <c r="Z25" s="8">
        <f t="shared" si="8"/>
        <v>5.8759682244523548E-2</v>
      </c>
      <c r="AA25" s="10">
        <f t="shared" si="9"/>
        <v>6.06710717332338E-2</v>
      </c>
      <c r="AB25" s="12">
        <v>313.86799999999999</v>
      </c>
      <c r="AC25" s="12">
        <v>401.58300000000003</v>
      </c>
      <c r="AD25" s="8">
        <f t="shared" si="10"/>
        <v>-0.21842309061887585</v>
      </c>
    </row>
    <row r="26" spans="1:30" x14ac:dyDescent="0.3">
      <c r="A26" t="s">
        <v>51</v>
      </c>
      <c r="B26" s="11">
        <v>2023</v>
      </c>
      <c r="C26" s="12">
        <v>28.881</v>
      </c>
      <c r="D26" s="12">
        <v>2873.1819999999998</v>
      </c>
      <c r="E26" s="12">
        <v>483.97699999999998</v>
      </c>
      <c r="F26" s="12">
        <v>249.25299999999999</v>
      </c>
      <c r="G26" s="12">
        <v>3357.1590000000001</v>
      </c>
      <c r="H26" s="12">
        <v>813.58699999999999</v>
      </c>
      <c r="I26" s="12">
        <v>2543.5720000000001</v>
      </c>
      <c r="J26" s="12">
        <v>641.5</v>
      </c>
      <c r="K26" s="5">
        <v>3.2528928266766205E-2</v>
      </c>
      <c r="L26" s="5">
        <v>5.0464307361874884E-2</v>
      </c>
      <c r="M26" s="8">
        <v>9.3200000000000005E-2</v>
      </c>
      <c r="N26" s="12">
        <v>23787.319166666701</v>
      </c>
      <c r="O26" s="3">
        <f t="shared" si="0"/>
        <v>42</v>
      </c>
      <c r="P26" s="13">
        <v>1982</v>
      </c>
      <c r="Q26" s="14">
        <v>139.74</v>
      </c>
      <c r="R26" s="14">
        <v>183.07</v>
      </c>
      <c r="S26" s="4">
        <f t="shared" si="1"/>
        <v>18.15720751816248</v>
      </c>
      <c r="T26" s="8">
        <f t="shared" si="2"/>
        <v>1.1354504610052319E-2</v>
      </c>
      <c r="U26" s="8">
        <f t="shared" si="3"/>
        <v>8.6028096971278393E-3</v>
      </c>
      <c r="V26" s="9">
        <f t="shared" si="4"/>
        <v>0.31986002362032606</v>
      </c>
      <c r="W26">
        <f t="shared" si="5"/>
        <v>4.4788495713172249</v>
      </c>
      <c r="X26">
        <f t="shared" si="6"/>
        <v>7.5141519522011828</v>
      </c>
      <c r="Y26" s="8">
        <f t="shared" si="7"/>
        <v>7.4245217459167109E-2</v>
      </c>
      <c r="Z26" s="8">
        <f t="shared" si="8"/>
        <v>5.8759682244523548E-2</v>
      </c>
      <c r="AA26" s="10">
        <f t="shared" si="9"/>
        <v>6.06710717332338E-2</v>
      </c>
      <c r="AB26" s="12">
        <v>936.39599999999996</v>
      </c>
      <c r="AC26" s="12">
        <v>3166.7089999999998</v>
      </c>
      <c r="AD26" s="8">
        <f t="shared" si="10"/>
        <v>-0.70429995304273307</v>
      </c>
    </row>
    <row r="27" spans="1:30" x14ac:dyDescent="0.3">
      <c r="A27" t="s">
        <v>52</v>
      </c>
      <c r="B27" s="11">
        <v>2023</v>
      </c>
      <c r="C27" s="12">
        <v>-51.945</v>
      </c>
      <c r="D27" s="12">
        <v>204.68799999999999</v>
      </c>
      <c r="E27" s="12">
        <v>214.39</v>
      </c>
      <c r="F27" s="12">
        <v>152.857</v>
      </c>
      <c r="G27" s="12">
        <v>419.07799999999997</v>
      </c>
      <c r="H27" s="12">
        <v>26.7</v>
      </c>
      <c r="I27" s="12">
        <v>392.37799999999999</v>
      </c>
      <c r="J27" s="12">
        <v>10.61</v>
      </c>
      <c r="K27" s="5">
        <v>3.2528928266766205E-2</v>
      </c>
      <c r="L27" s="5">
        <v>5.0464307361874884E-2</v>
      </c>
      <c r="M27" s="8">
        <v>9.3200000000000005E-2</v>
      </c>
      <c r="N27" s="12">
        <v>23787.319166666701</v>
      </c>
      <c r="O27" s="3">
        <f t="shared" si="0"/>
        <v>48</v>
      </c>
      <c r="P27" s="13">
        <v>1976</v>
      </c>
      <c r="Q27" s="14">
        <v>139.74</v>
      </c>
      <c r="R27" s="14">
        <v>183.07</v>
      </c>
      <c r="S27" s="4">
        <f t="shared" si="1"/>
        <v>18.15720751816248</v>
      </c>
      <c r="T27" s="8">
        <f t="shared" si="2"/>
        <v>-0.13238509804321344</v>
      </c>
      <c r="U27" s="8">
        <f t="shared" si="3"/>
        <v>-0.12395067266714073</v>
      </c>
      <c r="V27" s="9">
        <f t="shared" si="4"/>
        <v>6.8046628506185369E-2</v>
      </c>
      <c r="W27">
        <f t="shared" si="5"/>
        <v>19.291988689915176</v>
      </c>
      <c r="X27">
        <f t="shared" si="6"/>
        <v>5.4333586527400453</v>
      </c>
      <c r="Y27" s="8">
        <f t="shared" si="7"/>
        <v>0.36474594228282087</v>
      </c>
      <c r="Z27" s="8">
        <f t="shared" si="8"/>
        <v>5.8759682244523548E-2</v>
      </c>
      <c r="AA27" s="10">
        <f t="shared" si="9"/>
        <v>6.06710717332338E-2</v>
      </c>
      <c r="AB27" s="12">
        <v>8.2970000000000006</v>
      </c>
      <c r="AC27" s="12">
        <v>292.17599999999999</v>
      </c>
      <c r="AD27" s="8">
        <f t="shared" si="10"/>
        <v>-0.97160273259952901</v>
      </c>
    </row>
    <row r="28" spans="1:30" x14ac:dyDescent="0.3">
      <c r="A28" t="s">
        <v>53</v>
      </c>
      <c r="B28" s="11">
        <v>2023</v>
      </c>
      <c r="C28" s="12">
        <v>1781.6859999999999</v>
      </c>
      <c r="D28" s="12">
        <v>8768.5259999999998</v>
      </c>
      <c r="E28" s="12">
        <v>12134.73</v>
      </c>
      <c r="F28" s="12">
        <v>5997.88</v>
      </c>
      <c r="G28" s="12">
        <v>20903.255000000001</v>
      </c>
      <c r="H28" s="12">
        <v>14225.785</v>
      </c>
      <c r="I28" s="12">
        <v>6677.47</v>
      </c>
      <c r="J28" s="12">
        <v>9710.4</v>
      </c>
      <c r="K28" s="5">
        <v>3.2528928266766205E-2</v>
      </c>
      <c r="L28" s="5">
        <v>5.0464307361874884E-2</v>
      </c>
      <c r="M28" s="8">
        <v>9.3200000000000005E-2</v>
      </c>
      <c r="N28" s="12">
        <v>23787.319166666701</v>
      </c>
      <c r="O28" s="3">
        <f t="shared" si="0"/>
        <v>31</v>
      </c>
      <c r="P28" s="13">
        <v>1993</v>
      </c>
      <c r="Q28" s="14">
        <v>139.74</v>
      </c>
      <c r="R28" s="14">
        <v>183.07</v>
      </c>
      <c r="S28" s="4">
        <f t="shared" si="1"/>
        <v>18.15720751816248</v>
      </c>
      <c r="T28" s="8">
        <f t="shared" si="2"/>
        <v>0.26682051735163165</v>
      </c>
      <c r="U28" s="8">
        <f t="shared" si="3"/>
        <v>8.5234859355636225E-2</v>
      </c>
      <c r="V28" s="9">
        <f t="shared" si="4"/>
        <v>2.1304154118251373</v>
      </c>
      <c r="W28">
        <f t="shared" si="5"/>
        <v>0.90300358378645573</v>
      </c>
      <c r="X28">
        <f t="shared" si="6"/>
        <v>9.3429617600783974</v>
      </c>
      <c r="Y28" s="8">
        <f t="shared" si="7"/>
        <v>0.28693521654881021</v>
      </c>
      <c r="Z28" s="8">
        <f t="shared" si="8"/>
        <v>5.8759682244523548E-2</v>
      </c>
      <c r="AA28" s="10">
        <f t="shared" si="9"/>
        <v>6.06710717332338E-2</v>
      </c>
      <c r="AB28" s="12">
        <v>6492.57</v>
      </c>
      <c r="AC28" s="12">
        <v>5197.9830000000002</v>
      </c>
      <c r="AD28" s="8">
        <f t="shared" si="10"/>
        <v>0.24905564331395458</v>
      </c>
    </row>
    <row r="29" spans="1:30" x14ac:dyDescent="0.3">
      <c r="A29" t="s">
        <v>54</v>
      </c>
      <c r="B29" s="11">
        <v>2023</v>
      </c>
      <c r="C29" s="12">
        <v>37.055999999999997</v>
      </c>
      <c r="D29" s="12">
        <v>1071.7650000000001</v>
      </c>
      <c r="E29" s="12">
        <v>934.52300000000002</v>
      </c>
      <c r="F29" s="12">
        <v>381.31</v>
      </c>
      <c r="G29" s="12">
        <v>2006.288</v>
      </c>
      <c r="H29" s="12">
        <v>842.28399999999999</v>
      </c>
      <c r="I29" s="12">
        <v>1164.0039999999999</v>
      </c>
      <c r="J29" s="12">
        <v>839.43</v>
      </c>
      <c r="K29" s="5">
        <v>3.2528928266766205E-2</v>
      </c>
      <c r="L29" s="5">
        <v>5.0464307361874884E-2</v>
      </c>
      <c r="M29" s="8">
        <v>9.3200000000000005E-2</v>
      </c>
      <c r="N29" s="12">
        <v>23787.319166666701</v>
      </c>
      <c r="O29" s="3">
        <f t="shared" si="0"/>
        <v>32</v>
      </c>
      <c r="P29" s="13">
        <v>1992</v>
      </c>
      <c r="Q29" s="14">
        <v>139.74</v>
      </c>
      <c r="R29" s="14">
        <v>183.07</v>
      </c>
      <c r="S29" s="4">
        <f t="shared" si="1"/>
        <v>18.15720751816248</v>
      </c>
      <c r="T29" s="8">
        <f t="shared" si="2"/>
        <v>3.1834942147965124E-2</v>
      </c>
      <c r="U29" s="8">
        <f t="shared" si="3"/>
        <v>1.8469930538387309E-2</v>
      </c>
      <c r="V29" s="9">
        <f t="shared" si="4"/>
        <v>0.72360919721925354</v>
      </c>
      <c r="W29">
        <f t="shared" si="5"/>
        <v>1.2767770987455775</v>
      </c>
      <c r="X29">
        <f t="shared" si="6"/>
        <v>6.9993431201340881</v>
      </c>
      <c r="Y29" s="8">
        <f t="shared" si="7"/>
        <v>0.19005745934781049</v>
      </c>
      <c r="Z29" s="8">
        <f t="shared" si="8"/>
        <v>5.8759682244523548E-2</v>
      </c>
      <c r="AA29" s="10">
        <f t="shared" si="9"/>
        <v>6.06710717332338E-2</v>
      </c>
      <c r="AB29" s="12">
        <v>3981.922</v>
      </c>
      <c r="AC29" s="12">
        <v>6775.2</v>
      </c>
      <c r="AD29" s="8">
        <f t="shared" si="10"/>
        <v>-0.41227978509859486</v>
      </c>
    </row>
    <row r="30" spans="1:30" x14ac:dyDescent="0.3">
      <c r="A30" t="s">
        <v>55</v>
      </c>
      <c r="B30" s="11">
        <v>2023</v>
      </c>
      <c r="C30" s="12">
        <v>351.851</v>
      </c>
      <c r="D30" s="12">
        <v>1036.383</v>
      </c>
      <c r="E30" s="12">
        <v>3637.2080000000001</v>
      </c>
      <c r="F30" s="12">
        <v>7.1130000000000004</v>
      </c>
      <c r="G30" s="12">
        <v>4673.5910000000003</v>
      </c>
      <c r="H30" s="12">
        <v>172.31</v>
      </c>
      <c r="I30" s="12">
        <v>4501.2809999999999</v>
      </c>
      <c r="J30" s="12">
        <v>171.64</v>
      </c>
      <c r="K30" s="5">
        <v>3.2528928266766205E-2</v>
      </c>
      <c r="L30" s="5">
        <v>5.0464307361874884E-2</v>
      </c>
      <c r="M30" s="8">
        <v>9.3200000000000005E-2</v>
      </c>
      <c r="N30" s="12">
        <v>23787.319166666701</v>
      </c>
      <c r="O30" s="3">
        <f t="shared" si="0"/>
        <v>16</v>
      </c>
      <c r="P30" s="13">
        <v>2008</v>
      </c>
      <c r="Q30" s="14">
        <v>139.74</v>
      </c>
      <c r="R30" s="14">
        <v>183.07</v>
      </c>
      <c r="S30" s="4">
        <f t="shared" si="1"/>
        <v>18.15720751816248</v>
      </c>
      <c r="T30" s="8">
        <f t="shared" si="2"/>
        <v>7.8166859611741635E-2</v>
      </c>
      <c r="U30" s="8">
        <f t="shared" si="3"/>
        <v>7.5284936144390899E-2</v>
      </c>
      <c r="V30" s="9">
        <f t="shared" si="4"/>
        <v>3.8280214010189544E-2</v>
      </c>
      <c r="W30">
        <f t="shared" si="5"/>
        <v>6.0381204847354937</v>
      </c>
      <c r="X30">
        <f t="shared" si="6"/>
        <v>7.8449845985464171</v>
      </c>
      <c r="Y30" s="8">
        <f t="shared" si="7"/>
        <v>1.5219560291005352E-3</v>
      </c>
      <c r="Z30" s="8">
        <f t="shared" si="8"/>
        <v>5.8759682244523548E-2</v>
      </c>
      <c r="AA30" s="10">
        <f t="shared" si="9"/>
        <v>6.06710717332338E-2</v>
      </c>
      <c r="AB30" s="12">
        <v>366.58499999999998</v>
      </c>
      <c r="AC30" s="12">
        <v>385.32299999999998</v>
      </c>
      <c r="AD30" s="8">
        <f t="shared" si="10"/>
        <v>-4.862933175543635E-2</v>
      </c>
    </row>
    <row r="31" spans="1:30" x14ac:dyDescent="0.3">
      <c r="A31" t="s">
        <v>56</v>
      </c>
      <c r="B31" s="11">
        <v>2023</v>
      </c>
      <c r="C31" s="12">
        <v>-1098.461</v>
      </c>
      <c r="D31" s="12">
        <v>2658.7829999999999</v>
      </c>
      <c r="E31" s="12">
        <v>11436.995999999999</v>
      </c>
      <c r="F31" s="12">
        <v>5585.165</v>
      </c>
      <c r="G31" s="12">
        <v>14095.779</v>
      </c>
      <c r="H31" s="12">
        <v>11840.072</v>
      </c>
      <c r="I31" s="12">
        <v>2255.7069999999999</v>
      </c>
      <c r="J31" s="12">
        <v>9609.41</v>
      </c>
      <c r="K31" s="5">
        <v>3.2528928266766205E-2</v>
      </c>
      <c r="L31" s="5">
        <v>5.0464307361874884E-2</v>
      </c>
      <c r="M31" s="8">
        <v>9.3200000000000005E-2</v>
      </c>
      <c r="N31" s="12">
        <v>23787.319166666701</v>
      </c>
      <c r="O31" s="3">
        <f t="shared" si="0"/>
        <v>14</v>
      </c>
      <c r="P31" s="13">
        <v>2010</v>
      </c>
      <c r="Q31" s="14">
        <v>139.74</v>
      </c>
      <c r="R31" s="14">
        <v>183.07</v>
      </c>
      <c r="S31" s="4">
        <f t="shared" si="1"/>
        <v>18.15720751816248</v>
      </c>
      <c r="T31" s="8">
        <f t="shared" si="2"/>
        <v>-0.48696971725494492</v>
      </c>
      <c r="U31" s="8">
        <f t="shared" si="3"/>
        <v>-7.7928364228752448E-2</v>
      </c>
      <c r="V31" s="9">
        <f t="shared" si="4"/>
        <v>5.2489405760588594</v>
      </c>
      <c r="W31">
        <f t="shared" si="5"/>
        <v>0.27668535321107124</v>
      </c>
      <c r="X31">
        <f t="shared" si="6"/>
        <v>8.9489322624716419</v>
      </c>
      <c r="Y31" s="8">
        <f t="shared" si="7"/>
        <v>0.3962296088779485</v>
      </c>
      <c r="Z31" s="8">
        <f t="shared" si="8"/>
        <v>5.8759682244523548E-2</v>
      </c>
      <c r="AA31" s="10">
        <f t="shared" si="9"/>
        <v>6.06710717332338E-2</v>
      </c>
      <c r="AB31" s="12">
        <v>605.57100000000003</v>
      </c>
      <c r="AC31" s="12">
        <v>741.79600000000005</v>
      </c>
      <c r="AD31" s="8">
        <f t="shared" si="10"/>
        <v>-0.18364213341673455</v>
      </c>
    </row>
    <row r="32" spans="1:30" x14ac:dyDescent="0.3">
      <c r="A32" t="s">
        <v>57</v>
      </c>
      <c r="B32" s="11">
        <v>2023</v>
      </c>
      <c r="C32" s="12">
        <v>12.061999999999999</v>
      </c>
      <c r="D32" s="12">
        <v>266.16300000000001</v>
      </c>
      <c r="E32" s="12">
        <v>213.952</v>
      </c>
      <c r="F32" s="12">
        <v>46.207000000000001</v>
      </c>
      <c r="G32" s="12">
        <v>480.11500000000001</v>
      </c>
      <c r="H32" s="12">
        <v>40.009</v>
      </c>
      <c r="I32" s="12">
        <v>440.10599999999999</v>
      </c>
      <c r="J32" s="12">
        <v>31.77</v>
      </c>
      <c r="K32" s="5">
        <v>3.2528928266766205E-2</v>
      </c>
      <c r="L32" s="5">
        <v>5.0464307361874884E-2</v>
      </c>
      <c r="M32" s="8">
        <v>9.3200000000000005E-2</v>
      </c>
      <c r="N32" s="12">
        <v>23787.319166666701</v>
      </c>
      <c r="O32" s="3">
        <f t="shared" si="0"/>
        <v>9</v>
      </c>
      <c r="P32" s="13">
        <v>2015</v>
      </c>
      <c r="Q32" s="14">
        <v>139.74</v>
      </c>
      <c r="R32" s="14">
        <v>183.07</v>
      </c>
      <c r="S32" s="4">
        <f t="shared" si="1"/>
        <v>18.15720751816248</v>
      </c>
      <c r="T32" s="8">
        <f t="shared" si="2"/>
        <v>2.7407033760048716E-2</v>
      </c>
      <c r="U32" s="8">
        <f t="shared" si="3"/>
        <v>2.5123147579225808E-2</v>
      </c>
      <c r="V32" s="9">
        <f t="shared" si="4"/>
        <v>9.0907644976437496E-2</v>
      </c>
      <c r="W32">
        <f t="shared" si="5"/>
        <v>8.3778092540132203</v>
      </c>
      <c r="X32">
        <f t="shared" si="6"/>
        <v>5.5693272511649345</v>
      </c>
      <c r="Y32" s="8">
        <f t="shared" si="7"/>
        <v>9.6241525467856665E-2</v>
      </c>
      <c r="Z32" s="8">
        <f t="shared" si="8"/>
        <v>5.8759682244523548E-2</v>
      </c>
      <c r="AA32" s="10">
        <f t="shared" si="9"/>
        <v>6.06710717332338E-2</v>
      </c>
      <c r="AB32" s="12">
        <v>389.73399999999998</v>
      </c>
      <c r="AC32" s="12">
        <v>466.13499999999999</v>
      </c>
      <c r="AD32" s="8">
        <f t="shared" si="10"/>
        <v>-0.16390316110139769</v>
      </c>
    </row>
    <row r="33" spans="1:30" x14ac:dyDescent="0.3">
      <c r="A33" t="s">
        <v>58</v>
      </c>
      <c r="B33" s="11">
        <v>2023</v>
      </c>
      <c r="C33" s="12">
        <v>169.87299999999999</v>
      </c>
      <c r="D33" s="12">
        <v>1761.376</v>
      </c>
      <c r="E33" s="12">
        <v>746.34500000000003</v>
      </c>
      <c r="F33" s="12">
        <v>665.74400000000003</v>
      </c>
      <c r="G33" s="12">
        <v>2507.721</v>
      </c>
      <c r="H33" s="12">
        <v>1670.915</v>
      </c>
      <c r="I33" s="12">
        <v>836.80600000000004</v>
      </c>
      <c r="J33" s="12">
        <v>1441.46</v>
      </c>
      <c r="K33" s="5">
        <v>3.2528928266766205E-2</v>
      </c>
      <c r="L33" s="5">
        <v>5.0464307361874884E-2</v>
      </c>
      <c r="M33" s="8">
        <v>9.3200000000000005E-2</v>
      </c>
      <c r="N33" s="12">
        <v>23787.319166666701</v>
      </c>
      <c r="O33" s="3">
        <f t="shared" si="0"/>
        <v>62</v>
      </c>
      <c r="P33" s="13">
        <v>1962</v>
      </c>
      <c r="Q33" s="14">
        <v>139.74</v>
      </c>
      <c r="R33" s="14">
        <v>183.07</v>
      </c>
      <c r="S33" s="4">
        <f t="shared" si="1"/>
        <v>18.15720751816248</v>
      </c>
      <c r="T33" s="8">
        <f t="shared" si="2"/>
        <v>0.20300165151779503</v>
      </c>
      <c r="U33" s="8">
        <f t="shared" si="3"/>
        <v>6.7739991809296171E-2</v>
      </c>
      <c r="V33" s="9">
        <f t="shared" si="4"/>
        <v>1.9967770307574275</v>
      </c>
      <c r="W33">
        <f t="shared" si="5"/>
        <v>1.2219388675370804</v>
      </c>
      <c r="X33">
        <f t="shared" si="6"/>
        <v>7.2224312441707657</v>
      </c>
      <c r="Y33" s="8">
        <f t="shared" si="7"/>
        <v>0.26547769867541088</v>
      </c>
      <c r="Z33" s="8">
        <f t="shared" si="8"/>
        <v>5.8759682244523548E-2</v>
      </c>
      <c r="AA33" s="10">
        <f t="shared" si="9"/>
        <v>6.06710717332338E-2</v>
      </c>
      <c r="AB33" s="12">
        <v>4703.9669999999996</v>
      </c>
      <c r="AC33" s="12">
        <v>5144.9859999999999</v>
      </c>
      <c r="AD33" s="8">
        <f t="shared" si="10"/>
        <v>-8.5718211866854493E-2</v>
      </c>
    </row>
    <row r="34" spans="1:30" x14ac:dyDescent="0.3">
      <c r="A34" t="s">
        <v>59</v>
      </c>
      <c r="B34" s="11">
        <v>2023</v>
      </c>
      <c r="C34" s="12">
        <v>38.323</v>
      </c>
      <c r="D34" s="12">
        <v>387.89100000000002</v>
      </c>
      <c r="E34" s="12">
        <v>60.304000000000002</v>
      </c>
      <c r="F34" s="12">
        <v>30.574000000000002</v>
      </c>
      <c r="G34" s="12">
        <v>448.19499999999999</v>
      </c>
      <c r="H34" s="12">
        <v>189.44399999999999</v>
      </c>
      <c r="I34" s="12">
        <v>258.75099999999998</v>
      </c>
      <c r="J34" s="12">
        <v>188</v>
      </c>
      <c r="K34" s="5">
        <v>3.2528928266766205E-2</v>
      </c>
      <c r="L34" s="5">
        <v>5.0464307361874884E-2</v>
      </c>
      <c r="M34" s="8">
        <v>9.3200000000000005E-2</v>
      </c>
      <c r="N34" s="12">
        <v>23787.319166666701</v>
      </c>
      <c r="O34" s="3">
        <f t="shared" si="0"/>
        <v>26</v>
      </c>
      <c r="P34" s="13">
        <v>1998</v>
      </c>
      <c r="Q34" s="14">
        <v>139.74</v>
      </c>
      <c r="R34" s="14">
        <v>183.07</v>
      </c>
      <c r="S34" s="4">
        <f t="shared" si="1"/>
        <v>18.15720751816248</v>
      </c>
      <c r="T34" s="8">
        <f t="shared" si="2"/>
        <v>0.14810764016370953</v>
      </c>
      <c r="U34" s="8">
        <f t="shared" si="3"/>
        <v>8.5505193052131334E-2</v>
      </c>
      <c r="V34" s="9">
        <f t="shared" si="4"/>
        <v>0.73214789508059874</v>
      </c>
      <c r="W34">
        <f t="shared" si="5"/>
        <v>2.06325</v>
      </c>
      <c r="X34">
        <f t="shared" si="6"/>
        <v>5.5005299981957219</v>
      </c>
      <c r="Y34" s="8">
        <f t="shared" si="7"/>
        <v>6.8215843550240407E-2</v>
      </c>
      <c r="Z34" s="8">
        <f t="shared" si="8"/>
        <v>5.8759682244523548E-2</v>
      </c>
      <c r="AA34" s="10">
        <f t="shared" si="9"/>
        <v>6.06710717332338E-2</v>
      </c>
      <c r="AB34" s="12">
        <v>657.52499999999998</v>
      </c>
      <c r="AC34" s="12">
        <v>1047.201</v>
      </c>
      <c r="AD34" s="8">
        <f t="shared" si="10"/>
        <v>-0.37211194412533988</v>
      </c>
    </row>
    <row r="35" spans="1:30" x14ac:dyDescent="0.3">
      <c r="A35" t="s">
        <v>60</v>
      </c>
      <c r="B35" s="11">
        <v>2023</v>
      </c>
      <c r="C35" s="12">
        <v>73.353999999999999</v>
      </c>
      <c r="D35" s="12">
        <v>5537.2860000000001</v>
      </c>
      <c r="E35" s="12">
        <v>2740.1619999999998</v>
      </c>
      <c r="F35" s="12">
        <v>909.00300000000004</v>
      </c>
      <c r="G35" s="12">
        <v>8277.4480000000003</v>
      </c>
      <c r="H35" s="12">
        <v>4855.8919999999998</v>
      </c>
      <c r="I35" s="12">
        <v>3421.5569999999998</v>
      </c>
      <c r="J35" s="12">
        <v>4530.16</v>
      </c>
      <c r="K35" s="5">
        <v>3.2528928266766205E-2</v>
      </c>
      <c r="L35" s="5">
        <v>5.0464307361874884E-2</v>
      </c>
      <c r="M35" s="8">
        <v>9.3200000000000005E-2</v>
      </c>
      <c r="N35" s="12">
        <v>23787.319166666701</v>
      </c>
      <c r="O35" s="3">
        <f t="shared" si="0"/>
        <v>21</v>
      </c>
      <c r="P35" s="13">
        <v>2003</v>
      </c>
      <c r="Q35" s="14">
        <v>139.74</v>
      </c>
      <c r="R35" s="14">
        <v>183.07</v>
      </c>
      <c r="S35" s="4">
        <f t="shared" si="1"/>
        <v>18.15720751816248</v>
      </c>
      <c r="T35" s="8">
        <f t="shared" si="2"/>
        <v>2.1438777726046944E-2</v>
      </c>
      <c r="U35" s="8">
        <f t="shared" si="3"/>
        <v>8.8619100959619439E-3</v>
      </c>
      <c r="V35" s="9">
        <f t="shared" si="4"/>
        <v>1.4192053500789261</v>
      </c>
      <c r="W35">
        <f t="shared" si="5"/>
        <v>1.2223157680964911</v>
      </c>
      <c r="X35">
        <f t="shared" si="6"/>
        <v>8.4165915799368332</v>
      </c>
      <c r="Y35" s="8">
        <f t="shared" si="7"/>
        <v>0.10981681793712265</v>
      </c>
      <c r="Z35" s="8">
        <f t="shared" si="8"/>
        <v>5.8759682244523548E-2</v>
      </c>
      <c r="AA35" s="10">
        <f t="shared" si="9"/>
        <v>6.06710717332338E-2</v>
      </c>
      <c r="AB35" s="12">
        <v>7224.1450000000004</v>
      </c>
      <c r="AC35" s="12">
        <v>7936.9290000000001</v>
      </c>
      <c r="AD35" s="8">
        <f t="shared" si="10"/>
        <v>-8.9806019431445033E-2</v>
      </c>
    </row>
    <row r="36" spans="1:30" x14ac:dyDescent="0.3">
      <c r="A36" t="s">
        <v>61</v>
      </c>
      <c r="B36" s="11">
        <v>2023</v>
      </c>
      <c r="C36" s="12">
        <v>135.184</v>
      </c>
      <c r="D36" s="12">
        <v>6964.1360000000004</v>
      </c>
      <c r="E36" s="12">
        <v>5426.8779999999997</v>
      </c>
      <c r="F36" s="12">
        <v>2582.1799999999998</v>
      </c>
      <c r="G36" s="12">
        <v>12391.013999999999</v>
      </c>
      <c r="H36" s="12">
        <v>5277.0950000000003</v>
      </c>
      <c r="I36" s="12">
        <v>7113.92</v>
      </c>
      <c r="J36" s="12">
        <v>4214.0600000000004</v>
      </c>
      <c r="K36" s="5">
        <v>3.2528928266766205E-2</v>
      </c>
      <c r="L36" s="5">
        <v>5.0464307361874884E-2</v>
      </c>
      <c r="M36" s="8">
        <v>9.3200000000000005E-2</v>
      </c>
      <c r="N36" s="12">
        <v>23787.319166666701</v>
      </c>
      <c r="O36" s="3">
        <f t="shared" si="0"/>
        <v>31</v>
      </c>
      <c r="P36" s="13">
        <v>1993</v>
      </c>
      <c r="Q36" s="14">
        <v>139.74</v>
      </c>
      <c r="R36" s="14">
        <v>183.07</v>
      </c>
      <c r="S36" s="4">
        <f t="shared" si="1"/>
        <v>18.15720751816248</v>
      </c>
      <c r="T36" s="8">
        <f t="shared" si="2"/>
        <v>1.9002743916153118E-2</v>
      </c>
      <c r="U36" s="8">
        <f t="shared" si="3"/>
        <v>1.0909841599727028E-2</v>
      </c>
      <c r="V36" s="9">
        <f t="shared" si="4"/>
        <v>0.74179847397777876</v>
      </c>
      <c r="W36">
        <f t="shared" si="5"/>
        <v>1.6525953593446698</v>
      </c>
      <c r="X36">
        <f t="shared" si="6"/>
        <v>8.8200284040933354</v>
      </c>
      <c r="Y36" s="8">
        <f t="shared" si="7"/>
        <v>0.20839133907846444</v>
      </c>
      <c r="Z36" s="8">
        <f t="shared" si="8"/>
        <v>5.8759682244523548E-2</v>
      </c>
      <c r="AA36" s="10">
        <f t="shared" si="9"/>
        <v>6.06710717332338E-2</v>
      </c>
      <c r="AB36" s="12">
        <v>8905.5349999999999</v>
      </c>
      <c r="AC36" s="12">
        <v>12787.155000000001</v>
      </c>
      <c r="AD36" s="8">
        <f t="shared" si="10"/>
        <v>-0.30355618587559163</v>
      </c>
    </row>
    <row r="37" spans="1:30" x14ac:dyDescent="0.3">
      <c r="A37" t="s">
        <v>62</v>
      </c>
      <c r="B37" s="11">
        <v>2023</v>
      </c>
      <c r="C37" s="12">
        <v>9.8149999999999995</v>
      </c>
      <c r="D37" s="12">
        <v>663.04700000000003</v>
      </c>
      <c r="E37" s="12">
        <v>216.358</v>
      </c>
      <c r="F37" s="12">
        <v>196.601</v>
      </c>
      <c r="G37" s="12">
        <v>879.404</v>
      </c>
      <c r="H37" s="12">
        <v>238.36199999999999</v>
      </c>
      <c r="I37" s="12">
        <v>641.04300000000001</v>
      </c>
      <c r="J37" s="12">
        <v>234.28</v>
      </c>
      <c r="K37" s="5">
        <v>3.2528928266766205E-2</v>
      </c>
      <c r="L37" s="5">
        <v>5.0464307361874884E-2</v>
      </c>
      <c r="M37" s="8">
        <v>9.3200000000000005E-2</v>
      </c>
      <c r="N37" s="12">
        <v>23787.319166666701</v>
      </c>
      <c r="O37" s="3">
        <f t="shared" si="0"/>
        <v>23</v>
      </c>
      <c r="P37" s="13">
        <v>2001</v>
      </c>
      <c r="Q37" s="14">
        <v>139.74</v>
      </c>
      <c r="R37" s="14">
        <v>183.07</v>
      </c>
      <c r="S37" s="4">
        <f t="shared" si="1"/>
        <v>18.15720751816248</v>
      </c>
      <c r="T37" s="8">
        <f t="shared" si="2"/>
        <v>1.5310985378515949E-2</v>
      </c>
      <c r="U37" s="8">
        <f t="shared" si="3"/>
        <v>1.1160968110220102E-2</v>
      </c>
      <c r="V37" s="9">
        <f t="shared" si="4"/>
        <v>0.37183465071765853</v>
      </c>
      <c r="W37">
        <f t="shared" si="5"/>
        <v>2.8301476865289397</v>
      </c>
      <c r="X37">
        <f t="shared" si="6"/>
        <v>6.1745459979173667</v>
      </c>
      <c r="Y37" s="8">
        <f t="shared" si="7"/>
        <v>0.2235616394740074</v>
      </c>
      <c r="Z37" s="8">
        <f t="shared" si="8"/>
        <v>5.8759682244523548E-2</v>
      </c>
      <c r="AA37" s="10">
        <f t="shared" si="9"/>
        <v>6.06710717332338E-2</v>
      </c>
      <c r="AB37" s="12">
        <v>493.67899999999997</v>
      </c>
      <c r="AC37" s="12">
        <v>598.97500000000002</v>
      </c>
      <c r="AD37" s="8">
        <f t="shared" si="10"/>
        <v>-0.17579364748111365</v>
      </c>
    </row>
    <row r="38" spans="1:30" x14ac:dyDescent="0.3">
      <c r="A38" t="s">
        <v>63</v>
      </c>
      <c r="B38" s="11">
        <v>2023</v>
      </c>
      <c r="C38" s="12">
        <v>28.617999999999999</v>
      </c>
      <c r="D38" s="12">
        <v>230.00299999999999</v>
      </c>
      <c r="E38" s="12">
        <v>102.133</v>
      </c>
      <c r="F38" s="12">
        <v>75.078000000000003</v>
      </c>
      <c r="G38" s="12">
        <v>332.13600000000002</v>
      </c>
      <c r="H38" s="12">
        <v>110.38800000000001</v>
      </c>
      <c r="I38" s="12">
        <v>221.749</v>
      </c>
      <c r="J38" s="12">
        <v>107.75</v>
      </c>
      <c r="K38" s="5">
        <v>3.2528928266766205E-2</v>
      </c>
      <c r="L38" s="5">
        <v>5.0464307361874884E-2</v>
      </c>
      <c r="M38" s="8">
        <v>9.3200000000000005E-2</v>
      </c>
      <c r="N38" s="12">
        <v>23787.319166666701</v>
      </c>
      <c r="O38" s="3">
        <f t="shared" si="0"/>
        <v>39</v>
      </c>
      <c r="P38" s="13">
        <v>1985</v>
      </c>
      <c r="Q38" s="14">
        <v>139.74</v>
      </c>
      <c r="R38" s="14">
        <v>183.07</v>
      </c>
      <c r="S38" s="4">
        <f t="shared" si="1"/>
        <v>18.15720751816248</v>
      </c>
      <c r="T38" s="8">
        <f t="shared" si="2"/>
        <v>0.12905582437801297</v>
      </c>
      <c r="U38" s="8">
        <f t="shared" si="3"/>
        <v>8.6163499289447679E-2</v>
      </c>
      <c r="V38" s="9">
        <f t="shared" si="4"/>
        <v>0.49780607804319299</v>
      </c>
      <c r="W38">
        <f t="shared" si="5"/>
        <v>2.134598607888631</v>
      </c>
      <c r="X38">
        <f t="shared" si="6"/>
        <v>5.2008461162169066</v>
      </c>
      <c r="Y38" s="8">
        <f t="shared" si="7"/>
        <v>0.22604595707782354</v>
      </c>
      <c r="Z38" s="8">
        <f t="shared" si="8"/>
        <v>5.8759682244523548E-2</v>
      </c>
      <c r="AA38" s="10">
        <f t="shared" si="9"/>
        <v>6.06710717332338E-2</v>
      </c>
      <c r="AB38" s="12">
        <v>431.52</v>
      </c>
      <c r="AC38" s="12">
        <v>509.84800000000001</v>
      </c>
      <c r="AD38" s="8">
        <f t="shared" si="10"/>
        <v>-0.1536301015204532</v>
      </c>
    </row>
    <row r="39" spans="1:30" x14ac:dyDescent="0.3">
      <c r="A39" t="s">
        <v>64</v>
      </c>
      <c r="B39" s="11">
        <v>2023</v>
      </c>
      <c r="C39" s="12">
        <v>190.041</v>
      </c>
      <c r="D39" s="12">
        <v>824.47799999999995</v>
      </c>
      <c r="E39" s="12">
        <v>481.55799999999999</v>
      </c>
      <c r="F39" s="12">
        <v>418.69</v>
      </c>
      <c r="G39" s="12">
        <v>1306.037</v>
      </c>
      <c r="H39" s="12">
        <v>423.70100000000002</v>
      </c>
      <c r="I39" s="12">
        <v>882.33500000000004</v>
      </c>
      <c r="J39" s="12">
        <v>415.66</v>
      </c>
      <c r="K39" s="5">
        <v>3.2528928266766205E-2</v>
      </c>
      <c r="L39" s="5">
        <v>5.0464307361874884E-2</v>
      </c>
      <c r="M39" s="8">
        <v>9.3200000000000005E-2</v>
      </c>
      <c r="N39" s="12">
        <v>23787.319166666701</v>
      </c>
      <c r="O39" s="3">
        <f t="shared" si="0"/>
        <v>52</v>
      </c>
      <c r="P39" s="13">
        <v>1972</v>
      </c>
      <c r="Q39" s="14">
        <v>139.74</v>
      </c>
      <c r="R39" s="14">
        <v>183.07</v>
      </c>
      <c r="S39" s="4">
        <f t="shared" si="1"/>
        <v>18.15720751816248</v>
      </c>
      <c r="T39" s="8">
        <f t="shared" si="2"/>
        <v>0.21538417947831603</v>
      </c>
      <c r="U39" s="8">
        <f t="shared" si="3"/>
        <v>0.14550966013979696</v>
      </c>
      <c r="V39" s="9">
        <f t="shared" si="4"/>
        <v>0.48020423081935998</v>
      </c>
      <c r="W39">
        <f t="shared" si="5"/>
        <v>1.9835394312659382</v>
      </c>
      <c r="X39">
        <f t="shared" si="6"/>
        <v>6.5700542328412457</v>
      </c>
      <c r="Y39" s="8">
        <f t="shared" si="7"/>
        <v>0.32058050422767503</v>
      </c>
      <c r="Z39" s="8">
        <f t="shared" si="8"/>
        <v>5.8759682244523548E-2</v>
      </c>
      <c r="AA39" s="10">
        <f t="shared" si="9"/>
        <v>6.06710717332338E-2</v>
      </c>
      <c r="AB39" s="12">
        <v>2891.076</v>
      </c>
      <c r="AC39" s="12">
        <v>2858.2190000000001</v>
      </c>
      <c r="AD39" s="8">
        <f t="shared" si="10"/>
        <v>1.1495620174661204E-2</v>
      </c>
    </row>
    <row r="40" spans="1:30" x14ac:dyDescent="0.3">
      <c r="A40" t="s">
        <v>65</v>
      </c>
      <c r="B40" s="11">
        <v>2023</v>
      </c>
      <c r="C40" s="12">
        <v>79.736000000000004</v>
      </c>
      <c r="D40" s="12">
        <v>1293.6210000000001</v>
      </c>
      <c r="E40" s="12">
        <v>1421.3430000000001</v>
      </c>
      <c r="F40" s="12">
        <v>914.35799999999995</v>
      </c>
      <c r="G40" s="12">
        <v>2714.9639999999999</v>
      </c>
      <c r="H40" s="12">
        <v>1009.319</v>
      </c>
      <c r="I40" s="12">
        <v>1705.646</v>
      </c>
      <c r="J40" s="12">
        <v>949.3</v>
      </c>
      <c r="K40" s="5">
        <v>3.2528928266766205E-2</v>
      </c>
      <c r="L40" s="5">
        <v>5.0464307361874884E-2</v>
      </c>
      <c r="M40" s="8">
        <v>9.3200000000000005E-2</v>
      </c>
      <c r="N40" s="12">
        <v>23787.319166666701</v>
      </c>
      <c r="O40" s="3">
        <f t="shared" si="0"/>
        <v>44</v>
      </c>
      <c r="P40" s="13">
        <v>1980</v>
      </c>
      <c r="Q40" s="14">
        <v>139.74</v>
      </c>
      <c r="R40" s="14">
        <v>183.07</v>
      </c>
      <c r="S40" s="4">
        <f t="shared" si="1"/>
        <v>18.15720751816248</v>
      </c>
      <c r="T40" s="8">
        <f t="shared" si="2"/>
        <v>4.6748270156878984E-2</v>
      </c>
      <c r="U40" s="8">
        <f t="shared" si="3"/>
        <v>2.9369081873645474E-2</v>
      </c>
      <c r="V40" s="9">
        <f t="shared" si="4"/>
        <v>0.59175174684547671</v>
      </c>
      <c r="W40">
        <f t="shared" si="5"/>
        <v>1.3627104182028864</v>
      </c>
      <c r="X40">
        <f t="shared" si="6"/>
        <v>7.3018355652367859</v>
      </c>
      <c r="Y40" s="8">
        <f t="shared" si="7"/>
        <v>0.33678457614907598</v>
      </c>
      <c r="Z40" s="8">
        <f t="shared" si="8"/>
        <v>5.8759682244523548E-2</v>
      </c>
      <c r="AA40" s="10">
        <f t="shared" si="9"/>
        <v>6.06710717332338E-2</v>
      </c>
      <c r="AB40" s="12">
        <v>2207.317</v>
      </c>
      <c r="AC40" s="12">
        <v>1918.5150000000001</v>
      </c>
      <c r="AD40" s="8">
        <f t="shared" si="10"/>
        <v>0.15053413707998106</v>
      </c>
    </row>
    <row r="41" spans="1:30" x14ac:dyDescent="0.3">
      <c r="A41" t="s">
        <v>66</v>
      </c>
      <c r="B41" s="11">
        <v>2023</v>
      </c>
      <c r="C41" s="12">
        <v>374.41699999999997</v>
      </c>
      <c r="D41" s="12">
        <v>2077.665</v>
      </c>
      <c r="E41" s="12">
        <v>528.39800000000002</v>
      </c>
      <c r="F41" s="12">
        <v>392.57799999999997</v>
      </c>
      <c r="G41" s="12">
        <v>2606.0630000000001</v>
      </c>
      <c r="H41" s="12">
        <v>278.80799999999999</v>
      </c>
      <c r="I41" s="12">
        <v>2327.2550000000001</v>
      </c>
      <c r="J41" s="12">
        <v>274.45999999999998</v>
      </c>
      <c r="K41" s="5">
        <v>3.2528928266766205E-2</v>
      </c>
      <c r="L41" s="5">
        <v>5.0464307361874884E-2</v>
      </c>
      <c r="M41" s="8">
        <v>9.3200000000000005E-2</v>
      </c>
      <c r="N41" s="12">
        <v>23787.319166666701</v>
      </c>
      <c r="O41" s="3">
        <f t="shared" si="0"/>
        <v>66</v>
      </c>
      <c r="P41" s="13">
        <v>1958</v>
      </c>
      <c r="Q41" s="14">
        <v>139.74</v>
      </c>
      <c r="R41" s="14">
        <v>183.07</v>
      </c>
      <c r="S41" s="4">
        <f t="shared" si="1"/>
        <v>18.15720751816248</v>
      </c>
      <c r="T41" s="8">
        <f t="shared" si="2"/>
        <v>0.16088353016751492</v>
      </c>
      <c r="U41" s="8">
        <f t="shared" si="3"/>
        <v>0.14367150755756863</v>
      </c>
      <c r="V41" s="9">
        <f t="shared" si="4"/>
        <v>0.11980122504839391</v>
      </c>
      <c r="W41">
        <f t="shared" si="5"/>
        <v>7.5700102018509074</v>
      </c>
      <c r="X41">
        <f t="shared" si="6"/>
        <v>7.2608975249985619</v>
      </c>
      <c r="Y41" s="8">
        <f t="shared" si="7"/>
        <v>0.1506402569699965</v>
      </c>
      <c r="Z41" s="8">
        <f t="shared" si="8"/>
        <v>5.8759682244523548E-2</v>
      </c>
      <c r="AA41" s="10">
        <f t="shared" si="9"/>
        <v>6.06710717332338E-2</v>
      </c>
      <c r="AB41" s="12">
        <v>3137.4679999999998</v>
      </c>
      <c r="AC41" s="12">
        <v>3134.4789999999998</v>
      </c>
      <c r="AD41" s="8">
        <f t="shared" si="10"/>
        <v>9.5358750210163565E-4</v>
      </c>
    </row>
    <row r="42" spans="1:30" x14ac:dyDescent="0.3">
      <c r="A42" t="s">
        <v>67</v>
      </c>
      <c r="B42" s="11">
        <v>2023</v>
      </c>
      <c r="C42" s="12">
        <v>245.245</v>
      </c>
      <c r="D42" s="12">
        <v>2552.5940000000001</v>
      </c>
      <c r="E42" s="12">
        <v>900.495</v>
      </c>
      <c r="F42" s="12">
        <v>773.81899999999996</v>
      </c>
      <c r="G42" s="12">
        <v>3453.0889999999999</v>
      </c>
      <c r="H42" s="12">
        <v>1643.3340000000001</v>
      </c>
      <c r="I42" s="12">
        <v>1809.7550000000001</v>
      </c>
      <c r="J42" s="12">
        <v>1335.42</v>
      </c>
      <c r="K42" s="5">
        <v>3.2528928266766205E-2</v>
      </c>
      <c r="L42" s="5">
        <v>5.0464307361874884E-2</v>
      </c>
      <c r="M42" s="8">
        <v>9.3200000000000005E-2</v>
      </c>
      <c r="N42" s="12">
        <v>23787.319166666701</v>
      </c>
      <c r="O42" s="3">
        <f t="shared" si="0"/>
        <v>36</v>
      </c>
      <c r="P42" s="13">
        <v>1988</v>
      </c>
      <c r="Q42" s="14">
        <v>139.74</v>
      </c>
      <c r="R42" s="14">
        <v>183.07</v>
      </c>
      <c r="S42" s="4">
        <f t="shared" si="1"/>
        <v>18.15720751816248</v>
      </c>
      <c r="T42" s="8">
        <f t="shared" si="2"/>
        <v>0.13551281803338019</v>
      </c>
      <c r="U42" s="8">
        <f t="shared" si="3"/>
        <v>7.1021916898174359E-2</v>
      </c>
      <c r="V42" s="9">
        <f t="shared" si="4"/>
        <v>0.90804224881268458</v>
      </c>
      <c r="W42">
        <f t="shared" si="5"/>
        <v>1.9114540743736053</v>
      </c>
      <c r="X42">
        <f t="shared" si="6"/>
        <v>7.5423260643716752</v>
      </c>
      <c r="Y42" s="8">
        <f t="shared" si="7"/>
        <v>0.22409471635396597</v>
      </c>
      <c r="Z42" s="8">
        <f t="shared" si="8"/>
        <v>5.8759682244523548E-2</v>
      </c>
      <c r="AA42" s="10">
        <f t="shared" si="9"/>
        <v>6.06710717332338E-2</v>
      </c>
      <c r="AB42" s="12">
        <v>4541.9170000000004</v>
      </c>
      <c r="AC42" s="12">
        <v>5522.915</v>
      </c>
      <c r="AD42" s="8">
        <f t="shared" si="10"/>
        <v>-0.17762322976181955</v>
      </c>
    </row>
    <row r="43" spans="1:30" x14ac:dyDescent="0.3">
      <c r="A43" t="s">
        <v>68</v>
      </c>
      <c r="B43" s="11">
        <v>2023</v>
      </c>
      <c r="C43" s="12">
        <v>1869.9269999999999</v>
      </c>
      <c r="D43" s="12">
        <v>43763.476999999999</v>
      </c>
      <c r="E43" s="12">
        <v>103619.995</v>
      </c>
      <c r="F43" s="12">
        <v>42885.822999999997</v>
      </c>
      <c r="G43" s="12">
        <v>147383.47200000001</v>
      </c>
      <c r="H43" s="12">
        <v>109146.231</v>
      </c>
      <c r="I43" s="12">
        <v>38237.241000000002</v>
      </c>
      <c r="J43" s="12">
        <v>50422.5</v>
      </c>
      <c r="K43" s="5">
        <v>3.2528928266766205E-2</v>
      </c>
      <c r="L43" s="5">
        <v>5.0464307361874884E-2</v>
      </c>
      <c r="M43" s="8">
        <v>9.3200000000000005E-2</v>
      </c>
      <c r="N43" s="12">
        <v>23787.319166666701</v>
      </c>
      <c r="O43" s="3">
        <f t="shared" si="0"/>
        <v>20</v>
      </c>
      <c r="P43" s="13">
        <v>2004</v>
      </c>
      <c r="Q43" s="14">
        <v>139.74</v>
      </c>
      <c r="R43" s="14">
        <v>183.07</v>
      </c>
      <c r="S43" s="4">
        <f t="shared" si="1"/>
        <v>18.15720751816248</v>
      </c>
      <c r="T43" s="8">
        <f t="shared" si="2"/>
        <v>4.8903292996479525E-2</v>
      </c>
      <c r="U43" s="8">
        <f t="shared" si="3"/>
        <v>1.268749456519792E-2</v>
      </c>
      <c r="V43" s="9">
        <f t="shared" si="4"/>
        <v>2.8544483897256079</v>
      </c>
      <c r="W43">
        <f t="shared" si="5"/>
        <v>0.86793548515047847</v>
      </c>
      <c r="X43">
        <f t="shared" si="6"/>
        <v>11.296094714817672</v>
      </c>
      <c r="Y43" s="8">
        <f t="shared" si="7"/>
        <v>0.29098122345767508</v>
      </c>
      <c r="Z43" s="8">
        <f t="shared" si="8"/>
        <v>5.8759682244523548E-2</v>
      </c>
      <c r="AA43" s="10">
        <f t="shared" si="9"/>
        <v>6.06710717332338E-2</v>
      </c>
      <c r="AB43" s="12">
        <v>78516.998999999996</v>
      </c>
      <c r="AC43" s="12">
        <v>76380.75</v>
      </c>
      <c r="AD43" s="8">
        <f t="shared" si="10"/>
        <v>2.7968421362712412E-2</v>
      </c>
    </row>
    <row r="44" spans="1:30" x14ac:dyDescent="0.3">
      <c r="A44" t="s">
        <v>69</v>
      </c>
      <c r="B44" s="11">
        <v>2023</v>
      </c>
      <c r="C44" s="12">
        <v>109.929</v>
      </c>
      <c r="D44" s="12">
        <v>1016.6420000000001</v>
      </c>
      <c r="E44" s="12">
        <v>1026.5940000000001</v>
      </c>
      <c r="F44" s="12">
        <v>664.05</v>
      </c>
      <c r="G44" s="12">
        <v>2043.2349999999999</v>
      </c>
      <c r="H44" s="12">
        <v>1055.2729999999999</v>
      </c>
      <c r="I44" s="12">
        <v>987.96199999999999</v>
      </c>
      <c r="J44" s="12">
        <v>964.51</v>
      </c>
      <c r="K44" s="5">
        <v>3.2528928266766205E-2</v>
      </c>
      <c r="L44" s="5">
        <v>5.0464307361874884E-2</v>
      </c>
      <c r="M44" s="8">
        <v>9.3200000000000005E-2</v>
      </c>
      <c r="N44" s="12">
        <v>23787.319166666701</v>
      </c>
      <c r="O44" s="3">
        <f t="shared" si="0"/>
        <v>29</v>
      </c>
      <c r="P44" s="13">
        <v>1995</v>
      </c>
      <c r="Q44" s="14">
        <v>139.74</v>
      </c>
      <c r="R44" s="14">
        <v>183.07</v>
      </c>
      <c r="S44" s="4">
        <f t="shared" si="1"/>
        <v>18.15720751816248</v>
      </c>
      <c r="T44" s="8">
        <f t="shared" si="2"/>
        <v>0.11126844959623954</v>
      </c>
      <c r="U44" s="8">
        <f t="shared" si="3"/>
        <v>5.3801447214833341E-2</v>
      </c>
      <c r="V44" s="9">
        <f t="shared" si="4"/>
        <v>1.0681311629394652</v>
      </c>
      <c r="W44">
        <f t="shared" si="5"/>
        <v>1.0540502431286354</v>
      </c>
      <c r="X44">
        <f t="shared" si="6"/>
        <v>7.0175912077488958</v>
      </c>
      <c r="Y44" s="8">
        <f t="shared" si="7"/>
        <v>0.32499932704754958</v>
      </c>
      <c r="Z44" s="8">
        <f t="shared" si="8"/>
        <v>5.8759682244523548E-2</v>
      </c>
      <c r="AA44" s="10">
        <f t="shared" si="9"/>
        <v>6.06710717332338E-2</v>
      </c>
      <c r="AB44" s="12">
        <v>1754.5540000000001</v>
      </c>
      <c r="AC44" s="12">
        <v>1817.8109999999999</v>
      </c>
      <c r="AD44" s="8">
        <f t="shared" si="10"/>
        <v>-3.4798447143294782E-2</v>
      </c>
    </row>
    <row r="45" spans="1:30" x14ac:dyDescent="0.3">
      <c r="A45" t="s">
        <v>70</v>
      </c>
      <c r="B45" s="11">
        <v>2023</v>
      </c>
      <c r="C45" s="12">
        <v>-20.399999999999999</v>
      </c>
      <c r="D45" s="12">
        <v>174.23699999999999</v>
      </c>
      <c r="E45" s="12">
        <v>424.97699999999998</v>
      </c>
      <c r="F45" s="12">
        <v>228.20099999999999</v>
      </c>
      <c r="G45" s="12">
        <v>599.21400000000006</v>
      </c>
      <c r="H45" s="12">
        <v>219.61</v>
      </c>
      <c r="I45" s="12">
        <v>379.60300000000001</v>
      </c>
      <c r="J45" s="12">
        <v>172.22</v>
      </c>
      <c r="K45" s="5">
        <v>3.2528928266766205E-2</v>
      </c>
      <c r="L45" s="5">
        <v>5.0464307361874884E-2</v>
      </c>
      <c r="M45" s="8">
        <v>9.3200000000000005E-2</v>
      </c>
      <c r="N45" s="12">
        <v>23787.319166666701</v>
      </c>
      <c r="O45" s="3">
        <f t="shared" si="0"/>
        <v>31</v>
      </c>
      <c r="P45" s="13">
        <v>1993</v>
      </c>
      <c r="Q45" s="14">
        <v>139.74</v>
      </c>
      <c r="R45" s="14">
        <v>183.07</v>
      </c>
      <c r="S45" s="4">
        <f t="shared" si="1"/>
        <v>18.15720751816248</v>
      </c>
      <c r="T45" s="8">
        <f t="shared" si="2"/>
        <v>-5.3740355055149715E-2</v>
      </c>
      <c r="U45" s="8">
        <f t="shared" si="3"/>
        <v>-3.4044598423935347E-2</v>
      </c>
      <c r="V45" s="9">
        <f t="shared" si="4"/>
        <v>0.57852545949320744</v>
      </c>
      <c r="W45">
        <f t="shared" si="5"/>
        <v>1.0117117640227615</v>
      </c>
      <c r="X45">
        <f t="shared" si="6"/>
        <v>5.7909203890412142</v>
      </c>
      <c r="Y45" s="8">
        <f t="shared" si="7"/>
        <v>0.38083389239904269</v>
      </c>
      <c r="Z45" s="8">
        <f t="shared" si="8"/>
        <v>5.8759682244523548E-2</v>
      </c>
      <c r="AA45" s="10">
        <f t="shared" si="9"/>
        <v>6.06710717332338E-2</v>
      </c>
      <c r="AB45" s="12">
        <v>313.28100000000001</v>
      </c>
      <c r="AC45" s="12">
        <v>884.08299999999997</v>
      </c>
      <c r="AD45" s="8">
        <f t="shared" si="10"/>
        <v>-0.64564299958261828</v>
      </c>
    </row>
    <row r="46" spans="1:30" x14ac:dyDescent="0.3">
      <c r="A46" t="s">
        <v>71</v>
      </c>
      <c r="B46" s="11">
        <v>2023</v>
      </c>
      <c r="C46" s="12">
        <v>230.12899999999999</v>
      </c>
      <c r="D46" s="12">
        <v>1366.0160000000001</v>
      </c>
      <c r="E46" s="12">
        <v>855.149</v>
      </c>
      <c r="F46" s="12">
        <v>742.94299999999998</v>
      </c>
      <c r="G46" s="12">
        <v>2221.165</v>
      </c>
      <c r="H46" s="12">
        <v>775.03</v>
      </c>
      <c r="I46" s="12">
        <v>1446.135</v>
      </c>
      <c r="J46" s="12">
        <v>742.91</v>
      </c>
      <c r="K46" s="5">
        <v>3.2528928266766205E-2</v>
      </c>
      <c r="L46" s="5">
        <v>5.0464307361874884E-2</v>
      </c>
      <c r="M46" s="8">
        <v>9.3200000000000005E-2</v>
      </c>
      <c r="N46" s="12">
        <v>23787.319166666701</v>
      </c>
      <c r="O46" s="3">
        <f t="shared" si="0"/>
        <v>56</v>
      </c>
      <c r="P46" s="13">
        <v>1968</v>
      </c>
      <c r="Q46" s="14">
        <v>139.74</v>
      </c>
      <c r="R46" s="14">
        <v>183.07</v>
      </c>
      <c r="S46" s="4">
        <f t="shared" si="1"/>
        <v>18.15720751816248</v>
      </c>
      <c r="T46" s="8">
        <f t="shared" si="2"/>
        <v>0.15913382913766694</v>
      </c>
      <c r="U46" s="8">
        <f t="shared" si="3"/>
        <v>0.10360734119257237</v>
      </c>
      <c r="V46" s="9">
        <f t="shared" si="4"/>
        <v>0.5359319842200071</v>
      </c>
      <c r="W46">
        <f t="shared" si="5"/>
        <v>1.8387368591081021</v>
      </c>
      <c r="X46">
        <f t="shared" si="6"/>
        <v>7.101088704620139</v>
      </c>
      <c r="Y46" s="8">
        <f t="shared" si="7"/>
        <v>0.33448348051585541</v>
      </c>
      <c r="Z46" s="8">
        <f t="shared" si="8"/>
        <v>5.8759682244523548E-2</v>
      </c>
      <c r="AA46" s="10">
        <f t="shared" si="9"/>
        <v>6.06710717332338E-2</v>
      </c>
      <c r="AB46" s="12">
        <v>2206.4769999999999</v>
      </c>
      <c r="AC46" s="12">
        <v>2030.6679999999999</v>
      </c>
      <c r="AD46" s="8">
        <f t="shared" si="10"/>
        <v>8.657692936511531E-2</v>
      </c>
    </row>
    <row r="47" spans="1:30" x14ac:dyDescent="0.3">
      <c r="A47" t="s">
        <v>72</v>
      </c>
      <c r="B47" s="11">
        <v>2023</v>
      </c>
      <c r="C47" s="12">
        <v>817.11699999999996</v>
      </c>
      <c r="D47" s="12">
        <v>14280.779</v>
      </c>
      <c r="E47" s="12">
        <v>5907.3620000000001</v>
      </c>
      <c r="F47" s="12">
        <v>4122.1350000000002</v>
      </c>
      <c r="G47" s="12">
        <v>20188.141</v>
      </c>
      <c r="H47" s="12">
        <v>11844.691999999999</v>
      </c>
      <c r="I47" s="12">
        <v>8343.4480000000003</v>
      </c>
      <c r="J47" s="12">
        <v>10865.68</v>
      </c>
      <c r="K47" s="5">
        <v>3.2528928266766205E-2</v>
      </c>
      <c r="L47" s="5">
        <v>5.0464307361874884E-2</v>
      </c>
      <c r="M47" s="8">
        <v>9.3200000000000005E-2</v>
      </c>
      <c r="N47" s="12">
        <v>23787.319166666701</v>
      </c>
      <c r="O47" s="3">
        <f t="shared" si="0"/>
        <v>26</v>
      </c>
      <c r="P47" s="13">
        <v>1998</v>
      </c>
      <c r="Q47" s="14">
        <v>139.74</v>
      </c>
      <c r="R47" s="14">
        <v>183.07</v>
      </c>
      <c r="S47" s="4">
        <f t="shared" si="1"/>
        <v>18.15720751816248</v>
      </c>
      <c r="T47" s="8">
        <f t="shared" si="2"/>
        <v>9.7935170207808564E-2</v>
      </c>
      <c r="U47" s="8">
        <f t="shared" si="3"/>
        <v>4.0475098722561921E-2</v>
      </c>
      <c r="V47" s="9">
        <f t="shared" si="4"/>
        <v>1.4196399378290605</v>
      </c>
      <c r="W47">
        <f t="shared" si="5"/>
        <v>1.314301451910971</v>
      </c>
      <c r="X47">
        <f t="shared" si="6"/>
        <v>9.308152224408067</v>
      </c>
      <c r="Y47" s="8">
        <f t="shared" si="7"/>
        <v>0.2041859624420099</v>
      </c>
      <c r="Z47" s="8">
        <f t="shared" si="8"/>
        <v>5.8759682244523548E-2</v>
      </c>
      <c r="AA47" s="10">
        <f t="shared" si="9"/>
        <v>6.06710717332338E-2</v>
      </c>
      <c r="AB47" s="12">
        <v>13716.602000000001</v>
      </c>
      <c r="AC47" s="12">
        <v>14094.611000000001</v>
      </c>
      <c r="AD47" s="8">
        <f t="shared" si="10"/>
        <v>-2.6819399272530471E-2</v>
      </c>
    </row>
    <row r="48" spans="1:30" x14ac:dyDescent="0.3">
      <c r="A48" t="s">
        <v>73</v>
      </c>
      <c r="B48" s="11">
        <v>2023</v>
      </c>
      <c r="C48" s="12">
        <v>1971.0989999999999</v>
      </c>
      <c r="D48" s="12">
        <v>12958.118</v>
      </c>
      <c r="E48" s="12">
        <v>1469.44</v>
      </c>
      <c r="F48" s="12">
        <v>882.71500000000003</v>
      </c>
      <c r="G48" s="12">
        <v>14427.558000000001</v>
      </c>
      <c r="H48" s="12">
        <v>4621.3770000000004</v>
      </c>
      <c r="I48" s="12">
        <v>9806.1810000000005</v>
      </c>
      <c r="J48" s="12">
        <v>4611.96</v>
      </c>
      <c r="K48" s="5">
        <v>3.2528928266766205E-2</v>
      </c>
      <c r="L48" s="5">
        <v>5.0464307361874884E-2</v>
      </c>
      <c r="M48" s="8">
        <v>9.3200000000000005E-2</v>
      </c>
      <c r="N48" s="12">
        <v>23787.319166666701</v>
      </c>
      <c r="O48" s="3">
        <f t="shared" si="0"/>
        <v>36</v>
      </c>
      <c r="P48" s="13">
        <v>1988</v>
      </c>
      <c r="Q48" s="14">
        <v>139.74</v>
      </c>
      <c r="R48" s="14">
        <v>183.07</v>
      </c>
      <c r="S48" s="4">
        <f t="shared" si="1"/>
        <v>18.15720751816248</v>
      </c>
      <c r="T48" s="8">
        <f t="shared" si="2"/>
        <v>0.20100577380735679</v>
      </c>
      <c r="U48" s="8">
        <f t="shared" si="3"/>
        <v>0.13662041767567318</v>
      </c>
      <c r="V48" s="9">
        <f t="shared" si="4"/>
        <v>0.47127184374834608</v>
      </c>
      <c r="W48">
        <f t="shared" si="5"/>
        <v>2.809677013677482</v>
      </c>
      <c r="X48">
        <f t="shared" si="6"/>
        <v>8.972196999302712</v>
      </c>
      <c r="Y48" s="8">
        <f t="shared" si="7"/>
        <v>6.1182564644689005E-2</v>
      </c>
      <c r="Z48" s="8">
        <f t="shared" si="8"/>
        <v>5.8759682244523548E-2</v>
      </c>
      <c r="AA48" s="10">
        <f t="shared" si="9"/>
        <v>6.06710717332338E-2</v>
      </c>
      <c r="AB48" s="12">
        <v>33481.608999999997</v>
      </c>
      <c r="AC48" s="12">
        <v>34211.129000000001</v>
      </c>
      <c r="AD48" s="8">
        <f t="shared" si="10"/>
        <v>-2.1324055104992416E-2</v>
      </c>
    </row>
    <row r="49" spans="1:30" x14ac:dyDescent="0.3">
      <c r="A49" t="s">
        <v>74</v>
      </c>
      <c r="B49" s="11">
        <v>2023</v>
      </c>
      <c r="C49" s="12">
        <v>584.27200000000005</v>
      </c>
      <c r="D49" s="12">
        <v>7310.9</v>
      </c>
      <c r="E49" s="12">
        <v>440.78800000000001</v>
      </c>
      <c r="F49" s="12">
        <v>309.64999999999998</v>
      </c>
      <c r="G49" s="12">
        <v>7751.6880000000001</v>
      </c>
      <c r="H49" s="12">
        <v>4777.4160000000002</v>
      </c>
      <c r="I49" s="12">
        <v>2974.2719999999999</v>
      </c>
      <c r="J49" s="12">
        <v>4776.58</v>
      </c>
      <c r="K49" s="5">
        <v>3.2528928266766205E-2</v>
      </c>
      <c r="L49" s="5">
        <v>5.0464307361874884E-2</v>
      </c>
      <c r="M49" s="8">
        <v>9.3200000000000005E-2</v>
      </c>
      <c r="N49" s="12">
        <v>23787.319166666701</v>
      </c>
      <c r="O49" s="3">
        <f t="shared" si="0"/>
        <v>20</v>
      </c>
      <c r="P49" s="13">
        <v>2004</v>
      </c>
      <c r="Q49" s="14">
        <v>139.74</v>
      </c>
      <c r="R49" s="14">
        <v>183.07</v>
      </c>
      <c r="S49" s="4">
        <f t="shared" si="1"/>
        <v>18.15720751816248</v>
      </c>
      <c r="T49" s="8">
        <f t="shared" si="2"/>
        <v>0.19644202009769116</v>
      </c>
      <c r="U49" s="8">
        <f t="shared" si="3"/>
        <v>7.5373518645229273E-2</v>
      </c>
      <c r="V49" s="9">
        <f t="shared" si="4"/>
        <v>1.6062471757794849</v>
      </c>
      <c r="W49">
        <f t="shared" si="5"/>
        <v>1.53057208295475</v>
      </c>
      <c r="X49">
        <f t="shared" si="6"/>
        <v>8.3509674977077921</v>
      </c>
      <c r="Y49" s="8">
        <f t="shared" si="7"/>
        <v>3.9946138183064125E-2</v>
      </c>
      <c r="Z49" s="8">
        <f t="shared" si="8"/>
        <v>5.8759682244523548E-2</v>
      </c>
      <c r="AA49" s="10">
        <f t="shared" si="9"/>
        <v>6.06710717332338E-2</v>
      </c>
      <c r="AB49" s="12">
        <v>8330.2649999999994</v>
      </c>
      <c r="AC49" s="12">
        <v>6927.5640000000003</v>
      </c>
      <c r="AD49" s="8">
        <f t="shared" si="10"/>
        <v>0.20248113189571385</v>
      </c>
    </row>
    <row r="50" spans="1:30" x14ac:dyDescent="0.3">
      <c r="A50" t="s">
        <v>75</v>
      </c>
      <c r="B50" s="11">
        <v>2023</v>
      </c>
      <c r="C50" s="12">
        <v>4255.0529999999999</v>
      </c>
      <c r="D50" s="12">
        <v>26553.405999999999</v>
      </c>
      <c r="E50" s="12">
        <v>7503.2190000000001</v>
      </c>
      <c r="F50" s="12">
        <v>3969.7240000000002</v>
      </c>
      <c r="G50" s="12">
        <v>34056.625</v>
      </c>
      <c r="H50" s="12">
        <v>8571.4670000000006</v>
      </c>
      <c r="I50" s="12">
        <v>25485.157999999999</v>
      </c>
      <c r="J50" s="12">
        <v>8224.61</v>
      </c>
      <c r="K50" s="5">
        <v>3.2528928266766205E-2</v>
      </c>
      <c r="L50" s="5">
        <v>5.0464307361874884E-2</v>
      </c>
      <c r="M50" s="8">
        <v>9.3200000000000005E-2</v>
      </c>
      <c r="N50" s="12">
        <v>23787.319166666701</v>
      </c>
      <c r="O50" s="3">
        <f t="shared" si="0"/>
        <v>21</v>
      </c>
      <c r="P50" s="13">
        <v>2003</v>
      </c>
      <c r="Q50" s="14">
        <v>139.74</v>
      </c>
      <c r="R50" s="14">
        <v>183.07</v>
      </c>
      <c r="S50" s="4">
        <f t="shared" si="1"/>
        <v>18.15720751816248</v>
      </c>
      <c r="T50" s="8">
        <f t="shared" si="2"/>
        <v>0.16696200196208319</v>
      </c>
      <c r="U50" s="8">
        <f t="shared" si="3"/>
        <v>0.12494053653290658</v>
      </c>
      <c r="V50" s="9">
        <f t="shared" si="4"/>
        <v>0.33633171903427089</v>
      </c>
      <c r="W50">
        <f t="shared" si="5"/>
        <v>3.2285307145262809</v>
      </c>
      <c r="X50">
        <f t="shared" si="6"/>
        <v>9.8310814520906682</v>
      </c>
      <c r="Y50" s="8">
        <f t="shared" si="7"/>
        <v>0.11656246031425604</v>
      </c>
      <c r="Z50" s="8">
        <f t="shared" si="8"/>
        <v>5.8759682244523548E-2</v>
      </c>
      <c r="AA50" s="10">
        <f t="shared" si="9"/>
        <v>6.06710717332338E-2</v>
      </c>
      <c r="AB50" s="12">
        <v>30706.76</v>
      </c>
      <c r="AC50" s="12">
        <v>35235.898999999998</v>
      </c>
      <c r="AD50" s="8">
        <f t="shared" si="10"/>
        <v>-0.12853763146500105</v>
      </c>
    </row>
    <row r="51" spans="1:30" x14ac:dyDescent="0.3">
      <c r="A51" t="s">
        <v>76</v>
      </c>
      <c r="B51" s="11">
        <v>2023</v>
      </c>
      <c r="C51" s="12">
        <v>610.173</v>
      </c>
      <c r="D51" s="12">
        <v>24204.387999999999</v>
      </c>
      <c r="E51" s="12">
        <v>9932.8279999999995</v>
      </c>
      <c r="F51" s="12">
        <v>3996.473</v>
      </c>
      <c r="G51" s="12">
        <v>34137.216</v>
      </c>
      <c r="H51" s="12">
        <v>23037.024000000001</v>
      </c>
      <c r="I51" s="12">
        <v>11100.191999999999</v>
      </c>
      <c r="J51" s="12">
        <v>20031.22</v>
      </c>
      <c r="K51" s="5">
        <v>3.2528928266766205E-2</v>
      </c>
      <c r="L51" s="5">
        <v>5.0464307361874884E-2</v>
      </c>
      <c r="M51" s="8">
        <v>9.3200000000000005E-2</v>
      </c>
      <c r="N51" s="12">
        <v>23787.319166666701</v>
      </c>
      <c r="O51" s="3">
        <f t="shared" si="0"/>
        <v>29</v>
      </c>
      <c r="P51" s="13">
        <v>1995</v>
      </c>
      <c r="Q51" s="14">
        <v>139.74</v>
      </c>
      <c r="R51" s="14">
        <v>183.07</v>
      </c>
      <c r="S51" s="4">
        <f t="shared" si="1"/>
        <v>18.15720751816248</v>
      </c>
      <c r="T51" s="8">
        <f t="shared" si="2"/>
        <v>5.4969589715204929E-2</v>
      </c>
      <c r="U51" s="8">
        <f t="shared" si="3"/>
        <v>1.7874128927209531E-2</v>
      </c>
      <c r="V51" s="9">
        <f t="shared" si="4"/>
        <v>2.0753716692468025</v>
      </c>
      <c r="W51">
        <f t="shared" si="5"/>
        <v>1.2083331918874636</v>
      </c>
      <c r="X51">
        <f t="shared" si="6"/>
        <v>9.8334450390755617</v>
      </c>
      <c r="Y51" s="8">
        <f t="shared" si="7"/>
        <v>0.11707085311233346</v>
      </c>
      <c r="Z51" s="8">
        <f t="shared" si="8"/>
        <v>5.8759682244523548E-2</v>
      </c>
      <c r="AA51" s="10">
        <f t="shared" si="9"/>
        <v>6.06710717332338E-2</v>
      </c>
      <c r="AB51" s="12">
        <v>25970.412</v>
      </c>
      <c r="AC51" s="12">
        <v>21304.458999999999</v>
      </c>
      <c r="AD51" s="8">
        <f t="shared" si="10"/>
        <v>0.2190129775179929</v>
      </c>
    </row>
    <row r="52" spans="1:30" x14ac:dyDescent="0.3">
      <c r="A52" t="s">
        <v>77</v>
      </c>
      <c r="B52" s="11">
        <v>2023</v>
      </c>
      <c r="C52" s="12">
        <v>154.27699999999999</v>
      </c>
      <c r="D52" s="12">
        <v>638.19600000000003</v>
      </c>
      <c r="E52" s="12">
        <v>378.37099999999998</v>
      </c>
      <c r="F52" s="12">
        <v>313.48599999999999</v>
      </c>
      <c r="G52" s="12">
        <v>1016.567</v>
      </c>
      <c r="H52" s="12">
        <v>418.18799999999999</v>
      </c>
      <c r="I52" s="12">
        <v>598.37800000000004</v>
      </c>
      <c r="J52" s="12">
        <v>400.97</v>
      </c>
      <c r="K52" s="5">
        <v>3.2528928266766205E-2</v>
      </c>
      <c r="L52" s="5">
        <v>5.0464307361874884E-2</v>
      </c>
      <c r="M52" s="8">
        <v>9.3200000000000005E-2</v>
      </c>
      <c r="N52" s="12">
        <v>23787.319166666701</v>
      </c>
      <c r="O52" s="3">
        <f t="shared" si="0"/>
        <v>16</v>
      </c>
      <c r="P52" s="13">
        <v>2008</v>
      </c>
      <c r="Q52" s="14">
        <v>139.74</v>
      </c>
      <c r="R52" s="14">
        <v>183.07</v>
      </c>
      <c r="S52" s="4">
        <f t="shared" si="1"/>
        <v>18.15720751816248</v>
      </c>
      <c r="T52" s="8">
        <f t="shared" si="2"/>
        <v>0.2578253211180892</v>
      </c>
      <c r="U52" s="8">
        <f t="shared" si="3"/>
        <v>0.15176274657745134</v>
      </c>
      <c r="V52" s="9">
        <f t="shared" si="4"/>
        <v>0.69886927661110532</v>
      </c>
      <c r="W52">
        <f t="shared" si="5"/>
        <v>1.5916302965309126</v>
      </c>
      <c r="X52">
        <f t="shared" si="6"/>
        <v>6.319488135966103</v>
      </c>
      <c r="Y52" s="8">
        <f t="shared" si="7"/>
        <v>0.30837711631402553</v>
      </c>
      <c r="Z52" s="8">
        <f t="shared" si="8"/>
        <v>5.8759682244523548E-2</v>
      </c>
      <c r="AA52" s="10">
        <f t="shared" si="9"/>
        <v>6.06710717332338E-2</v>
      </c>
      <c r="AB52" s="12">
        <v>1319.9349999999999</v>
      </c>
      <c r="AC52" s="12">
        <v>1387.3520000000001</v>
      </c>
      <c r="AD52" s="8">
        <f t="shared" si="10"/>
        <v>-4.859401219012921E-2</v>
      </c>
    </row>
    <row r="53" spans="1:30" x14ac:dyDescent="0.3">
      <c r="A53" t="s">
        <v>78</v>
      </c>
      <c r="B53" s="11">
        <v>2023</v>
      </c>
      <c r="C53" s="12">
        <v>29.401</v>
      </c>
      <c r="D53" s="12">
        <v>631.10299999999995</v>
      </c>
      <c r="E53" s="12">
        <v>715.73699999999997</v>
      </c>
      <c r="F53" s="12">
        <v>52.201000000000001</v>
      </c>
      <c r="G53" s="12">
        <v>1346.84</v>
      </c>
      <c r="H53" s="12">
        <v>903.49</v>
      </c>
      <c r="I53" s="12">
        <v>443.35</v>
      </c>
      <c r="J53" s="12">
        <v>621.09</v>
      </c>
      <c r="K53" s="5">
        <v>3.2528928266766205E-2</v>
      </c>
      <c r="L53" s="5">
        <v>5.0464307361874884E-2</v>
      </c>
      <c r="M53" s="8">
        <v>9.3200000000000005E-2</v>
      </c>
      <c r="N53" s="12">
        <v>23787.319166666701</v>
      </c>
      <c r="O53" s="3">
        <f t="shared" si="0"/>
        <v>64</v>
      </c>
      <c r="P53" s="13">
        <v>1960</v>
      </c>
      <c r="Q53" s="14">
        <v>139.74</v>
      </c>
      <c r="R53" s="14">
        <v>183.07</v>
      </c>
      <c r="S53" s="4">
        <f t="shared" si="1"/>
        <v>18.15720751816248</v>
      </c>
      <c r="T53" s="8">
        <f t="shared" si="2"/>
        <v>6.6315552046915527E-2</v>
      </c>
      <c r="U53" s="8">
        <f t="shared" si="3"/>
        <v>2.1829615990021086E-2</v>
      </c>
      <c r="V53" s="9">
        <f t="shared" si="4"/>
        <v>2.0378707567384682</v>
      </c>
      <c r="W53">
        <f t="shared" si="5"/>
        <v>1.0161216570867344</v>
      </c>
      <c r="X53">
        <f t="shared" si="6"/>
        <v>6.6008179795007509</v>
      </c>
      <c r="Y53" s="8">
        <f t="shared" si="7"/>
        <v>3.8758130141664938E-2</v>
      </c>
      <c r="Z53" s="8">
        <f t="shared" si="8"/>
        <v>5.8759682244523548E-2</v>
      </c>
      <c r="AA53" s="10">
        <f t="shared" si="9"/>
        <v>6.06710717332338E-2</v>
      </c>
      <c r="AB53" s="12">
        <v>1234.4939999999999</v>
      </c>
      <c r="AC53" s="12">
        <v>959.54100000000005</v>
      </c>
      <c r="AD53" s="8">
        <f t="shared" si="10"/>
        <v>0.28654637998793159</v>
      </c>
    </row>
    <row r="54" spans="1:30" x14ac:dyDescent="0.3">
      <c r="A54" t="s">
        <v>79</v>
      </c>
      <c r="B54" s="11">
        <v>2023</v>
      </c>
      <c r="C54" s="12">
        <v>54.706000000000003</v>
      </c>
      <c r="D54" s="12">
        <v>330.17099999999999</v>
      </c>
      <c r="E54" s="12">
        <v>215.89500000000001</v>
      </c>
      <c r="F54" s="12">
        <v>105.95099999999999</v>
      </c>
      <c r="G54" s="12">
        <v>546.06700000000001</v>
      </c>
      <c r="H54" s="12">
        <v>156.869</v>
      </c>
      <c r="I54" s="12">
        <v>389.19799999999998</v>
      </c>
      <c r="J54" s="12">
        <v>156.87</v>
      </c>
      <c r="K54" s="5">
        <v>3.2528928266766205E-2</v>
      </c>
      <c r="L54" s="5">
        <v>5.0464307361874884E-2</v>
      </c>
      <c r="M54" s="8">
        <v>9.3200000000000005E-2</v>
      </c>
      <c r="N54" s="12">
        <v>23787.319166666701</v>
      </c>
      <c r="O54" s="3">
        <f t="shared" si="0"/>
        <v>48</v>
      </c>
      <c r="P54" s="13">
        <v>1976</v>
      </c>
      <c r="Q54" s="14">
        <v>139.74</v>
      </c>
      <c r="R54" s="14">
        <v>183.07</v>
      </c>
      <c r="S54" s="4">
        <f t="shared" si="1"/>
        <v>18.15720751816248</v>
      </c>
      <c r="T54" s="8">
        <f t="shared" si="2"/>
        <v>0.1405608456364113</v>
      </c>
      <c r="U54" s="8">
        <f t="shared" si="3"/>
        <v>0.10018184581745464</v>
      </c>
      <c r="V54" s="9">
        <f t="shared" si="4"/>
        <v>0.40305705579165363</v>
      </c>
      <c r="W54">
        <f t="shared" si="5"/>
        <v>2.104742780646395</v>
      </c>
      <c r="X54">
        <f t="shared" si="6"/>
        <v>5.6980432714644511</v>
      </c>
      <c r="Y54" s="8">
        <f t="shared" si="7"/>
        <v>0.19402564154215507</v>
      </c>
      <c r="Z54" s="8">
        <f t="shared" si="8"/>
        <v>5.8759682244523548E-2</v>
      </c>
      <c r="AA54" s="10">
        <f t="shared" si="9"/>
        <v>6.06710717332338E-2</v>
      </c>
      <c r="AB54" s="12">
        <v>316.70600000000002</v>
      </c>
      <c r="AC54" s="12">
        <v>315.30099999999999</v>
      </c>
      <c r="AD54" s="8">
        <f t="shared" si="10"/>
        <v>4.456059447956174E-3</v>
      </c>
    </row>
    <row r="55" spans="1:30" x14ac:dyDescent="0.3">
      <c r="A55" t="s">
        <v>80</v>
      </c>
      <c r="B55" s="11">
        <v>2023</v>
      </c>
      <c r="C55" s="12">
        <v>87.799000000000007</v>
      </c>
      <c r="D55" s="12">
        <v>1395.9359999999999</v>
      </c>
      <c r="E55" s="12">
        <v>1577.923</v>
      </c>
      <c r="F55" s="12">
        <v>642.36900000000003</v>
      </c>
      <c r="G55" s="12">
        <v>2973.8589999999999</v>
      </c>
      <c r="H55" s="12">
        <v>1344.97</v>
      </c>
      <c r="I55" s="12">
        <v>1628.8889999999999</v>
      </c>
      <c r="J55" s="12">
        <v>935.58</v>
      </c>
      <c r="K55" s="5">
        <v>3.2528928266766205E-2</v>
      </c>
      <c r="L55" s="5">
        <v>5.0464307361874884E-2</v>
      </c>
      <c r="M55" s="8">
        <v>9.3200000000000005E-2</v>
      </c>
      <c r="N55" s="12">
        <v>23787.319166666701</v>
      </c>
      <c r="O55" s="3">
        <f t="shared" si="0"/>
        <v>24</v>
      </c>
      <c r="P55" s="13">
        <v>2000</v>
      </c>
      <c r="Q55" s="14">
        <v>139.74</v>
      </c>
      <c r="R55" s="14">
        <v>183.07</v>
      </c>
      <c r="S55" s="4">
        <f t="shared" si="1"/>
        <v>18.15720751816248</v>
      </c>
      <c r="T55" s="8">
        <f t="shared" si="2"/>
        <v>5.3901155941258126E-2</v>
      </c>
      <c r="U55" s="8">
        <f t="shared" si="3"/>
        <v>2.9523592073464146E-2</v>
      </c>
      <c r="V55" s="9">
        <f t="shared" si="4"/>
        <v>0.82569776086645563</v>
      </c>
      <c r="W55">
        <f t="shared" si="5"/>
        <v>1.4920541268517924</v>
      </c>
      <c r="X55">
        <f t="shared" si="6"/>
        <v>7.3929173076269183</v>
      </c>
      <c r="Y55" s="8">
        <f t="shared" si="7"/>
        <v>0.21600519728743026</v>
      </c>
      <c r="Z55" s="8">
        <f t="shared" si="8"/>
        <v>5.8759682244523548E-2</v>
      </c>
      <c r="AA55" s="10">
        <f t="shared" si="9"/>
        <v>6.06710717332338E-2</v>
      </c>
      <c r="AB55" s="12">
        <v>1425.625</v>
      </c>
      <c r="AC55" s="12">
        <v>2116.7809999999999</v>
      </c>
      <c r="AD55" s="8">
        <f t="shared" si="10"/>
        <v>-0.32651275686998321</v>
      </c>
    </row>
    <row r="56" spans="1:30" x14ac:dyDescent="0.3">
      <c r="A56" t="s">
        <v>81</v>
      </c>
      <c r="B56" s="11">
        <v>2023</v>
      </c>
      <c r="C56" s="12">
        <v>44.432000000000002</v>
      </c>
      <c r="D56" s="12">
        <v>3968.4969999999998</v>
      </c>
      <c r="E56" s="12">
        <v>3205.366</v>
      </c>
      <c r="F56" s="12">
        <v>911.83500000000004</v>
      </c>
      <c r="G56" s="12">
        <v>7173.8630000000003</v>
      </c>
      <c r="H56" s="12">
        <v>4733.9319999999998</v>
      </c>
      <c r="I56" s="12">
        <v>2439.931</v>
      </c>
      <c r="J56" s="12">
        <v>2878.58</v>
      </c>
      <c r="K56" s="5">
        <v>3.2528928266766205E-2</v>
      </c>
      <c r="L56" s="5">
        <v>5.0464307361874884E-2</v>
      </c>
      <c r="M56" s="8">
        <v>9.3200000000000005E-2</v>
      </c>
      <c r="N56" s="12">
        <v>23787.319166666701</v>
      </c>
      <c r="O56" s="3">
        <f t="shared" si="0"/>
        <v>42</v>
      </c>
      <c r="P56" s="13">
        <v>1982</v>
      </c>
      <c r="Q56" s="14">
        <v>139.74</v>
      </c>
      <c r="R56" s="14">
        <v>183.07</v>
      </c>
      <c r="S56" s="4">
        <f t="shared" si="1"/>
        <v>18.15720751816248</v>
      </c>
      <c r="T56" s="8">
        <f t="shared" si="2"/>
        <v>1.8210351030418483E-2</v>
      </c>
      <c r="U56" s="8">
        <f t="shared" si="3"/>
        <v>6.1935947201668057E-3</v>
      </c>
      <c r="V56" s="9">
        <f t="shared" si="4"/>
        <v>1.9401909316288042</v>
      </c>
      <c r="W56">
        <f t="shared" si="5"/>
        <v>1.3786300884463867</v>
      </c>
      <c r="X56">
        <f t="shared" si="6"/>
        <v>8.273501153796829</v>
      </c>
      <c r="Y56" s="8">
        <f t="shared" si="7"/>
        <v>0.12710515938205119</v>
      </c>
      <c r="Z56" s="8">
        <f t="shared" si="8"/>
        <v>5.8759682244523548E-2</v>
      </c>
      <c r="AA56" s="10">
        <f t="shared" si="9"/>
        <v>6.06710717332338E-2</v>
      </c>
      <c r="AB56" s="12">
        <v>20852.169000000002</v>
      </c>
      <c r="AC56" s="12">
        <v>21322.513999999999</v>
      </c>
      <c r="AD56" s="8">
        <f t="shared" si="10"/>
        <v>-2.2058609036439022E-2</v>
      </c>
    </row>
    <row r="57" spans="1:30" x14ac:dyDescent="0.3">
      <c r="A57" t="s">
        <v>82</v>
      </c>
      <c r="B57" s="11">
        <v>2023</v>
      </c>
      <c r="C57" s="12">
        <v>133.804</v>
      </c>
      <c r="D57" s="12">
        <v>2130.7539999999999</v>
      </c>
      <c r="E57" s="12">
        <v>1148.6099999999999</v>
      </c>
      <c r="F57" s="12">
        <v>960.92100000000005</v>
      </c>
      <c r="G57" s="12">
        <v>3279.364</v>
      </c>
      <c r="H57" s="12">
        <v>1269.2280000000001</v>
      </c>
      <c r="I57" s="12">
        <v>2010.1369999999999</v>
      </c>
      <c r="J57" s="12">
        <v>1173.4100000000001</v>
      </c>
      <c r="K57" s="5">
        <v>3.2528928266766205E-2</v>
      </c>
      <c r="L57" s="5">
        <v>5.0464307361874884E-2</v>
      </c>
      <c r="M57" s="8">
        <v>9.3200000000000005E-2</v>
      </c>
      <c r="N57" s="12">
        <v>23787.319166666701</v>
      </c>
      <c r="O57" s="3">
        <f t="shared" si="0"/>
        <v>48</v>
      </c>
      <c r="P57" s="13">
        <v>1976</v>
      </c>
      <c r="Q57" s="14">
        <v>139.74</v>
      </c>
      <c r="R57" s="14">
        <v>183.07</v>
      </c>
      <c r="S57" s="4">
        <f t="shared" si="1"/>
        <v>18.15720751816248</v>
      </c>
      <c r="T57" s="8">
        <f t="shared" si="2"/>
        <v>6.656461723753157E-2</v>
      </c>
      <c r="U57" s="8">
        <f t="shared" si="3"/>
        <v>4.0801814010277604E-2</v>
      </c>
      <c r="V57" s="9">
        <f t="shared" si="4"/>
        <v>0.63141367976411567</v>
      </c>
      <c r="W57">
        <f t="shared" si="5"/>
        <v>1.8158648724657194</v>
      </c>
      <c r="X57">
        <f t="shared" si="6"/>
        <v>7.4907063727628245</v>
      </c>
      <c r="Y57" s="8">
        <f t="shared" si="7"/>
        <v>0.293020536908986</v>
      </c>
      <c r="Z57" s="8">
        <f t="shared" si="8"/>
        <v>5.8759682244523548E-2</v>
      </c>
      <c r="AA57" s="10">
        <f t="shared" si="9"/>
        <v>6.06710717332338E-2</v>
      </c>
      <c r="AB57" s="12">
        <v>3327.9349999999999</v>
      </c>
      <c r="AC57" s="12">
        <v>4340.75</v>
      </c>
      <c r="AD57" s="8">
        <f t="shared" si="10"/>
        <v>-0.23332719000172783</v>
      </c>
    </row>
    <row r="58" spans="1:30" x14ac:dyDescent="0.3">
      <c r="A58" t="s">
        <v>83</v>
      </c>
      <c r="B58" s="11">
        <v>2023</v>
      </c>
      <c r="C58" s="12">
        <v>356.17399999999998</v>
      </c>
      <c r="D58" s="12">
        <v>2074.4549999999999</v>
      </c>
      <c r="E58" s="12">
        <v>733.99300000000005</v>
      </c>
      <c r="F58" s="12">
        <v>575.58600000000001</v>
      </c>
      <c r="G58" s="12">
        <v>2808.4479999999999</v>
      </c>
      <c r="H58" s="12">
        <v>714.46799999999996</v>
      </c>
      <c r="I58" s="12">
        <v>2093.98</v>
      </c>
      <c r="J58" s="12">
        <v>659.54</v>
      </c>
      <c r="K58" s="5">
        <v>3.2528928266766205E-2</v>
      </c>
      <c r="L58" s="5">
        <v>5.0464307361874884E-2</v>
      </c>
      <c r="M58" s="8">
        <v>9.3200000000000005E-2</v>
      </c>
      <c r="N58" s="12">
        <v>23787.319166666701</v>
      </c>
      <c r="O58" s="3">
        <f t="shared" si="0"/>
        <v>43</v>
      </c>
      <c r="P58" s="13">
        <v>1981</v>
      </c>
      <c r="Q58" s="14">
        <v>139.74</v>
      </c>
      <c r="R58" s="14">
        <v>183.07</v>
      </c>
      <c r="S58" s="4">
        <f t="shared" si="1"/>
        <v>18.15720751816248</v>
      </c>
      <c r="T58" s="8">
        <f t="shared" si="2"/>
        <v>0.17009427024135854</v>
      </c>
      <c r="U58" s="8">
        <f t="shared" si="3"/>
        <v>0.12682235882594231</v>
      </c>
      <c r="V58" s="9">
        <f t="shared" si="4"/>
        <v>0.34120096658038757</v>
      </c>
      <c r="W58">
        <f t="shared" si="5"/>
        <v>3.1453058192073264</v>
      </c>
      <c r="X58">
        <f t="shared" si="6"/>
        <v>7.3356888892045982</v>
      </c>
      <c r="Y58" s="8">
        <f t="shared" si="7"/>
        <v>0.20494807096303724</v>
      </c>
      <c r="Z58" s="8">
        <f t="shared" si="8"/>
        <v>5.8759682244523548E-2</v>
      </c>
      <c r="AA58" s="10">
        <f t="shared" si="9"/>
        <v>6.06710717332338E-2</v>
      </c>
      <c r="AB58" s="12">
        <v>3496.672</v>
      </c>
      <c r="AC58" s="12">
        <v>3550.4059999999999</v>
      </c>
      <c r="AD58" s="8">
        <f t="shared" si="10"/>
        <v>-1.5134607140704449E-2</v>
      </c>
    </row>
    <row r="59" spans="1:30" x14ac:dyDescent="0.3">
      <c r="A59" t="s">
        <v>84</v>
      </c>
      <c r="B59" s="11">
        <v>2023</v>
      </c>
      <c r="C59" s="12">
        <v>2.395</v>
      </c>
      <c r="D59" s="12">
        <v>1637.454</v>
      </c>
      <c r="E59" s="12">
        <v>532.298</v>
      </c>
      <c r="F59" s="12">
        <v>302.19099999999997</v>
      </c>
      <c r="G59" s="12">
        <v>2169.752</v>
      </c>
      <c r="H59" s="12">
        <v>1732.299</v>
      </c>
      <c r="I59" s="12">
        <v>437.45299999999997</v>
      </c>
      <c r="J59" s="12">
        <v>1545.48</v>
      </c>
      <c r="K59" s="5">
        <v>3.2528928266766205E-2</v>
      </c>
      <c r="L59" s="5">
        <v>5.0464307361874884E-2</v>
      </c>
      <c r="M59" s="8">
        <v>9.3200000000000005E-2</v>
      </c>
      <c r="N59" s="12">
        <v>23787.319166666701</v>
      </c>
      <c r="O59" s="3">
        <f t="shared" si="0"/>
        <v>48</v>
      </c>
      <c r="P59" s="13">
        <v>1976</v>
      </c>
      <c r="Q59" s="14">
        <v>139.74</v>
      </c>
      <c r="R59" s="14">
        <v>183.07</v>
      </c>
      <c r="S59" s="4">
        <f t="shared" si="1"/>
        <v>18.15720751816248</v>
      </c>
      <c r="T59" s="8">
        <f t="shared" si="2"/>
        <v>5.4748738721645531E-3</v>
      </c>
      <c r="U59" s="8">
        <f t="shared" si="3"/>
        <v>1.1038127859773837E-3</v>
      </c>
      <c r="V59" s="9">
        <f t="shared" si="4"/>
        <v>3.9599659849172371</v>
      </c>
      <c r="W59">
        <f t="shared" si="5"/>
        <v>1.0595116080441027</v>
      </c>
      <c r="X59">
        <f t="shared" si="6"/>
        <v>7.0776697469142773</v>
      </c>
      <c r="Y59" s="8">
        <f t="shared" si="7"/>
        <v>0.13927444242475637</v>
      </c>
      <c r="Z59" s="8">
        <f t="shared" si="8"/>
        <v>5.8759682244523548E-2</v>
      </c>
      <c r="AA59" s="10">
        <f t="shared" si="9"/>
        <v>6.06710717332338E-2</v>
      </c>
      <c r="AB59" s="12">
        <v>2652.366</v>
      </c>
      <c r="AC59" s="12">
        <v>3043.357</v>
      </c>
      <c r="AD59" s="8">
        <f t="shared" si="10"/>
        <v>-0.12847359018347174</v>
      </c>
    </row>
    <row r="60" spans="1:30" x14ac:dyDescent="0.3">
      <c r="A60" t="s">
        <v>85</v>
      </c>
      <c r="B60" s="11">
        <v>2023</v>
      </c>
      <c r="C60" s="12">
        <v>12.686</v>
      </c>
      <c r="D60" s="12">
        <v>974.26400000000001</v>
      </c>
      <c r="E60" s="12">
        <v>482.036</v>
      </c>
      <c r="F60" s="12">
        <v>368.49799999999999</v>
      </c>
      <c r="G60" s="12">
        <v>1456.3</v>
      </c>
      <c r="H60" s="12">
        <v>880.43399999999997</v>
      </c>
      <c r="I60" s="12">
        <v>575.86599999999999</v>
      </c>
      <c r="J60" s="12">
        <v>776.12</v>
      </c>
      <c r="K60" s="5">
        <v>3.2528928266766205E-2</v>
      </c>
      <c r="L60" s="5">
        <v>5.0464307361874884E-2</v>
      </c>
      <c r="M60" s="8">
        <v>9.3200000000000005E-2</v>
      </c>
      <c r="N60" s="12">
        <v>23787.319166666701</v>
      </c>
      <c r="O60" s="3">
        <f t="shared" si="0"/>
        <v>64</v>
      </c>
      <c r="P60" s="13">
        <v>1960</v>
      </c>
      <c r="Q60" s="14">
        <v>139.74</v>
      </c>
      <c r="R60" s="14">
        <v>183.07</v>
      </c>
      <c r="S60" s="4">
        <f t="shared" si="1"/>
        <v>18.15720751816248</v>
      </c>
      <c r="T60" s="8">
        <f t="shared" si="2"/>
        <v>2.2029430457780108E-2</v>
      </c>
      <c r="U60" s="8">
        <f t="shared" si="3"/>
        <v>8.7111172148595754E-3</v>
      </c>
      <c r="V60" s="9">
        <f t="shared" si="4"/>
        <v>1.528886928556296</v>
      </c>
      <c r="W60">
        <f t="shared" si="5"/>
        <v>1.2553007266917486</v>
      </c>
      <c r="X60">
        <f t="shared" si="6"/>
        <v>6.6789558441137027</v>
      </c>
      <c r="Y60" s="8">
        <f t="shared" si="7"/>
        <v>0.25303714893909224</v>
      </c>
      <c r="Z60" s="8">
        <f t="shared" si="8"/>
        <v>5.8759682244523548E-2</v>
      </c>
      <c r="AA60" s="10">
        <f t="shared" si="9"/>
        <v>6.06710717332338E-2</v>
      </c>
      <c r="AB60" s="12">
        <v>1683.51</v>
      </c>
      <c r="AC60" s="12">
        <v>1960.1969999999999</v>
      </c>
      <c r="AD60" s="8">
        <f t="shared" si="10"/>
        <v>-0.14115264945309064</v>
      </c>
    </row>
    <row r="61" spans="1:30" x14ac:dyDescent="0.3">
      <c r="A61" t="s">
        <v>86</v>
      </c>
      <c r="B61" s="11">
        <v>2023</v>
      </c>
      <c r="C61" s="12">
        <v>449.95299999999997</v>
      </c>
      <c r="D61" s="12">
        <v>1791.914</v>
      </c>
      <c r="E61" s="12">
        <v>866.49300000000005</v>
      </c>
      <c r="F61" s="12">
        <v>264.61500000000001</v>
      </c>
      <c r="G61" s="12">
        <v>2658.4070000000002</v>
      </c>
      <c r="H61" s="12">
        <v>545.62199999999996</v>
      </c>
      <c r="I61" s="12">
        <v>2112.7849999999999</v>
      </c>
      <c r="J61" s="12">
        <v>540.92999999999995</v>
      </c>
      <c r="K61" s="5">
        <v>3.2528928266766205E-2</v>
      </c>
      <c r="L61" s="5">
        <v>5.0464307361874884E-2</v>
      </c>
      <c r="M61" s="8">
        <v>9.3200000000000005E-2</v>
      </c>
      <c r="N61" s="12">
        <v>23787.319166666701</v>
      </c>
      <c r="O61" s="3">
        <f t="shared" si="0"/>
        <v>55</v>
      </c>
      <c r="P61" s="13">
        <v>1969</v>
      </c>
      <c r="Q61" s="14">
        <v>139.74</v>
      </c>
      <c r="R61" s="14">
        <v>183.07</v>
      </c>
      <c r="S61" s="4">
        <f t="shared" si="1"/>
        <v>18.15720751816248</v>
      </c>
      <c r="T61" s="8">
        <f t="shared" si="2"/>
        <v>0.21296677134682421</v>
      </c>
      <c r="U61" s="8">
        <f t="shared" si="3"/>
        <v>0.16925662624270849</v>
      </c>
      <c r="V61" s="9">
        <f t="shared" si="4"/>
        <v>0.25824776302368674</v>
      </c>
      <c r="W61">
        <f t="shared" si="5"/>
        <v>3.312654132697392</v>
      </c>
      <c r="X61">
        <f t="shared" si="6"/>
        <v>7.2807839428248906</v>
      </c>
      <c r="Y61" s="8">
        <f t="shared" si="7"/>
        <v>9.9538934406958754E-2</v>
      </c>
      <c r="Z61" s="8">
        <f t="shared" si="8"/>
        <v>5.8759682244523548E-2</v>
      </c>
      <c r="AA61" s="10">
        <f t="shared" si="9"/>
        <v>6.06710717332338E-2</v>
      </c>
      <c r="AB61" s="12">
        <v>2372.4540000000002</v>
      </c>
      <c r="AC61" s="12">
        <v>2212.2930000000001</v>
      </c>
      <c r="AD61" s="8">
        <f t="shared" si="10"/>
        <v>7.2395925856114013E-2</v>
      </c>
    </row>
    <row r="62" spans="1:30" x14ac:dyDescent="0.3">
      <c r="A62" t="s">
        <v>87</v>
      </c>
      <c r="B62" s="11">
        <v>2023</v>
      </c>
      <c r="C62" s="12">
        <v>973.75699999999995</v>
      </c>
      <c r="D62" s="12">
        <v>7888.1570000000002</v>
      </c>
      <c r="E62" s="12">
        <v>4054.393</v>
      </c>
      <c r="F62" s="12">
        <v>3383.3389999999999</v>
      </c>
      <c r="G62" s="12">
        <v>11942.549000000001</v>
      </c>
      <c r="H62" s="12">
        <v>3351.4940000000001</v>
      </c>
      <c r="I62" s="12">
        <v>8591.0560000000005</v>
      </c>
      <c r="J62" s="12">
        <v>3232.91</v>
      </c>
      <c r="K62" s="5">
        <v>3.2528928266766205E-2</v>
      </c>
      <c r="L62" s="5">
        <v>5.0464307361874884E-2</v>
      </c>
      <c r="M62" s="8">
        <v>9.3200000000000005E-2</v>
      </c>
      <c r="N62" s="12">
        <v>23787.319166666701</v>
      </c>
      <c r="O62" s="3">
        <f t="shared" si="0"/>
        <v>27</v>
      </c>
      <c r="P62" s="13">
        <v>1997</v>
      </c>
      <c r="Q62" s="14">
        <v>139.74</v>
      </c>
      <c r="R62" s="14">
        <v>183.07</v>
      </c>
      <c r="S62" s="4">
        <f t="shared" si="1"/>
        <v>18.15720751816248</v>
      </c>
      <c r="T62" s="8">
        <f t="shared" si="2"/>
        <v>0.11334543739442507</v>
      </c>
      <c r="U62" s="8">
        <f t="shared" si="3"/>
        <v>8.1536780799475878E-2</v>
      </c>
      <c r="V62" s="9">
        <f t="shared" si="4"/>
        <v>0.39011432354765235</v>
      </c>
      <c r="W62">
        <f t="shared" si="5"/>
        <v>2.4399556436770591</v>
      </c>
      <c r="X62">
        <f t="shared" si="6"/>
        <v>8.7831644408743781</v>
      </c>
      <c r="Y62" s="8">
        <f t="shared" si="7"/>
        <v>0.28330124498547166</v>
      </c>
      <c r="Z62" s="8">
        <f t="shared" si="8"/>
        <v>5.8759682244523548E-2</v>
      </c>
      <c r="AA62" s="10">
        <f t="shared" si="9"/>
        <v>6.06710717332338E-2</v>
      </c>
      <c r="AB62" s="12">
        <v>10075.769</v>
      </c>
      <c r="AC62" s="12">
        <v>13463.915999999999</v>
      </c>
      <c r="AD62" s="8">
        <f t="shared" si="10"/>
        <v>-0.25164647491858977</v>
      </c>
    </row>
    <row r="63" spans="1:30" x14ac:dyDescent="0.3">
      <c r="A63" t="s">
        <v>88</v>
      </c>
      <c r="B63" s="11">
        <v>2023</v>
      </c>
      <c r="C63" s="12">
        <v>9019.3539999999994</v>
      </c>
      <c r="D63" s="12">
        <v>35935.879999999997</v>
      </c>
      <c r="E63" s="12">
        <v>16737.491000000002</v>
      </c>
      <c r="F63" s="12">
        <v>12689.652</v>
      </c>
      <c r="G63" s="12">
        <v>52673.370999999999</v>
      </c>
      <c r="H63" s="12">
        <v>17647.627</v>
      </c>
      <c r="I63" s="12">
        <v>35025.743999999999</v>
      </c>
      <c r="J63" s="12">
        <v>17138.689999999999</v>
      </c>
      <c r="K63" s="5">
        <v>3.2528928266766205E-2</v>
      </c>
      <c r="L63" s="5">
        <v>5.0464307361874884E-2</v>
      </c>
      <c r="M63" s="8">
        <v>9.3200000000000005E-2</v>
      </c>
      <c r="N63" s="12">
        <v>23787.319166666701</v>
      </c>
      <c r="O63" s="3">
        <f t="shared" si="0"/>
        <v>48</v>
      </c>
      <c r="P63" s="13">
        <v>1976</v>
      </c>
      <c r="Q63" s="14">
        <v>139.74</v>
      </c>
      <c r="R63" s="14">
        <v>183.07</v>
      </c>
      <c r="S63" s="4">
        <f t="shared" si="1"/>
        <v>18.15720751816248</v>
      </c>
      <c r="T63" s="8">
        <f t="shared" si="2"/>
        <v>0.25750642156237996</v>
      </c>
      <c r="U63" s="8">
        <f t="shared" si="3"/>
        <v>0.17123175959252732</v>
      </c>
      <c r="V63" s="9">
        <f t="shared" si="4"/>
        <v>0.50384731299355123</v>
      </c>
      <c r="W63">
        <f t="shared" si="5"/>
        <v>2.0967693563510399</v>
      </c>
      <c r="X63">
        <f t="shared" si="6"/>
        <v>10.267166905332882</v>
      </c>
      <c r="Y63" s="8">
        <f t="shared" si="7"/>
        <v>0.24091209199426405</v>
      </c>
      <c r="Z63" s="8">
        <f t="shared" si="8"/>
        <v>5.8759682244523548E-2</v>
      </c>
      <c r="AA63" s="10">
        <f t="shared" si="9"/>
        <v>6.06710717332338E-2</v>
      </c>
      <c r="AB63" s="12">
        <v>60478.913</v>
      </c>
      <c r="AC63" s="12">
        <v>60074.73</v>
      </c>
      <c r="AD63" s="8">
        <f t="shared" si="10"/>
        <v>6.7280036048434546E-3</v>
      </c>
    </row>
    <row r="64" spans="1:30" x14ac:dyDescent="0.3">
      <c r="A64" s="2" t="s">
        <v>27</v>
      </c>
      <c r="B64" s="3">
        <v>2022</v>
      </c>
      <c r="C64" s="4">
        <v>16.899999999999999</v>
      </c>
      <c r="D64" s="4">
        <v>180.89699999999999</v>
      </c>
      <c r="E64" s="4">
        <v>37.682000000000002</v>
      </c>
      <c r="F64" s="4">
        <v>26.114000000000001</v>
      </c>
      <c r="G64" s="4">
        <v>218.58</v>
      </c>
      <c r="H64" s="4">
        <v>9.0429999999999993</v>
      </c>
      <c r="I64" s="4">
        <v>209.536</v>
      </c>
      <c r="J64" s="4">
        <v>7.94</v>
      </c>
      <c r="K64" s="5">
        <v>3.1565074996312899E-2</v>
      </c>
      <c r="L64" s="5">
        <v>8.1235144676734303E-2</v>
      </c>
      <c r="M64" s="5">
        <v>8.0100000000000005E-2</v>
      </c>
      <c r="N64" s="4">
        <v>23271.212500000001</v>
      </c>
      <c r="O64" s="3">
        <f t="shared" si="0"/>
        <v>44</v>
      </c>
      <c r="P64" s="6">
        <v>1979</v>
      </c>
      <c r="Q64" s="7">
        <v>134.21</v>
      </c>
      <c r="R64" s="7">
        <v>177.31</v>
      </c>
      <c r="S64" s="4">
        <f t="shared" si="1"/>
        <v>17.614513730895045</v>
      </c>
      <c r="T64" s="8">
        <f t="shared" si="2"/>
        <v>8.065439828955405E-2</v>
      </c>
      <c r="U64" s="8">
        <f t="shared" si="3"/>
        <v>7.7317229389697123E-2</v>
      </c>
      <c r="V64" s="9">
        <f t="shared" si="4"/>
        <v>4.3157261759315821E-2</v>
      </c>
      <c r="W64">
        <f t="shared" si="5"/>
        <v>22.78299748110831</v>
      </c>
      <c r="X64">
        <f t="shared" si="6"/>
        <v>4.8144226531677212</v>
      </c>
      <c r="Y64" s="8">
        <f t="shared" si="7"/>
        <v>0.11947113185103851</v>
      </c>
      <c r="Z64" s="8">
        <f t="shared" si="8"/>
        <v>4.7049794705254611E-2</v>
      </c>
      <c r="AA64" s="10">
        <f t="shared" si="9"/>
        <v>4.8534925003687106E-2</v>
      </c>
      <c r="AB64" s="12">
        <v>212.00800000000001</v>
      </c>
      <c r="AC64" s="12">
        <v>134.11000000000001</v>
      </c>
      <c r="AD64" s="8">
        <f t="shared" si="10"/>
        <v>0.58085153978077686</v>
      </c>
    </row>
    <row r="65" spans="1:30" x14ac:dyDescent="0.3">
      <c r="A65" t="s">
        <v>28</v>
      </c>
      <c r="B65" s="11">
        <v>2022</v>
      </c>
      <c r="C65" s="12">
        <v>89.028000000000006</v>
      </c>
      <c r="D65" s="12">
        <v>443.74900000000002</v>
      </c>
      <c r="E65" s="12">
        <v>609.697</v>
      </c>
      <c r="F65" s="12">
        <v>180.167</v>
      </c>
      <c r="G65" s="12">
        <v>1053.4459999999999</v>
      </c>
      <c r="H65" s="12">
        <v>321.964</v>
      </c>
      <c r="I65" s="12">
        <v>731.48199999999997</v>
      </c>
      <c r="J65" s="12">
        <v>212.85</v>
      </c>
      <c r="K65" s="5">
        <v>3.1565074996312899E-2</v>
      </c>
      <c r="L65" s="5">
        <v>8.1235144676734303E-2</v>
      </c>
      <c r="M65" s="8">
        <v>8.0100000000000005E-2</v>
      </c>
      <c r="N65" s="12">
        <v>23271.212500000001</v>
      </c>
      <c r="O65" s="3">
        <f t="shared" si="0"/>
        <v>28</v>
      </c>
      <c r="P65" s="13">
        <v>1995</v>
      </c>
      <c r="Q65" s="14">
        <v>134.21</v>
      </c>
      <c r="R65" s="14">
        <v>177.31</v>
      </c>
      <c r="S65" s="4">
        <f t="shared" si="1"/>
        <v>17.614513730895045</v>
      </c>
      <c r="T65" s="8">
        <f t="shared" si="2"/>
        <v>0.12170907828217237</v>
      </c>
      <c r="U65" s="8">
        <f t="shared" si="3"/>
        <v>8.4511213673980456E-2</v>
      </c>
      <c r="V65" s="9">
        <f t="shared" si="4"/>
        <v>0.44015300444850319</v>
      </c>
      <c r="W65">
        <f t="shared" si="5"/>
        <v>2.0847968052619219</v>
      </c>
      <c r="X65">
        <f t="shared" si="6"/>
        <v>6.3870925471373292</v>
      </c>
      <c r="Y65" s="8">
        <f t="shared" si="7"/>
        <v>0.17102632693085362</v>
      </c>
      <c r="Z65" s="8">
        <f t="shared" si="8"/>
        <v>4.7049794705254611E-2</v>
      </c>
      <c r="AA65" s="10">
        <f t="shared" si="9"/>
        <v>4.8534925003687106E-2</v>
      </c>
      <c r="AB65" s="12">
        <v>961.62599999999998</v>
      </c>
      <c r="AC65" s="12">
        <v>473.17500000000001</v>
      </c>
      <c r="AD65" s="8">
        <f t="shared" si="10"/>
        <v>1.0322840386749088</v>
      </c>
    </row>
    <row r="66" spans="1:30" x14ac:dyDescent="0.3">
      <c r="A66" t="s">
        <v>29</v>
      </c>
      <c r="B66" s="11">
        <v>2022</v>
      </c>
      <c r="C66" s="12">
        <v>22.54</v>
      </c>
      <c r="D66" s="12">
        <v>1356.9590000000001</v>
      </c>
      <c r="E66" s="12">
        <v>312.31200000000001</v>
      </c>
      <c r="F66" s="12">
        <v>14.808</v>
      </c>
      <c r="G66" s="12">
        <v>1669.271</v>
      </c>
      <c r="H66" s="12">
        <v>763.59500000000003</v>
      </c>
      <c r="I66" s="12">
        <v>905.67600000000004</v>
      </c>
      <c r="J66" s="12">
        <v>762.42</v>
      </c>
      <c r="K66" s="5">
        <v>3.1565074996312899E-2</v>
      </c>
      <c r="L66" s="5">
        <v>8.1235144676734303E-2</v>
      </c>
      <c r="M66" s="8">
        <v>8.0100000000000005E-2</v>
      </c>
      <c r="N66" s="12">
        <v>23271.212500000001</v>
      </c>
      <c r="O66" s="3">
        <f t="shared" si="0"/>
        <v>48</v>
      </c>
      <c r="P66" s="13">
        <v>1975</v>
      </c>
      <c r="Q66" s="14">
        <v>134.21</v>
      </c>
      <c r="R66" s="14">
        <v>177.31</v>
      </c>
      <c r="S66" s="4">
        <f t="shared" si="1"/>
        <v>17.614513730895045</v>
      </c>
      <c r="T66" s="8">
        <f t="shared" si="2"/>
        <v>2.4887487357509747E-2</v>
      </c>
      <c r="U66" s="8">
        <f t="shared" si="3"/>
        <v>1.3502900367885142E-2</v>
      </c>
      <c r="V66" s="9">
        <f t="shared" si="4"/>
        <v>0.84312160198569908</v>
      </c>
      <c r="W66">
        <f t="shared" si="5"/>
        <v>1.7798050943049764</v>
      </c>
      <c r="X66">
        <f t="shared" si="6"/>
        <v>6.8474128560782628</v>
      </c>
      <c r="Y66" s="8">
        <f t="shared" si="7"/>
        <v>8.8709382718563969E-3</v>
      </c>
      <c r="Z66" s="8">
        <f t="shared" si="8"/>
        <v>4.7049794705254611E-2</v>
      </c>
      <c r="AA66" s="10">
        <f t="shared" si="9"/>
        <v>4.8534925003687106E-2</v>
      </c>
      <c r="AB66" s="12">
        <v>1605.396</v>
      </c>
      <c r="AC66" s="12">
        <v>1198.6990000000001</v>
      </c>
      <c r="AD66" s="8">
        <f t="shared" si="10"/>
        <v>0.33928200490698657</v>
      </c>
    </row>
    <row r="67" spans="1:30" x14ac:dyDescent="0.3">
      <c r="A67" t="s">
        <v>30</v>
      </c>
      <c r="B67" s="11">
        <v>2022</v>
      </c>
      <c r="C67" s="12">
        <v>64.289000000000001</v>
      </c>
      <c r="D67" s="12">
        <v>299.92599999999999</v>
      </c>
      <c r="E67" s="12">
        <v>322.61399999999998</v>
      </c>
      <c r="F67" s="12">
        <v>92.004999999999995</v>
      </c>
      <c r="G67" s="12">
        <v>622.54</v>
      </c>
      <c r="H67" s="12">
        <v>151.648</v>
      </c>
      <c r="I67" s="12">
        <v>470.89100000000002</v>
      </c>
      <c r="J67" s="12">
        <v>148.07</v>
      </c>
      <c r="K67" s="5">
        <v>3.1565074996312899E-2</v>
      </c>
      <c r="L67" s="5">
        <v>8.1235144676734303E-2</v>
      </c>
      <c r="M67" s="8">
        <v>8.0100000000000005E-2</v>
      </c>
      <c r="N67" s="12">
        <v>23271.212500000001</v>
      </c>
      <c r="O67" s="3">
        <f t="shared" ref="O67:O130" si="11">B67-P67+1</f>
        <v>46</v>
      </c>
      <c r="P67" s="13">
        <v>1977</v>
      </c>
      <c r="Q67" s="14">
        <v>134.21</v>
      </c>
      <c r="R67" s="14">
        <v>177.31</v>
      </c>
      <c r="S67" s="4">
        <f t="shared" ref="S67:S130" si="12">N67*Q67/(1000*R67)</f>
        <v>17.614513730895045</v>
      </c>
      <c r="T67" s="8">
        <f t="shared" ref="T67:T130" si="13">C67/I67</f>
        <v>0.13652628739984413</v>
      </c>
      <c r="U67" s="8">
        <f t="shared" ref="U67:U130" si="14">C67/G67</f>
        <v>0.10326886625758988</v>
      </c>
      <c r="V67" s="9">
        <f t="shared" ref="V67:V130" si="15">H67/I67</f>
        <v>0.32204480442395372</v>
      </c>
      <c r="W67">
        <f t="shared" ref="W67:W130" si="16">D67/J67</f>
        <v>2.0255689876409808</v>
      </c>
      <c r="X67">
        <f t="shared" ref="X67:X130" si="17">LN(100*G67/R67)</f>
        <v>5.861078456221775</v>
      </c>
      <c r="Y67" s="8">
        <f t="shared" ref="Y67:Y130" si="18">F67/G67</f>
        <v>0.14778970026022425</v>
      </c>
      <c r="Z67" s="8">
        <f t="shared" ref="Z67:Z130" si="19">(M67+1)/(K67+1)-1</f>
        <v>4.7049794705254611E-2</v>
      </c>
      <c r="AA67" s="10">
        <f t="shared" ref="AA67:AA130" si="20">M67-K67</f>
        <v>4.8534925003687106E-2</v>
      </c>
      <c r="AB67" s="12">
        <v>617.43200000000002</v>
      </c>
      <c r="AC67" s="12">
        <v>343.46199999999999</v>
      </c>
      <c r="AD67" s="8">
        <f t="shared" ref="AD67:AD130" si="21">(AB67-AC67)/AC67</f>
        <v>0.79767194041844525</v>
      </c>
    </row>
    <row r="68" spans="1:30" x14ac:dyDescent="0.3">
      <c r="A68" t="s">
        <v>31</v>
      </c>
      <c r="B68" s="11">
        <v>2022</v>
      </c>
      <c r="C68" s="12">
        <v>117.94799999999999</v>
      </c>
      <c r="D68" s="12">
        <v>1208.2339999999999</v>
      </c>
      <c r="E68" s="12">
        <v>273.13600000000002</v>
      </c>
      <c r="F68" s="12">
        <v>257.61500000000001</v>
      </c>
      <c r="G68" s="12">
        <v>1481.37</v>
      </c>
      <c r="H68" s="12">
        <v>656.97</v>
      </c>
      <c r="I68" s="12">
        <v>824.4</v>
      </c>
      <c r="J68" s="12">
        <v>656.97</v>
      </c>
      <c r="K68" s="5">
        <v>3.1565074996312899E-2</v>
      </c>
      <c r="L68" s="5">
        <v>8.1235144676734303E-2</v>
      </c>
      <c r="M68" s="8">
        <v>8.0100000000000005E-2</v>
      </c>
      <c r="N68" s="12">
        <v>23271.212500000001</v>
      </c>
      <c r="O68" s="3">
        <f t="shared" si="11"/>
        <v>20</v>
      </c>
      <c r="P68" s="13">
        <v>2003</v>
      </c>
      <c r="Q68" s="14">
        <v>134.21</v>
      </c>
      <c r="R68" s="14">
        <v>177.31</v>
      </c>
      <c r="S68" s="4">
        <f t="shared" si="12"/>
        <v>17.614513730895045</v>
      </c>
      <c r="T68" s="8">
        <f t="shared" si="13"/>
        <v>0.14307132459970887</v>
      </c>
      <c r="U68" s="8">
        <f t="shared" si="14"/>
        <v>7.9620891472083274E-2</v>
      </c>
      <c r="V68" s="9">
        <f t="shared" si="15"/>
        <v>0.79690684133915579</v>
      </c>
      <c r="W68">
        <f t="shared" si="16"/>
        <v>1.8391007199719924</v>
      </c>
      <c r="X68">
        <f t="shared" si="17"/>
        <v>6.7279931871795151</v>
      </c>
      <c r="Y68" s="8">
        <f t="shared" si="18"/>
        <v>0.17390321121664407</v>
      </c>
      <c r="Z68" s="8">
        <f t="shared" si="19"/>
        <v>4.7049794705254611E-2</v>
      </c>
      <c r="AA68" s="10">
        <f t="shared" si="20"/>
        <v>4.8534925003687106E-2</v>
      </c>
      <c r="AB68" s="12">
        <v>1174.0219999999999</v>
      </c>
      <c r="AC68" s="12">
        <v>1224.0229999999999</v>
      </c>
      <c r="AD68" s="8">
        <f t="shared" si="21"/>
        <v>-4.084972259508194E-2</v>
      </c>
    </row>
    <row r="69" spans="1:30" x14ac:dyDescent="0.3">
      <c r="A69" t="s">
        <v>32</v>
      </c>
      <c r="B69" s="11">
        <v>2022</v>
      </c>
      <c r="C69" s="12">
        <v>74.944000000000003</v>
      </c>
      <c r="D69" s="12">
        <v>1670.1949999999999</v>
      </c>
      <c r="E69" s="12">
        <v>511.5</v>
      </c>
      <c r="F69" s="12">
        <v>180.333</v>
      </c>
      <c r="G69" s="12">
        <v>2181.6950000000002</v>
      </c>
      <c r="H69" s="12">
        <v>1524.6</v>
      </c>
      <c r="I69" s="12">
        <v>657.09500000000003</v>
      </c>
      <c r="J69" s="12">
        <v>1364.73</v>
      </c>
      <c r="K69" s="5">
        <v>3.1565074996312899E-2</v>
      </c>
      <c r="L69" s="5">
        <v>8.1235144676734303E-2</v>
      </c>
      <c r="M69" s="8">
        <v>8.0100000000000005E-2</v>
      </c>
      <c r="N69" s="12">
        <v>23271.212500000001</v>
      </c>
      <c r="O69" s="3">
        <f t="shared" si="11"/>
        <v>17</v>
      </c>
      <c r="P69" s="13">
        <v>2006</v>
      </c>
      <c r="Q69" s="14">
        <v>134.21</v>
      </c>
      <c r="R69" s="14">
        <v>177.31</v>
      </c>
      <c r="S69" s="4">
        <f t="shared" si="12"/>
        <v>17.614513730895045</v>
      </c>
      <c r="T69" s="8">
        <f t="shared" si="13"/>
        <v>0.11405352346312177</v>
      </c>
      <c r="U69" s="8">
        <f t="shared" si="14"/>
        <v>3.4351272748940613E-2</v>
      </c>
      <c r="V69" s="9">
        <f t="shared" si="15"/>
        <v>2.3202124502545294</v>
      </c>
      <c r="W69">
        <f t="shared" si="16"/>
        <v>1.2238281564851654</v>
      </c>
      <c r="X69">
        <f t="shared" si="17"/>
        <v>7.1151279495237416</v>
      </c>
      <c r="Y69" s="8">
        <f t="shared" si="18"/>
        <v>8.2657291692926821E-2</v>
      </c>
      <c r="Z69" s="8">
        <f t="shared" si="19"/>
        <v>4.7049794705254611E-2</v>
      </c>
      <c r="AA69" s="10">
        <f t="shared" si="20"/>
        <v>4.8534925003687106E-2</v>
      </c>
      <c r="AB69" s="12">
        <v>1692.604</v>
      </c>
      <c r="AC69" s="12">
        <v>1513.1510000000001</v>
      </c>
      <c r="AD69" s="8">
        <f t="shared" si="21"/>
        <v>0.11859556647023328</v>
      </c>
    </row>
    <row r="70" spans="1:30" x14ac:dyDescent="0.3">
      <c r="A70" t="s">
        <v>33</v>
      </c>
      <c r="B70" s="11">
        <v>2022</v>
      </c>
      <c r="C70" s="12">
        <v>-232.983</v>
      </c>
      <c r="D70" s="12">
        <v>783.97900000000004</v>
      </c>
      <c r="E70" s="12">
        <v>796.82</v>
      </c>
      <c r="F70" s="12">
        <v>646.28</v>
      </c>
      <c r="G70" s="12">
        <v>1580.799</v>
      </c>
      <c r="H70" s="12">
        <v>1288.7860000000001</v>
      </c>
      <c r="I70" s="12">
        <v>292.01299999999998</v>
      </c>
      <c r="J70" s="12">
        <v>1028.8900000000001</v>
      </c>
      <c r="K70" s="5">
        <v>3.1565074996312899E-2</v>
      </c>
      <c r="L70" s="5">
        <v>8.1235144676734303E-2</v>
      </c>
      <c r="M70" s="8">
        <v>8.0100000000000005E-2</v>
      </c>
      <c r="N70" s="12">
        <v>23271.212500000001</v>
      </c>
      <c r="O70" s="3">
        <f t="shared" si="11"/>
        <v>47</v>
      </c>
      <c r="P70" s="13">
        <v>1976</v>
      </c>
      <c r="Q70" s="14">
        <v>134.21</v>
      </c>
      <c r="R70" s="14">
        <v>177.31</v>
      </c>
      <c r="S70" s="4">
        <f t="shared" si="12"/>
        <v>17.614513730895045</v>
      </c>
      <c r="T70" s="8">
        <f t="shared" si="13"/>
        <v>-0.79785146551694619</v>
      </c>
      <c r="U70" s="8">
        <f t="shared" si="14"/>
        <v>-0.14738306388098676</v>
      </c>
      <c r="V70" s="9">
        <f t="shared" si="15"/>
        <v>4.4134541955323909</v>
      </c>
      <c r="W70">
        <f t="shared" si="16"/>
        <v>0.7619658078123025</v>
      </c>
      <c r="X70">
        <f t="shared" si="17"/>
        <v>6.7929562673215047</v>
      </c>
      <c r="Y70" s="8">
        <f t="shared" si="18"/>
        <v>0.4088312302829139</v>
      </c>
      <c r="Z70" s="8">
        <f t="shared" si="19"/>
        <v>4.7049794705254611E-2</v>
      </c>
      <c r="AA70" s="10">
        <f t="shared" si="20"/>
        <v>4.8534925003687106E-2</v>
      </c>
      <c r="AB70" s="12">
        <v>3432.5770000000002</v>
      </c>
      <c r="AC70" s="12">
        <v>3931.4180000000001</v>
      </c>
      <c r="AD70" s="8">
        <f t="shared" si="21"/>
        <v>-0.12688576996900353</v>
      </c>
    </row>
    <row r="71" spans="1:30" x14ac:dyDescent="0.3">
      <c r="A71" t="s">
        <v>34</v>
      </c>
      <c r="B71" s="11">
        <v>2022</v>
      </c>
      <c r="C71" s="12">
        <v>673.745</v>
      </c>
      <c r="D71" s="12">
        <v>3255.1010000000001</v>
      </c>
      <c r="E71" s="12">
        <v>2212.5520000000001</v>
      </c>
      <c r="F71" s="12">
        <v>1102.095</v>
      </c>
      <c r="G71" s="12">
        <v>5467.6530000000002</v>
      </c>
      <c r="H71" s="12">
        <v>2585.4499999999998</v>
      </c>
      <c r="I71" s="12">
        <v>2882.203</v>
      </c>
      <c r="J71" s="12">
        <v>2417.5100000000002</v>
      </c>
      <c r="K71" s="5">
        <v>3.1565074996312899E-2</v>
      </c>
      <c r="L71" s="5">
        <v>8.1235144676734303E-2</v>
      </c>
      <c r="M71" s="8">
        <v>8.0100000000000005E-2</v>
      </c>
      <c r="N71" s="12">
        <v>23271.212500000001</v>
      </c>
      <c r="O71" s="3">
        <f t="shared" si="11"/>
        <v>30</v>
      </c>
      <c r="P71" s="13">
        <v>1993</v>
      </c>
      <c r="Q71" s="14">
        <v>134.21</v>
      </c>
      <c r="R71" s="14">
        <v>177.31</v>
      </c>
      <c r="S71" s="4">
        <f t="shared" si="12"/>
        <v>17.614513730895045</v>
      </c>
      <c r="T71" s="8">
        <f t="shared" si="13"/>
        <v>0.23376042561887556</v>
      </c>
      <c r="U71" s="8">
        <f t="shared" si="14"/>
        <v>0.12322380370517294</v>
      </c>
      <c r="V71" s="9">
        <f t="shared" si="15"/>
        <v>0.8970395215049044</v>
      </c>
      <c r="W71">
        <f t="shared" si="16"/>
        <v>1.3464684737601913</v>
      </c>
      <c r="X71">
        <f t="shared" si="17"/>
        <v>8.0338753086176808</v>
      </c>
      <c r="Y71" s="8">
        <f t="shared" si="18"/>
        <v>0.2015663759203446</v>
      </c>
      <c r="Z71" s="8">
        <f t="shared" si="19"/>
        <v>4.7049794705254611E-2</v>
      </c>
      <c r="AA71" s="10">
        <f t="shared" si="20"/>
        <v>4.8534925003687106E-2</v>
      </c>
      <c r="AB71" s="12">
        <v>4934.5060000000003</v>
      </c>
      <c r="AC71" s="12">
        <v>3504.4259999999999</v>
      </c>
      <c r="AD71" s="8">
        <f t="shared" si="21"/>
        <v>0.40807824162929973</v>
      </c>
    </row>
    <row r="72" spans="1:30" x14ac:dyDescent="0.3">
      <c r="A72" t="s">
        <v>35</v>
      </c>
      <c r="B72" s="11">
        <v>2022</v>
      </c>
      <c r="C72" s="12">
        <v>962.58500000000004</v>
      </c>
      <c r="D72" s="12">
        <v>9248.6270000000004</v>
      </c>
      <c r="E72" s="12">
        <v>9837.7189999999991</v>
      </c>
      <c r="F72" s="12">
        <v>6845.6589999999997</v>
      </c>
      <c r="G72" s="12">
        <v>19086.345000000001</v>
      </c>
      <c r="H72" s="12">
        <v>11246.527</v>
      </c>
      <c r="I72" s="12">
        <v>7839.8180000000002</v>
      </c>
      <c r="J72" s="12">
        <v>7597.61</v>
      </c>
      <c r="K72" s="5">
        <v>3.1565074996312899E-2</v>
      </c>
      <c r="L72" s="5">
        <v>8.1235144676734303E-2</v>
      </c>
      <c r="M72" s="8">
        <v>8.0100000000000005E-2</v>
      </c>
      <c r="N72" s="12">
        <v>23271.212500000001</v>
      </c>
      <c r="O72" s="3">
        <f t="shared" si="11"/>
        <v>26</v>
      </c>
      <c r="P72" s="13">
        <v>1997</v>
      </c>
      <c r="Q72" s="14">
        <v>134.21</v>
      </c>
      <c r="R72" s="14">
        <v>177.31</v>
      </c>
      <c r="S72" s="4">
        <f t="shared" si="12"/>
        <v>17.614513730895045</v>
      </c>
      <c r="T72" s="8">
        <f t="shared" si="13"/>
        <v>0.12278154926555693</v>
      </c>
      <c r="U72" s="8">
        <f t="shared" si="14"/>
        <v>5.0433176179095575E-2</v>
      </c>
      <c r="V72" s="9">
        <f t="shared" si="15"/>
        <v>1.4345392967030612</v>
      </c>
      <c r="W72">
        <f t="shared" si="16"/>
        <v>1.2173074164112136</v>
      </c>
      <c r="X72">
        <f t="shared" si="17"/>
        <v>9.2839990098097278</v>
      </c>
      <c r="Y72" s="8">
        <f t="shared" si="18"/>
        <v>0.35866788533896876</v>
      </c>
      <c r="Z72" s="8">
        <f t="shared" si="19"/>
        <v>4.7049794705254611E-2</v>
      </c>
      <c r="AA72" s="10">
        <f t="shared" si="20"/>
        <v>4.8534925003687106E-2</v>
      </c>
      <c r="AB72" s="12">
        <v>13807.691000000001</v>
      </c>
      <c r="AC72" s="12">
        <v>11465.147999999999</v>
      </c>
      <c r="AD72" s="8">
        <f t="shared" si="21"/>
        <v>0.20431860103332306</v>
      </c>
    </row>
    <row r="73" spans="1:30" x14ac:dyDescent="0.3">
      <c r="A73" t="s">
        <v>36</v>
      </c>
      <c r="B73" s="11">
        <v>2022</v>
      </c>
      <c r="C73" s="12">
        <v>287.779</v>
      </c>
      <c r="D73" s="12">
        <v>2662.7</v>
      </c>
      <c r="E73" s="12">
        <v>2066.3960000000002</v>
      </c>
      <c r="F73" s="12">
        <v>1096.1010000000001</v>
      </c>
      <c r="G73" s="12">
        <v>4729.0959999999995</v>
      </c>
      <c r="H73" s="12">
        <v>2986.4279999999999</v>
      </c>
      <c r="I73" s="12">
        <v>1742.6679999999999</v>
      </c>
      <c r="J73" s="12">
        <v>2291.7199999999998</v>
      </c>
      <c r="K73" s="5">
        <v>3.1565074996312899E-2</v>
      </c>
      <c r="L73" s="5">
        <v>8.1235144676734303E-2</v>
      </c>
      <c r="M73" s="8">
        <v>8.0100000000000005E-2</v>
      </c>
      <c r="N73" s="12">
        <v>23271.212500000001</v>
      </c>
      <c r="O73" s="3">
        <f t="shared" si="11"/>
        <v>6</v>
      </c>
      <c r="P73" s="13">
        <v>2017</v>
      </c>
      <c r="Q73" s="14">
        <v>134.21</v>
      </c>
      <c r="R73" s="14">
        <v>177.31</v>
      </c>
      <c r="S73" s="4">
        <f t="shared" si="12"/>
        <v>17.614513730895045</v>
      </c>
      <c r="T73" s="8">
        <f t="shared" si="13"/>
        <v>0.16513701978804915</v>
      </c>
      <c r="U73" s="8">
        <f t="shared" si="14"/>
        <v>6.08528564444452E-2</v>
      </c>
      <c r="V73" s="9">
        <f t="shared" si="15"/>
        <v>1.7137102419967545</v>
      </c>
      <c r="W73">
        <f t="shared" si="16"/>
        <v>1.1618784144659906</v>
      </c>
      <c r="X73">
        <f t="shared" si="17"/>
        <v>7.8887599156319217</v>
      </c>
      <c r="Y73" s="8">
        <f t="shared" si="18"/>
        <v>0.23177812419117738</v>
      </c>
      <c r="Z73" s="8">
        <f t="shared" si="19"/>
        <v>4.7049794705254611E-2</v>
      </c>
      <c r="AA73" s="10">
        <f t="shared" si="20"/>
        <v>4.8534925003687106E-2</v>
      </c>
      <c r="AB73" s="12">
        <v>7085.3680000000004</v>
      </c>
      <c r="AC73" s="12">
        <v>10434.950999999999</v>
      </c>
      <c r="AD73" s="8">
        <f t="shared" si="21"/>
        <v>-0.32099652408525914</v>
      </c>
    </row>
    <row r="74" spans="1:30" x14ac:dyDescent="0.3">
      <c r="A74" t="s">
        <v>37</v>
      </c>
      <c r="B74" s="11">
        <v>2022</v>
      </c>
      <c r="C74" s="12">
        <v>192.917</v>
      </c>
      <c r="D74" s="12">
        <v>694.73800000000006</v>
      </c>
      <c r="E74" s="12">
        <v>1155.6389999999999</v>
      </c>
      <c r="F74" s="12">
        <v>657.40800000000002</v>
      </c>
      <c r="G74" s="12">
        <v>1850.3779999999999</v>
      </c>
      <c r="H74" s="12">
        <v>487.05599999999998</v>
      </c>
      <c r="I74" s="12">
        <v>1363.3209999999999</v>
      </c>
      <c r="J74" s="12">
        <v>472.47</v>
      </c>
      <c r="K74" s="5">
        <v>3.1565074996312899E-2</v>
      </c>
      <c r="L74" s="5">
        <v>8.1235144676734303E-2</v>
      </c>
      <c r="M74" s="8">
        <v>8.0100000000000005E-2</v>
      </c>
      <c r="N74" s="12">
        <v>23271.212500000001</v>
      </c>
      <c r="O74" s="3">
        <f t="shared" si="11"/>
        <v>24</v>
      </c>
      <c r="P74" s="13">
        <v>1999</v>
      </c>
      <c r="Q74" s="14">
        <v>134.21</v>
      </c>
      <c r="R74" s="14">
        <v>177.31</v>
      </c>
      <c r="S74" s="4">
        <f t="shared" si="12"/>
        <v>17.614513730895045</v>
      </c>
      <c r="T74" s="8">
        <f t="shared" si="13"/>
        <v>0.14150519210075985</v>
      </c>
      <c r="U74" s="8">
        <f t="shared" si="14"/>
        <v>0.10425815698197882</v>
      </c>
      <c r="V74" s="9">
        <f t="shared" si="15"/>
        <v>0.35725702164053807</v>
      </c>
      <c r="W74">
        <f t="shared" si="16"/>
        <v>1.4704383347090821</v>
      </c>
      <c r="X74">
        <f t="shared" si="17"/>
        <v>6.9504157944445168</v>
      </c>
      <c r="Y74" s="8">
        <f t="shared" si="18"/>
        <v>0.3552830826998592</v>
      </c>
      <c r="Z74" s="8">
        <f t="shared" si="19"/>
        <v>4.7049794705254611E-2</v>
      </c>
      <c r="AA74" s="10">
        <f t="shared" si="20"/>
        <v>4.8534925003687106E-2</v>
      </c>
      <c r="AB74" s="12">
        <v>1618.7760000000001</v>
      </c>
      <c r="AC74" s="12">
        <v>1102.529</v>
      </c>
      <c r="AD74" s="8">
        <f t="shared" si="21"/>
        <v>0.46823893067665345</v>
      </c>
    </row>
    <row r="75" spans="1:30" x14ac:dyDescent="0.3">
      <c r="A75" t="s">
        <v>38</v>
      </c>
      <c r="B75" s="11">
        <v>2022</v>
      </c>
      <c r="C75" s="12">
        <v>502.76900000000001</v>
      </c>
      <c r="D75" s="12">
        <v>4843.3090000000002</v>
      </c>
      <c r="E75" s="12">
        <v>2389.87</v>
      </c>
      <c r="F75" s="12">
        <v>1840.3150000000001</v>
      </c>
      <c r="G75" s="12">
        <v>7233.1779999999999</v>
      </c>
      <c r="H75" s="12">
        <v>1928.325</v>
      </c>
      <c r="I75" s="12">
        <v>5304.8530000000001</v>
      </c>
      <c r="J75" s="12">
        <v>1815.51</v>
      </c>
      <c r="K75" s="5">
        <v>3.1565074996312899E-2</v>
      </c>
      <c r="L75" s="5">
        <v>8.1235144676734303E-2</v>
      </c>
      <c r="M75" s="8">
        <v>8.0100000000000005E-2</v>
      </c>
      <c r="N75" s="12">
        <v>23271.212500000001</v>
      </c>
      <c r="O75" s="3">
        <f t="shared" si="11"/>
        <v>133</v>
      </c>
      <c r="P75" s="13">
        <v>1890</v>
      </c>
      <c r="Q75" s="14">
        <v>134.21</v>
      </c>
      <c r="R75" s="14">
        <v>177.31</v>
      </c>
      <c r="S75" s="4">
        <f t="shared" si="12"/>
        <v>17.614513730895045</v>
      </c>
      <c r="T75" s="8">
        <f t="shared" si="13"/>
        <v>9.4775293490696161E-2</v>
      </c>
      <c r="U75" s="8">
        <f t="shared" si="14"/>
        <v>6.9508727698945061E-2</v>
      </c>
      <c r="V75" s="9">
        <f t="shared" si="15"/>
        <v>0.36350206122582474</v>
      </c>
      <c r="W75">
        <f t="shared" si="16"/>
        <v>2.6677401942153995</v>
      </c>
      <c r="X75">
        <f t="shared" si="17"/>
        <v>8.3137043488946745</v>
      </c>
      <c r="Y75" s="8">
        <f t="shared" si="18"/>
        <v>0.25442689230100518</v>
      </c>
      <c r="Z75" s="8">
        <f t="shared" si="19"/>
        <v>4.7049794705254611E-2</v>
      </c>
      <c r="AA75" s="10">
        <f t="shared" si="20"/>
        <v>4.8534925003687106E-2</v>
      </c>
      <c r="AB75" s="12">
        <v>8525.4359999999997</v>
      </c>
      <c r="AC75" s="12">
        <v>7053.4129999999996</v>
      </c>
      <c r="AD75" s="8">
        <f t="shared" si="21"/>
        <v>0.20869655583757823</v>
      </c>
    </row>
    <row r="76" spans="1:30" x14ac:dyDescent="0.3">
      <c r="A76" t="s">
        <v>39</v>
      </c>
      <c r="B76" s="11">
        <v>2022</v>
      </c>
      <c r="C76" s="12">
        <v>26.34</v>
      </c>
      <c r="D76" s="12">
        <v>788.45799999999997</v>
      </c>
      <c r="E76" s="12">
        <v>135.858</v>
      </c>
      <c r="F76" s="12">
        <v>60.73</v>
      </c>
      <c r="G76" s="12">
        <v>924.31600000000003</v>
      </c>
      <c r="H76" s="12">
        <v>52.892000000000003</v>
      </c>
      <c r="I76" s="12">
        <v>871.42399999999998</v>
      </c>
      <c r="J76" s="12">
        <v>51.49</v>
      </c>
      <c r="K76" s="5">
        <v>3.1565074996312899E-2</v>
      </c>
      <c r="L76" s="5">
        <v>8.1235144676734303E-2</v>
      </c>
      <c r="M76" s="8">
        <v>8.0100000000000005E-2</v>
      </c>
      <c r="N76" s="12">
        <v>23271.212500000001</v>
      </c>
      <c r="O76" s="3">
        <f t="shared" si="11"/>
        <v>8</v>
      </c>
      <c r="P76" s="13">
        <v>2015</v>
      </c>
      <c r="Q76" s="14">
        <v>134.21</v>
      </c>
      <c r="R76" s="14">
        <v>177.31</v>
      </c>
      <c r="S76" s="4">
        <f t="shared" si="12"/>
        <v>17.614513730895045</v>
      </c>
      <c r="T76" s="8">
        <f t="shared" si="13"/>
        <v>3.0226388072855465E-2</v>
      </c>
      <c r="U76" s="8">
        <f t="shared" si="14"/>
        <v>2.8496747865448611E-2</v>
      </c>
      <c r="V76" s="9">
        <f t="shared" si="15"/>
        <v>6.0696056110458287E-2</v>
      </c>
      <c r="W76">
        <f t="shared" si="16"/>
        <v>15.312837444163915</v>
      </c>
      <c r="X76">
        <f t="shared" si="17"/>
        <v>6.2563245774371605</v>
      </c>
      <c r="Y76" s="8">
        <f t="shared" si="18"/>
        <v>6.5702638491598103E-2</v>
      </c>
      <c r="Z76" s="8">
        <f t="shared" si="19"/>
        <v>4.7049794705254611E-2</v>
      </c>
      <c r="AA76" s="10">
        <f t="shared" si="20"/>
        <v>4.8534925003687106E-2</v>
      </c>
      <c r="AB76" s="12">
        <v>386.24400000000003</v>
      </c>
      <c r="AC76" s="12">
        <v>366.75</v>
      </c>
      <c r="AD76" s="8">
        <f t="shared" si="21"/>
        <v>5.3153374233128908E-2</v>
      </c>
    </row>
    <row r="77" spans="1:30" x14ac:dyDescent="0.3">
      <c r="A77" t="s">
        <v>40</v>
      </c>
      <c r="B77" s="11">
        <v>2022</v>
      </c>
      <c r="C77" s="12">
        <v>140.44999999999999</v>
      </c>
      <c r="D77" s="12">
        <v>1340.989</v>
      </c>
      <c r="E77" s="12">
        <v>44.124000000000002</v>
      </c>
      <c r="F77" s="12">
        <v>37.664999999999999</v>
      </c>
      <c r="G77" s="12">
        <v>1385.1130000000001</v>
      </c>
      <c r="H77" s="12">
        <v>543.47199999999998</v>
      </c>
      <c r="I77" s="12">
        <v>841.64099999999996</v>
      </c>
      <c r="J77" s="12">
        <v>542.97</v>
      </c>
      <c r="K77" s="5">
        <v>3.1565074996312899E-2</v>
      </c>
      <c r="L77" s="5">
        <v>8.1235144676734303E-2</v>
      </c>
      <c r="M77" s="8">
        <v>8.0100000000000005E-2</v>
      </c>
      <c r="N77" s="12">
        <v>23271.212500000001</v>
      </c>
      <c r="O77" s="3">
        <f t="shared" si="11"/>
        <v>31</v>
      </c>
      <c r="P77" s="13">
        <v>1992</v>
      </c>
      <c r="Q77" s="14">
        <v>134.21</v>
      </c>
      <c r="R77" s="14">
        <v>177.31</v>
      </c>
      <c r="S77" s="4">
        <f t="shared" si="12"/>
        <v>17.614513730895045</v>
      </c>
      <c r="T77" s="8">
        <f t="shared" si="13"/>
        <v>0.16687637603206118</v>
      </c>
      <c r="U77" s="8">
        <f t="shared" si="14"/>
        <v>0.10139966919666481</v>
      </c>
      <c r="V77" s="9">
        <f t="shared" si="15"/>
        <v>0.64572899846846821</v>
      </c>
      <c r="W77">
        <f t="shared" si="16"/>
        <v>2.4697294509825589</v>
      </c>
      <c r="X77">
        <f t="shared" si="17"/>
        <v>6.6608075766601305</v>
      </c>
      <c r="Y77" s="8">
        <f t="shared" si="18"/>
        <v>2.7192727235972804E-2</v>
      </c>
      <c r="Z77" s="8">
        <f t="shared" si="19"/>
        <v>4.7049794705254611E-2</v>
      </c>
      <c r="AA77" s="10">
        <f t="shared" si="20"/>
        <v>4.8534925003687106E-2</v>
      </c>
      <c r="AB77" s="12">
        <v>2304.8690000000001</v>
      </c>
      <c r="AC77" s="12">
        <v>2142.096</v>
      </c>
      <c r="AD77" s="8">
        <f t="shared" si="21"/>
        <v>7.5987724172959639E-2</v>
      </c>
    </row>
    <row r="78" spans="1:30" x14ac:dyDescent="0.3">
      <c r="A78" t="s">
        <v>41</v>
      </c>
      <c r="B78" s="11">
        <v>2022</v>
      </c>
      <c r="C78" s="12">
        <v>90.879000000000005</v>
      </c>
      <c r="D78" s="12">
        <v>2149.652</v>
      </c>
      <c r="E78" s="12">
        <v>764.38</v>
      </c>
      <c r="F78" s="12">
        <v>373.68700000000001</v>
      </c>
      <c r="G78" s="12">
        <v>2914.0320000000002</v>
      </c>
      <c r="H78" s="12">
        <v>1518.981</v>
      </c>
      <c r="I78" s="12">
        <v>1395.05</v>
      </c>
      <c r="J78" s="12">
        <v>1491.1</v>
      </c>
      <c r="K78" s="5">
        <v>3.1565074996312899E-2</v>
      </c>
      <c r="L78" s="5">
        <v>8.1235144676734303E-2</v>
      </c>
      <c r="M78" s="8">
        <v>8.0100000000000005E-2</v>
      </c>
      <c r="N78" s="12">
        <v>23271.212500000001</v>
      </c>
      <c r="O78" s="3">
        <f t="shared" si="11"/>
        <v>46</v>
      </c>
      <c r="P78" s="13">
        <v>1977</v>
      </c>
      <c r="Q78" s="14">
        <v>134.21</v>
      </c>
      <c r="R78" s="14">
        <v>177.31</v>
      </c>
      <c r="S78" s="4">
        <f t="shared" si="12"/>
        <v>17.614513730895045</v>
      </c>
      <c r="T78" s="8">
        <f t="shared" si="13"/>
        <v>6.5143901652270533E-2</v>
      </c>
      <c r="U78" s="8">
        <f t="shared" si="14"/>
        <v>3.1186685664399017E-2</v>
      </c>
      <c r="V78" s="9">
        <f t="shared" si="15"/>
        <v>1.0888362424285869</v>
      </c>
      <c r="W78">
        <f t="shared" si="16"/>
        <v>1.4416551539132185</v>
      </c>
      <c r="X78">
        <f t="shared" si="17"/>
        <v>7.4045635410828199</v>
      </c>
      <c r="Y78" s="8">
        <f t="shared" si="18"/>
        <v>0.12823709554321983</v>
      </c>
      <c r="Z78" s="8">
        <f t="shared" si="19"/>
        <v>4.7049794705254611E-2</v>
      </c>
      <c r="AA78" s="10">
        <f t="shared" si="20"/>
        <v>4.8534925003687106E-2</v>
      </c>
      <c r="AB78" s="12">
        <v>2923.6410000000001</v>
      </c>
      <c r="AC78" s="12">
        <v>2097.8000000000002</v>
      </c>
      <c r="AD78" s="8">
        <f t="shared" si="21"/>
        <v>0.39367003527504996</v>
      </c>
    </row>
    <row r="79" spans="1:30" x14ac:dyDescent="0.3">
      <c r="A79" t="s">
        <v>42</v>
      </c>
      <c r="B79" s="11">
        <v>2022</v>
      </c>
      <c r="C79" s="12">
        <v>79.185000000000002</v>
      </c>
      <c r="D79" s="12">
        <v>3012.424</v>
      </c>
      <c r="E79" s="12">
        <v>1191.8130000000001</v>
      </c>
      <c r="F79" s="12">
        <v>1097.47</v>
      </c>
      <c r="G79" s="12">
        <v>4204.2370000000001</v>
      </c>
      <c r="H79" s="12">
        <v>2902.8029999999999</v>
      </c>
      <c r="I79" s="12">
        <v>1301.434</v>
      </c>
      <c r="J79" s="12">
        <v>2751.26</v>
      </c>
      <c r="K79" s="5">
        <v>3.1565074996312899E-2</v>
      </c>
      <c r="L79" s="5">
        <v>8.1235144676734303E-2</v>
      </c>
      <c r="M79" s="8">
        <v>8.0100000000000005E-2</v>
      </c>
      <c r="N79" s="12">
        <v>23271.212500000001</v>
      </c>
      <c r="O79" s="3">
        <f t="shared" si="11"/>
        <v>47</v>
      </c>
      <c r="P79" s="13">
        <v>1976</v>
      </c>
      <c r="Q79" s="14">
        <v>134.21</v>
      </c>
      <c r="R79" s="14">
        <v>177.31</v>
      </c>
      <c r="S79" s="4">
        <f t="shared" si="12"/>
        <v>17.614513730895045</v>
      </c>
      <c r="T79" s="8">
        <f t="shared" si="13"/>
        <v>6.084442238330949E-2</v>
      </c>
      <c r="U79" s="8">
        <f t="shared" si="14"/>
        <v>1.8834570934036308E-2</v>
      </c>
      <c r="V79" s="9">
        <f t="shared" si="15"/>
        <v>2.2304650101349743</v>
      </c>
      <c r="W79">
        <f t="shared" si="16"/>
        <v>1.0949252342563043</v>
      </c>
      <c r="X79">
        <f t="shared" si="17"/>
        <v>7.7711186782080981</v>
      </c>
      <c r="Y79" s="8">
        <f t="shared" si="18"/>
        <v>0.26103904228044233</v>
      </c>
      <c r="Z79" s="8">
        <f t="shared" si="19"/>
        <v>4.7049794705254611E-2</v>
      </c>
      <c r="AA79" s="10">
        <f t="shared" si="20"/>
        <v>4.8534925003687106E-2</v>
      </c>
      <c r="AB79" s="12">
        <v>5559.7820000000002</v>
      </c>
      <c r="AC79" s="12">
        <v>4963.9129999999996</v>
      </c>
      <c r="AD79" s="8">
        <f t="shared" si="21"/>
        <v>0.12004017798055701</v>
      </c>
    </row>
    <row r="80" spans="1:30" x14ac:dyDescent="0.3">
      <c r="A80" t="s">
        <v>43</v>
      </c>
      <c r="B80" s="11">
        <v>2022</v>
      </c>
      <c r="C80" s="12">
        <v>117.53</v>
      </c>
      <c r="D80" s="12">
        <v>1733.807</v>
      </c>
      <c r="E80" s="12">
        <v>792.88900000000001</v>
      </c>
      <c r="F80" s="12">
        <v>173.36099999999999</v>
      </c>
      <c r="G80" s="12">
        <v>2526.6959999999999</v>
      </c>
      <c r="H80" s="12">
        <v>1602.0509999999999</v>
      </c>
      <c r="I80" s="12">
        <v>924.64499999999998</v>
      </c>
      <c r="J80" s="12">
        <v>1473.3</v>
      </c>
      <c r="K80" s="5">
        <v>3.1565074996312899E-2</v>
      </c>
      <c r="L80" s="5">
        <v>8.1235144676734303E-2</v>
      </c>
      <c r="M80" s="8">
        <v>8.0100000000000005E-2</v>
      </c>
      <c r="N80" s="12">
        <v>23271.212500000001</v>
      </c>
      <c r="O80" s="3">
        <f t="shared" si="11"/>
        <v>14</v>
      </c>
      <c r="P80" s="13">
        <v>2009</v>
      </c>
      <c r="Q80" s="14">
        <v>134.21</v>
      </c>
      <c r="R80" s="14">
        <v>177.31</v>
      </c>
      <c r="S80" s="4">
        <f t="shared" si="12"/>
        <v>17.614513730895045</v>
      </c>
      <c r="T80" s="8">
        <f t="shared" si="13"/>
        <v>0.12710824154134831</v>
      </c>
      <c r="U80" s="8">
        <f t="shared" si="14"/>
        <v>4.651529111535381E-2</v>
      </c>
      <c r="V80" s="9">
        <f t="shared" si="15"/>
        <v>1.7326119754067777</v>
      </c>
      <c r="W80">
        <f t="shared" si="16"/>
        <v>1.1768187063055726</v>
      </c>
      <c r="X80">
        <f t="shared" si="17"/>
        <v>7.2619383723187925</v>
      </c>
      <c r="Y80" s="8">
        <f t="shared" si="18"/>
        <v>6.8611736433666734E-2</v>
      </c>
      <c r="Z80" s="8">
        <f t="shared" si="19"/>
        <v>4.7049794705254611E-2</v>
      </c>
      <c r="AA80" s="10">
        <f t="shared" si="20"/>
        <v>4.8534925003687106E-2</v>
      </c>
      <c r="AB80" s="12">
        <v>6367.5839999999998</v>
      </c>
      <c r="AC80" s="12">
        <v>4561.8270000000002</v>
      </c>
      <c r="AD80" s="8">
        <f t="shared" si="21"/>
        <v>0.3958407453855658</v>
      </c>
    </row>
    <row r="81" spans="1:30" x14ac:dyDescent="0.3">
      <c r="A81" t="s">
        <v>44</v>
      </c>
      <c r="B81" s="11">
        <v>2022</v>
      </c>
      <c r="C81" s="12">
        <v>80.099000000000004</v>
      </c>
      <c r="D81" s="12">
        <v>1286.5</v>
      </c>
      <c r="E81" s="12">
        <v>466.16399999999999</v>
      </c>
      <c r="F81" s="12">
        <v>271.42099999999999</v>
      </c>
      <c r="G81" s="12">
        <v>1752.664</v>
      </c>
      <c r="H81" s="12">
        <v>986.37199999999996</v>
      </c>
      <c r="I81" s="12">
        <v>766.29200000000003</v>
      </c>
      <c r="J81" s="12">
        <v>942.67</v>
      </c>
      <c r="K81" s="5">
        <v>3.1565074996312899E-2</v>
      </c>
      <c r="L81" s="5">
        <v>8.1235144676734303E-2</v>
      </c>
      <c r="M81" s="8">
        <v>8.0100000000000005E-2</v>
      </c>
      <c r="N81" s="12">
        <v>23271.212500000001</v>
      </c>
      <c r="O81" s="3">
        <f t="shared" si="11"/>
        <v>15</v>
      </c>
      <c r="P81" s="13">
        <v>2008</v>
      </c>
      <c r="Q81" s="14">
        <v>134.21</v>
      </c>
      <c r="R81" s="14">
        <v>177.31</v>
      </c>
      <c r="S81" s="4">
        <f t="shared" si="12"/>
        <v>17.614513730895045</v>
      </c>
      <c r="T81" s="8">
        <f t="shared" si="13"/>
        <v>0.10452803891988954</v>
      </c>
      <c r="U81" s="8">
        <f t="shared" si="14"/>
        <v>4.5701286726948238E-2</v>
      </c>
      <c r="V81" s="9">
        <f t="shared" si="15"/>
        <v>1.2872012235544674</v>
      </c>
      <c r="W81">
        <f t="shared" si="16"/>
        <v>1.3647405772964027</v>
      </c>
      <c r="X81">
        <f t="shared" si="17"/>
        <v>6.8961627680486925</v>
      </c>
      <c r="Y81" s="8">
        <f t="shared" si="18"/>
        <v>0.15486197012091307</v>
      </c>
      <c r="Z81" s="8">
        <f t="shared" si="19"/>
        <v>4.7049794705254611E-2</v>
      </c>
      <c r="AA81" s="10">
        <f t="shared" si="20"/>
        <v>4.8534925003687106E-2</v>
      </c>
      <c r="AB81" s="12">
        <v>2999.7350000000001</v>
      </c>
      <c r="AC81" s="12">
        <v>2259.9769999999999</v>
      </c>
      <c r="AD81" s="8">
        <f t="shared" si="21"/>
        <v>0.3273298799058576</v>
      </c>
    </row>
    <row r="82" spans="1:30" x14ac:dyDescent="0.3">
      <c r="A82" t="s">
        <v>45</v>
      </c>
      <c r="B82" s="11">
        <v>2022</v>
      </c>
      <c r="C82" s="12">
        <v>5.1950000000000003</v>
      </c>
      <c r="D82" s="12">
        <v>7065.13</v>
      </c>
      <c r="E82" s="12">
        <v>5908.9740000000002</v>
      </c>
      <c r="F82" s="12">
        <v>4301.7650000000003</v>
      </c>
      <c r="G82" s="12">
        <v>12974.103999999999</v>
      </c>
      <c r="H82" s="12">
        <v>8332.8760000000002</v>
      </c>
      <c r="I82" s="12">
        <v>4641.2280000000001</v>
      </c>
      <c r="J82" s="12">
        <v>7213.03</v>
      </c>
      <c r="K82" s="5">
        <v>3.1565074996312899E-2</v>
      </c>
      <c r="L82" s="5">
        <v>8.1235144676734303E-2</v>
      </c>
      <c r="M82" s="8">
        <v>8.0100000000000005E-2</v>
      </c>
      <c r="N82" s="12">
        <v>23271.212500000001</v>
      </c>
      <c r="O82" s="3">
        <f t="shared" si="11"/>
        <v>27</v>
      </c>
      <c r="P82" s="13">
        <v>1996</v>
      </c>
      <c r="Q82" s="14">
        <v>134.21</v>
      </c>
      <c r="R82" s="14">
        <v>177.31</v>
      </c>
      <c r="S82" s="4">
        <f t="shared" si="12"/>
        <v>17.614513730895045</v>
      </c>
      <c r="T82" s="8">
        <f t="shared" si="13"/>
        <v>1.1193158362398916E-3</v>
      </c>
      <c r="U82" s="8">
        <f t="shared" si="14"/>
        <v>4.00413007325978E-4</v>
      </c>
      <c r="V82" s="9">
        <f t="shared" si="15"/>
        <v>1.7954032855097832</v>
      </c>
      <c r="W82">
        <f t="shared" si="16"/>
        <v>0.97949544088961227</v>
      </c>
      <c r="X82">
        <f t="shared" si="17"/>
        <v>8.8979812226921311</v>
      </c>
      <c r="Y82" s="8">
        <f t="shared" si="18"/>
        <v>0.33156547843303863</v>
      </c>
      <c r="Z82" s="8">
        <f t="shared" si="19"/>
        <v>4.7049794705254611E-2</v>
      </c>
      <c r="AA82" s="10">
        <f t="shared" si="20"/>
        <v>4.8534925003687106E-2</v>
      </c>
      <c r="AB82" s="12">
        <v>11687.826999999999</v>
      </c>
      <c r="AC82" s="12">
        <v>10961.93</v>
      </c>
      <c r="AD82" s="8">
        <f t="shared" si="21"/>
        <v>6.6219817130742403E-2</v>
      </c>
    </row>
    <row r="83" spans="1:30" x14ac:dyDescent="0.3">
      <c r="A83" t="s">
        <v>46</v>
      </c>
      <c r="B83" s="11">
        <v>2022</v>
      </c>
      <c r="C83" s="12">
        <v>14.855</v>
      </c>
      <c r="D83" s="12">
        <v>1012.023</v>
      </c>
      <c r="E83" s="12">
        <v>473.065</v>
      </c>
      <c r="F83" s="12">
        <v>337.43099999999998</v>
      </c>
      <c r="G83" s="12">
        <v>1485.088</v>
      </c>
      <c r="H83" s="12">
        <v>551.13</v>
      </c>
      <c r="I83" s="12">
        <v>933.95799999999997</v>
      </c>
      <c r="J83" s="12">
        <v>519.02</v>
      </c>
      <c r="K83" s="5">
        <v>3.1565074996312899E-2</v>
      </c>
      <c r="L83" s="5">
        <v>8.1235144676734303E-2</v>
      </c>
      <c r="M83" s="8">
        <v>8.0100000000000005E-2</v>
      </c>
      <c r="N83" s="12">
        <v>23271.212500000001</v>
      </c>
      <c r="O83" s="3">
        <f t="shared" si="11"/>
        <v>50</v>
      </c>
      <c r="P83" s="13">
        <v>1973</v>
      </c>
      <c r="Q83" s="14">
        <v>134.21</v>
      </c>
      <c r="R83" s="14">
        <v>177.31</v>
      </c>
      <c r="S83" s="4">
        <f t="shared" si="12"/>
        <v>17.614513730895045</v>
      </c>
      <c r="T83" s="8">
        <f t="shared" si="13"/>
        <v>1.5905426154066885E-2</v>
      </c>
      <c r="U83" s="8">
        <f t="shared" si="14"/>
        <v>1.0002774246374626E-2</v>
      </c>
      <c r="V83" s="9">
        <f t="shared" si="15"/>
        <v>0.59010148207949398</v>
      </c>
      <c r="W83">
        <f t="shared" si="16"/>
        <v>1.9498728372702401</v>
      </c>
      <c r="X83">
        <f t="shared" si="17"/>
        <v>6.730499881659493</v>
      </c>
      <c r="Y83" s="8">
        <f t="shared" si="18"/>
        <v>0.22721279816414919</v>
      </c>
      <c r="Z83" s="8">
        <f t="shared" si="19"/>
        <v>4.7049794705254611E-2</v>
      </c>
      <c r="AA83" s="10">
        <f t="shared" si="20"/>
        <v>4.8534925003687106E-2</v>
      </c>
      <c r="AB83" s="12">
        <v>1001.213</v>
      </c>
      <c r="AC83" s="12">
        <v>749.31500000000005</v>
      </c>
      <c r="AD83" s="8">
        <f t="shared" si="21"/>
        <v>0.33617103621307448</v>
      </c>
    </row>
    <row r="84" spans="1:30" x14ac:dyDescent="0.3">
      <c r="A84" t="s">
        <v>47</v>
      </c>
      <c r="B84" s="11">
        <v>2022</v>
      </c>
      <c r="C84" s="12">
        <v>307.185</v>
      </c>
      <c r="D84" s="12">
        <v>2457.4259999999999</v>
      </c>
      <c r="E84" s="12">
        <v>960.37300000000005</v>
      </c>
      <c r="F84" s="12">
        <v>900.54100000000005</v>
      </c>
      <c r="G84" s="12">
        <v>3417.799</v>
      </c>
      <c r="H84" s="12">
        <v>1508.0360000000001</v>
      </c>
      <c r="I84" s="12">
        <v>1909.7629999999999</v>
      </c>
      <c r="J84" s="12">
        <v>1506.93</v>
      </c>
      <c r="K84" s="5">
        <v>3.1565074996312899E-2</v>
      </c>
      <c r="L84" s="5">
        <v>8.1235144676734303E-2</v>
      </c>
      <c r="M84" s="8">
        <v>8.0100000000000005E-2</v>
      </c>
      <c r="N84" s="12">
        <v>23271.212500000001</v>
      </c>
      <c r="O84" s="3">
        <f t="shared" si="11"/>
        <v>48</v>
      </c>
      <c r="P84" s="13">
        <v>1975</v>
      </c>
      <c r="Q84" s="14">
        <v>134.21</v>
      </c>
      <c r="R84" s="14">
        <v>177.31</v>
      </c>
      <c r="S84" s="4">
        <f t="shared" si="12"/>
        <v>17.614513730895045</v>
      </c>
      <c r="T84" s="8">
        <f t="shared" si="13"/>
        <v>0.16084980178168706</v>
      </c>
      <c r="U84" s="8">
        <f t="shared" si="14"/>
        <v>8.9878017987599618E-2</v>
      </c>
      <c r="V84" s="9">
        <f t="shared" si="15"/>
        <v>0.78964562618502931</v>
      </c>
      <c r="W84">
        <f t="shared" si="16"/>
        <v>1.630749935298919</v>
      </c>
      <c r="X84">
        <f t="shared" si="17"/>
        <v>7.5640226285460859</v>
      </c>
      <c r="Y84" s="8">
        <f t="shared" si="18"/>
        <v>0.26348565260859402</v>
      </c>
      <c r="Z84" s="8">
        <f t="shared" si="19"/>
        <v>4.7049794705254611E-2</v>
      </c>
      <c r="AA84" s="10">
        <f t="shared" si="20"/>
        <v>4.8534925003687106E-2</v>
      </c>
      <c r="AB84" s="12">
        <v>5139.1670000000004</v>
      </c>
      <c r="AC84" s="12">
        <v>4635.5249999999996</v>
      </c>
      <c r="AD84" s="8">
        <f t="shared" si="21"/>
        <v>0.10864831923029231</v>
      </c>
    </row>
    <row r="85" spans="1:30" x14ac:dyDescent="0.3">
      <c r="A85" t="s">
        <v>48</v>
      </c>
      <c r="B85" s="11">
        <v>2022</v>
      </c>
      <c r="C85" s="12">
        <v>91.828999999999994</v>
      </c>
      <c r="D85" s="12">
        <v>1055.146</v>
      </c>
      <c r="E85" s="12">
        <v>401.55</v>
      </c>
      <c r="F85" s="12">
        <v>165.51</v>
      </c>
      <c r="G85" s="12">
        <v>1456.6949999999999</v>
      </c>
      <c r="H85" s="12">
        <v>428.85399999999998</v>
      </c>
      <c r="I85" s="12">
        <v>1027.8409999999999</v>
      </c>
      <c r="J85" s="12">
        <v>312.01</v>
      </c>
      <c r="K85" s="5">
        <v>3.1565074996312899E-2</v>
      </c>
      <c r="L85" s="5">
        <v>8.1235144676734303E-2</v>
      </c>
      <c r="M85" s="8">
        <v>8.0100000000000005E-2</v>
      </c>
      <c r="N85" s="12">
        <v>23271.212500000001</v>
      </c>
      <c r="O85" s="3">
        <f t="shared" si="11"/>
        <v>30</v>
      </c>
      <c r="P85" s="13">
        <v>1993</v>
      </c>
      <c r="Q85" s="14">
        <v>134.21</v>
      </c>
      <c r="R85" s="14">
        <v>177.31</v>
      </c>
      <c r="S85" s="4">
        <f t="shared" si="12"/>
        <v>17.614513730895045</v>
      </c>
      <c r="T85" s="8">
        <f t="shared" si="13"/>
        <v>8.9341639416991539E-2</v>
      </c>
      <c r="U85" s="8">
        <f t="shared" si="14"/>
        <v>6.3039277268062285E-2</v>
      </c>
      <c r="V85" s="9">
        <f t="shared" si="15"/>
        <v>0.41723768559534019</v>
      </c>
      <c r="W85">
        <f t="shared" si="16"/>
        <v>3.3817698150700299</v>
      </c>
      <c r="X85">
        <f t="shared" si="17"/>
        <v>6.7111960229524712</v>
      </c>
      <c r="Y85" s="8">
        <f t="shared" si="18"/>
        <v>0.11362021562509654</v>
      </c>
      <c r="Z85" s="8">
        <f t="shared" si="19"/>
        <v>4.7049794705254611E-2</v>
      </c>
      <c r="AA85" s="10">
        <f t="shared" si="20"/>
        <v>4.8534925003687106E-2</v>
      </c>
      <c r="AB85" s="12">
        <v>1021.675</v>
      </c>
      <c r="AC85" s="12">
        <v>866.45100000000002</v>
      </c>
      <c r="AD85" s="8">
        <f t="shared" si="21"/>
        <v>0.1791491959729978</v>
      </c>
    </row>
    <row r="86" spans="1:30" x14ac:dyDescent="0.3">
      <c r="A86" t="s">
        <v>49</v>
      </c>
      <c r="B86" s="11">
        <v>2022</v>
      </c>
      <c r="C86" s="12">
        <v>321.01799999999997</v>
      </c>
      <c r="D86" s="12">
        <v>1876.998</v>
      </c>
      <c r="E86" s="12">
        <v>1111.809</v>
      </c>
      <c r="F86" s="12">
        <v>418.63299999999998</v>
      </c>
      <c r="G86" s="12">
        <v>2988.8069999999998</v>
      </c>
      <c r="H86" s="12">
        <v>872.745</v>
      </c>
      <c r="I86" s="12">
        <v>2116.0619999999999</v>
      </c>
      <c r="J86" s="12">
        <v>862.55</v>
      </c>
      <c r="K86" s="5">
        <v>3.1565074996312899E-2</v>
      </c>
      <c r="L86" s="5">
        <v>8.1235144676734303E-2</v>
      </c>
      <c r="M86" s="8">
        <v>8.0100000000000005E-2</v>
      </c>
      <c r="N86" s="12">
        <v>23271.212500000001</v>
      </c>
      <c r="O86" s="3">
        <f t="shared" si="11"/>
        <v>27</v>
      </c>
      <c r="P86" s="13">
        <v>1996</v>
      </c>
      <c r="Q86" s="14">
        <v>134.21</v>
      </c>
      <c r="R86" s="14">
        <v>177.31</v>
      </c>
      <c r="S86" s="4">
        <f t="shared" si="12"/>
        <v>17.614513730895045</v>
      </c>
      <c r="T86" s="8">
        <f t="shared" si="13"/>
        <v>0.1517053848138665</v>
      </c>
      <c r="U86" s="8">
        <f t="shared" si="14"/>
        <v>0.10740673452651844</v>
      </c>
      <c r="V86" s="9">
        <f t="shared" si="15"/>
        <v>0.41243829339594024</v>
      </c>
      <c r="W86">
        <f t="shared" si="16"/>
        <v>2.1761034142948237</v>
      </c>
      <c r="X86">
        <f t="shared" si="17"/>
        <v>7.429900163028063</v>
      </c>
      <c r="Y86" s="8">
        <f t="shared" si="18"/>
        <v>0.14006692302313264</v>
      </c>
      <c r="Z86" s="8">
        <f t="shared" si="19"/>
        <v>4.7049794705254611E-2</v>
      </c>
      <c r="AA86" s="10">
        <f t="shared" si="20"/>
        <v>4.8534925003687106E-2</v>
      </c>
      <c r="AB86" s="12">
        <v>5707.2030000000004</v>
      </c>
      <c r="AC86" s="12">
        <v>5204.375</v>
      </c>
      <c r="AD86" s="8">
        <f t="shared" si="21"/>
        <v>9.6616404467395306E-2</v>
      </c>
    </row>
    <row r="87" spans="1:30" x14ac:dyDescent="0.3">
      <c r="A87" t="s">
        <v>50</v>
      </c>
      <c r="B87" s="11">
        <v>2022</v>
      </c>
      <c r="C87" s="12">
        <v>69.27</v>
      </c>
      <c r="D87" s="12">
        <v>295.07499999999999</v>
      </c>
      <c r="E87" s="12">
        <v>110.931</v>
      </c>
      <c r="F87" s="12">
        <v>96.876999999999995</v>
      </c>
      <c r="G87" s="12">
        <v>406.00599999999997</v>
      </c>
      <c r="H87" s="12">
        <v>111.655</v>
      </c>
      <c r="I87" s="12">
        <v>294.351</v>
      </c>
      <c r="J87" s="12">
        <v>107.68</v>
      </c>
      <c r="K87" s="5">
        <v>3.1565074996312899E-2</v>
      </c>
      <c r="L87" s="5">
        <v>8.1235144676734303E-2</v>
      </c>
      <c r="M87" s="8">
        <v>8.0100000000000005E-2</v>
      </c>
      <c r="N87" s="12">
        <v>23271.212500000001</v>
      </c>
      <c r="O87" s="3">
        <f t="shared" si="11"/>
        <v>32</v>
      </c>
      <c r="P87" s="13">
        <v>1991</v>
      </c>
      <c r="Q87" s="14">
        <v>134.21</v>
      </c>
      <c r="R87" s="14">
        <v>177.31</v>
      </c>
      <c r="S87" s="4">
        <f t="shared" si="12"/>
        <v>17.614513730895045</v>
      </c>
      <c r="T87" s="8">
        <f t="shared" si="13"/>
        <v>0.23533128815597704</v>
      </c>
      <c r="U87" s="8">
        <f t="shared" si="14"/>
        <v>0.17061324216883494</v>
      </c>
      <c r="V87" s="9">
        <f t="shared" si="15"/>
        <v>0.37932604271770776</v>
      </c>
      <c r="W87">
        <f t="shared" si="16"/>
        <v>2.7402953194650816</v>
      </c>
      <c r="X87">
        <f t="shared" si="17"/>
        <v>5.4336385107368512</v>
      </c>
      <c r="Y87" s="8">
        <f t="shared" si="18"/>
        <v>0.23860977423978957</v>
      </c>
      <c r="Z87" s="8">
        <f t="shared" si="19"/>
        <v>4.7049794705254611E-2</v>
      </c>
      <c r="AA87" s="10">
        <f t="shared" si="20"/>
        <v>4.8534925003687106E-2</v>
      </c>
      <c r="AB87" s="12">
        <v>401.58300000000003</v>
      </c>
      <c r="AC87" s="12">
        <v>340.14600000000002</v>
      </c>
      <c r="AD87" s="8">
        <f t="shared" si="21"/>
        <v>0.18061949868585844</v>
      </c>
    </row>
    <row r="88" spans="1:30" x14ac:dyDescent="0.3">
      <c r="A88" t="s">
        <v>51</v>
      </c>
      <c r="B88" s="11">
        <v>2022</v>
      </c>
      <c r="C88" s="12">
        <v>361.39299999999997</v>
      </c>
      <c r="D88" s="12">
        <v>3492.442</v>
      </c>
      <c r="E88" s="12">
        <v>495.89499999999998</v>
      </c>
      <c r="F88" s="12">
        <v>255.624</v>
      </c>
      <c r="G88" s="12">
        <v>3988.337</v>
      </c>
      <c r="H88" s="12">
        <v>1476.6780000000001</v>
      </c>
      <c r="I88" s="12">
        <v>2511.6590000000001</v>
      </c>
      <c r="J88" s="12">
        <v>1329.86</v>
      </c>
      <c r="K88" s="5">
        <v>3.1565074996312899E-2</v>
      </c>
      <c r="L88" s="5">
        <v>8.1235144676734303E-2</v>
      </c>
      <c r="M88" s="8">
        <v>8.0100000000000005E-2</v>
      </c>
      <c r="N88" s="12">
        <v>23271.212500000001</v>
      </c>
      <c r="O88" s="3">
        <f t="shared" si="11"/>
        <v>41</v>
      </c>
      <c r="P88" s="13">
        <v>1982</v>
      </c>
      <c r="Q88" s="14">
        <v>134.21</v>
      </c>
      <c r="R88" s="14">
        <v>177.31</v>
      </c>
      <c r="S88" s="4">
        <f t="shared" si="12"/>
        <v>17.614513730895045</v>
      </c>
      <c r="T88" s="8">
        <f t="shared" si="13"/>
        <v>0.14388617244617999</v>
      </c>
      <c r="U88" s="8">
        <f t="shared" si="14"/>
        <v>9.0612453260594569E-2</v>
      </c>
      <c r="V88" s="9">
        <f t="shared" si="15"/>
        <v>0.58792933276372317</v>
      </c>
      <c r="W88">
        <f t="shared" si="16"/>
        <v>2.6261726798309599</v>
      </c>
      <c r="X88">
        <f t="shared" si="17"/>
        <v>7.7184002039412345</v>
      </c>
      <c r="Y88" s="8">
        <f t="shared" si="18"/>
        <v>6.4092878811394319E-2</v>
      </c>
      <c r="Z88" s="8">
        <f t="shared" si="19"/>
        <v>4.7049794705254611E-2</v>
      </c>
      <c r="AA88" s="10">
        <f t="shared" si="20"/>
        <v>4.8534925003687106E-2</v>
      </c>
      <c r="AB88" s="12">
        <v>3166.7089999999998</v>
      </c>
      <c r="AC88" s="12">
        <v>4150.32</v>
      </c>
      <c r="AD88" s="8">
        <f t="shared" si="21"/>
        <v>-0.23699642437209659</v>
      </c>
    </row>
    <row r="89" spans="1:30" x14ac:dyDescent="0.3">
      <c r="A89" t="s">
        <v>52</v>
      </c>
      <c r="B89" s="11">
        <v>2022</v>
      </c>
      <c r="C89" s="12">
        <v>-84.701999999999998</v>
      </c>
      <c r="D89" s="12">
        <v>328.33499999999998</v>
      </c>
      <c r="E89" s="12">
        <v>207.05699999999999</v>
      </c>
      <c r="F89" s="12">
        <v>139.99199999999999</v>
      </c>
      <c r="G89" s="12">
        <v>535.39200000000005</v>
      </c>
      <c r="H89" s="12">
        <v>87.346000000000004</v>
      </c>
      <c r="I89" s="12">
        <v>448.04599999999999</v>
      </c>
      <c r="J89" s="12">
        <v>73.14</v>
      </c>
      <c r="K89" s="5">
        <v>3.1565074996312899E-2</v>
      </c>
      <c r="L89" s="5">
        <v>8.1235144676734303E-2</v>
      </c>
      <c r="M89" s="8">
        <v>8.0100000000000005E-2</v>
      </c>
      <c r="N89" s="12">
        <v>23271.212500000001</v>
      </c>
      <c r="O89" s="3">
        <f t="shared" si="11"/>
        <v>47</v>
      </c>
      <c r="P89" s="13">
        <v>1976</v>
      </c>
      <c r="Q89" s="14">
        <v>134.21</v>
      </c>
      <c r="R89" s="14">
        <v>177.31</v>
      </c>
      <c r="S89" s="4">
        <f t="shared" si="12"/>
        <v>17.614513730895045</v>
      </c>
      <c r="T89" s="8">
        <f t="shared" si="13"/>
        <v>-0.18904755315302446</v>
      </c>
      <c r="U89" s="8">
        <f t="shared" si="14"/>
        <v>-0.15820557647480724</v>
      </c>
      <c r="V89" s="9">
        <f t="shared" si="15"/>
        <v>0.19494873294259965</v>
      </c>
      <c r="W89">
        <f t="shared" si="16"/>
        <v>4.4891304347826084</v>
      </c>
      <c r="X89">
        <f t="shared" si="17"/>
        <v>5.7102697617944473</v>
      </c>
      <c r="Y89" s="8">
        <f t="shared" si="18"/>
        <v>0.26147570378339607</v>
      </c>
      <c r="Z89" s="8">
        <f t="shared" si="19"/>
        <v>4.7049794705254611E-2</v>
      </c>
      <c r="AA89" s="10">
        <f t="shared" si="20"/>
        <v>4.8534925003687106E-2</v>
      </c>
      <c r="AB89" s="12">
        <v>292.17599999999999</v>
      </c>
      <c r="AC89" s="12">
        <v>1064.7719999999999</v>
      </c>
      <c r="AD89" s="8">
        <f t="shared" si="21"/>
        <v>-0.7255975927240762</v>
      </c>
    </row>
    <row r="90" spans="1:30" x14ac:dyDescent="0.3">
      <c r="A90" t="s">
        <v>53</v>
      </c>
      <c r="B90" s="11">
        <v>2022</v>
      </c>
      <c r="C90" s="12">
        <v>1124.675</v>
      </c>
      <c r="D90" s="12">
        <v>8038.5609999999997</v>
      </c>
      <c r="E90" s="12">
        <v>11759.826999999999</v>
      </c>
      <c r="F90" s="12">
        <v>3821.15</v>
      </c>
      <c r="G90" s="12">
        <v>19798.387999999999</v>
      </c>
      <c r="H90" s="12">
        <v>14603.644</v>
      </c>
      <c r="I90" s="12">
        <v>5194.7430000000004</v>
      </c>
      <c r="J90" s="12">
        <v>9218.06</v>
      </c>
      <c r="K90" s="5">
        <v>3.1565074996312899E-2</v>
      </c>
      <c r="L90" s="5">
        <v>8.1235144676734303E-2</v>
      </c>
      <c r="M90" s="8">
        <v>8.0100000000000005E-2</v>
      </c>
      <c r="N90" s="12">
        <v>23271.212500000001</v>
      </c>
      <c r="O90" s="3">
        <f t="shared" si="11"/>
        <v>30</v>
      </c>
      <c r="P90" s="13">
        <v>1993</v>
      </c>
      <c r="Q90" s="14">
        <v>134.21</v>
      </c>
      <c r="R90" s="14">
        <v>177.31</v>
      </c>
      <c r="S90" s="4">
        <f t="shared" si="12"/>
        <v>17.614513730895045</v>
      </c>
      <c r="T90" s="8">
        <f t="shared" si="13"/>
        <v>0.21650252957653532</v>
      </c>
      <c r="U90" s="8">
        <f t="shared" si="14"/>
        <v>5.6806392520441562E-2</v>
      </c>
      <c r="V90" s="9">
        <f t="shared" si="15"/>
        <v>2.811235127512564</v>
      </c>
      <c r="W90">
        <f t="shared" si="16"/>
        <v>0.87204476863895442</v>
      </c>
      <c r="X90">
        <f t="shared" si="17"/>
        <v>9.320626372146096</v>
      </c>
      <c r="Y90" s="8">
        <f t="shared" si="18"/>
        <v>0.19300308691798546</v>
      </c>
      <c r="Z90" s="8">
        <f t="shared" si="19"/>
        <v>4.7049794705254611E-2</v>
      </c>
      <c r="AA90" s="10">
        <f t="shared" si="20"/>
        <v>4.8534925003687106E-2</v>
      </c>
      <c r="AB90" s="12">
        <v>5197.9830000000002</v>
      </c>
      <c r="AC90" s="12">
        <v>2187.4160000000002</v>
      </c>
      <c r="AD90" s="8">
        <f t="shared" si="21"/>
        <v>1.3763120503827346</v>
      </c>
    </row>
    <row r="91" spans="1:30" x14ac:dyDescent="0.3">
      <c r="A91" t="s">
        <v>54</v>
      </c>
      <c r="B91" s="11">
        <v>2022</v>
      </c>
      <c r="C91" s="12">
        <v>239.733</v>
      </c>
      <c r="D91" s="12">
        <v>1585.778</v>
      </c>
      <c r="E91" s="12">
        <v>992.87300000000005</v>
      </c>
      <c r="F91" s="12">
        <v>421.68900000000002</v>
      </c>
      <c r="G91" s="12">
        <v>2578.65</v>
      </c>
      <c r="H91" s="12">
        <v>1609.731</v>
      </c>
      <c r="I91" s="12">
        <v>968.91899999999998</v>
      </c>
      <c r="J91" s="12">
        <v>1425.13</v>
      </c>
      <c r="K91" s="5">
        <v>3.1565074996312899E-2</v>
      </c>
      <c r="L91" s="5">
        <v>8.1235144676734303E-2</v>
      </c>
      <c r="M91" s="8">
        <v>8.0100000000000005E-2</v>
      </c>
      <c r="N91" s="12">
        <v>23271.212500000001</v>
      </c>
      <c r="O91" s="3">
        <f t="shared" si="11"/>
        <v>31</v>
      </c>
      <c r="P91" s="13">
        <v>1992</v>
      </c>
      <c r="Q91" s="14">
        <v>134.21</v>
      </c>
      <c r="R91" s="14">
        <v>177.31</v>
      </c>
      <c r="S91" s="4">
        <f t="shared" si="12"/>
        <v>17.614513730895045</v>
      </c>
      <c r="T91" s="8">
        <f t="shared" si="13"/>
        <v>0.24742315921145111</v>
      </c>
      <c r="U91" s="8">
        <f t="shared" si="14"/>
        <v>9.2968413704845557E-2</v>
      </c>
      <c r="V91" s="9">
        <f t="shared" si="15"/>
        <v>1.6613679781282027</v>
      </c>
      <c r="W91">
        <f t="shared" si="16"/>
        <v>1.1127251548981496</v>
      </c>
      <c r="X91">
        <f t="shared" si="17"/>
        <v>7.2822918580748066</v>
      </c>
      <c r="Y91" s="8">
        <f t="shared" si="18"/>
        <v>0.16353091734046885</v>
      </c>
      <c r="Z91" s="8">
        <f t="shared" si="19"/>
        <v>4.7049794705254611E-2</v>
      </c>
      <c r="AA91" s="10">
        <f t="shared" si="20"/>
        <v>4.8534925003687106E-2</v>
      </c>
      <c r="AB91" s="12">
        <v>6775.2</v>
      </c>
      <c r="AC91" s="12">
        <v>5551.4849999999997</v>
      </c>
      <c r="AD91" s="8">
        <f t="shared" si="21"/>
        <v>0.22043020921429135</v>
      </c>
    </row>
    <row r="92" spans="1:30" x14ac:dyDescent="0.3">
      <c r="A92" t="s">
        <v>55</v>
      </c>
      <c r="B92" s="11">
        <v>2022</v>
      </c>
      <c r="C92" s="12">
        <v>224.613</v>
      </c>
      <c r="D92" s="12">
        <v>1231.5619999999999</v>
      </c>
      <c r="E92" s="12">
        <v>3261.029</v>
      </c>
      <c r="F92" s="12">
        <v>23.154</v>
      </c>
      <c r="G92" s="12">
        <v>4492.5910000000003</v>
      </c>
      <c r="H92" s="12">
        <v>326.45499999999998</v>
      </c>
      <c r="I92" s="12">
        <v>4166.1369999999997</v>
      </c>
      <c r="J92" s="12">
        <v>315.14999999999998</v>
      </c>
      <c r="K92" s="5">
        <v>3.1565074996312899E-2</v>
      </c>
      <c r="L92" s="5">
        <v>8.1235144676734303E-2</v>
      </c>
      <c r="M92" s="8">
        <v>8.0100000000000005E-2</v>
      </c>
      <c r="N92" s="12">
        <v>23271.212500000001</v>
      </c>
      <c r="O92" s="3">
        <f t="shared" si="11"/>
        <v>15</v>
      </c>
      <c r="P92" s="13">
        <v>2008</v>
      </c>
      <c r="Q92" s="14">
        <v>134.21</v>
      </c>
      <c r="R92" s="14">
        <v>177.31</v>
      </c>
      <c r="S92" s="4">
        <f t="shared" si="12"/>
        <v>17.614513730895045</v>
      </c>
      <c r="T92" s="8">
        <f t="shared" si="13"/>
        <v>5.3913973544316957E-2</v>
      </c>
      <c r="U92" s="8">
        <f t="shared" si="14"/>
        <v>4.9996316156979345E-2</v>
      </c>
      <c r="V92" s="9">
        <f t="shared" si="15"/>
        <v>7.8359161016548426E-2</v>
      </c>
      <c r="W92">
        <f t="shared" si="16"/>
        <v>3.9078597493257177</v>
      </c>
      <c r="X92">
        <f t="shared" si="17"/>
        <v>7.8374554473539515</v>
      </c>
      <c r="Y92" s="8">
        <f t="shared" si="18"/>
        <v>5.1538188096802041E-3</v>
      </c>
      <c r="Z92" s="8">
        <f t="shared" si="19"/>
        <v>4.7049794705254611E-2</v>
      </c>
      <c r="AA92" s="10">
        <f t="shared" si="20"/>
        <v>4.8534925003687106E-2</v>
      </c>
      <c r="AB92" s="12">
        <v>385.32299999999998</v>
      </c>
      <c r="AC92" s="12">
        <v>516.36300000000006</v>
      </c>
      <c r="AD92" s="8">
        <f t="shared" si="21"/>
        <v>-0.25377496063815586</v>
      </c>
    </row>
    <row r="93" spans="1:30" x14ac:dyDescent="0.3">
      <c r="A93" t="s">
        <v>56</v>
      </c>
      <c r="B93" s="11">
        <v>2022</v>
      </c>
      <c r="C93" s="12">
        <v>-3576.45</v>
      </c>
      <c r="D93" s="12">
        <v>3039.105</v>
      </c>
      <c r="E93" s="12">
        <v>9630.7420000000002</v>
      </c>
      <c r="F93" s="12">
        <v>5247.4780000000001</v>
      </c>
      <c r="G93" s="12">
        <v>12669.846</v>
      </c>
      <c r="H93" s="12">
        <v>9635.3729999999996</v>
      </c>
      <c r="I93" s="12">
        <v>3034.473</v>
      </c>
      <c r="J93" s="12">
        <v>7327.69</v>
      </c>
      <c r="K93" s="5">
        <v>3.1565074996312899E-2</v>
      </c>
      <c r="L93" s="5">
        <v>8.1235144676734303E-2</v>
      </c>
      <c r="M93" s="8">
        <v>8.0100000000000005E-2</v>
      </c>
      <c r="N93" s="12">
        <v>23271.212500000001</v>
      </c>
      <c r="O93" s="3">
        <f t="shared" si="11"/>
        <v>13</v>
      </c>
      <c r="P93" s="13">
        <v>2010</v>
      </c>
      <c r="Q93" s="14">
        <v>134.21</v>
      </c>
      <c r="R93" s="14">
        <v>177.31</v>
      </c>
      <c r="S93" s="4">
        <f t="shared" si="12"/>
        <v>17.614513730895045</v>
      </c>
      <c r="T93" s="8">
        <f t="shared" si="13"/>
        <v>-1.1786066312008707</v>
      </c>
      <c r="U93" s="8">
        <f t="shared" si="14"/>
        <v>-0.28228046339316198</v>
      </c>
      <c r="V93" s="9">
        <f t="shared" si="15"/>
        <v>3.17530358648767</v>
      </c>
      <c r="W93">
        <f t="shared" si="16"/>
        <v>0.4147425723522693</v>
      </c>
      <c r="X93">
        <f t="shared" si="17"/>
        <v>8.8742506914643773</v>
      </c>
      <c r="Y93" s="8">
        <f t="shared" si="18"/>
        <v>0.41417062212121603</v>
      </c>
      <c r="Z93" s="8">
        <f t="shared" si="19"/>
        <v>4.7049794705254611E-2</v>
      </c>
      <c r="AA93" s="10">
        <f t="shared" si="20"/>
        <v>4.8534925003687106E-2</v>
      </c>
      <c r="AB93" s="12">
        <v>741.79600000000005</v>
      </c>
      <c r="AC93" s="12">
        <v>1198.9349999999999</v>
      </c>
      <c r="AD93" s="8">
        <f t="shared" si="21"/>
        <v>-0.38128755937561243</v>
      </c>
    </row>
    <row r="94" spans="1:30" x14ac:dyDescent="0.3">
      <c r="A94" t="s">
        <v>57</v>
      </c>
      <c r="B94" s="11">
        <v>2022</v>
      </c>
      <c r="C94" s="12">
        <v>15.728</v>
      </c>
      <c r="D94" s="12">
        <v>306.59399999999999</v>
      </c>
      <c r="E94" s="12">
        <v>182.042</v>
      </c>
      <c r="F94" s="12">
        <v>50.1</v>
      </c>
      <c r="G94" s="12">
        <v>488.63600000000002</v>
      </c>
      <c r="H94" s="12">
        <v>59.529000000000003</v>
      </c>
      <c r="I94" s="12">
        <v>429.10700000000003</v>
      </c>
      <c r="J94" s="12">
        <v>44.78</v>
      </c>
      <c r="K94" s="5">
        <v>3.1565074996312899E-2</v>
      </c>
      <c r="L94" s="5">
        <v>8.1235144676734303E-2</v>
      </c>
      <c r="M94" s="8">
        <v>8.0100000000000005E-2</v>
      </c>
      <c r="N94" s="12">
        <v>23271.212500000001</v>
      </c>
      <c r="O94" s="3">
        <f t="shared" si="11"/>
        <v>8</v>
      </c>
      <c r="P94" s="13">
        <v>2015</v>
      </c>
      <c r="Q94" s="14">
        <v>134.21</v>
      </c>
      <c r="R94" s="14">
        <v>177.31</v>
      </c>
      <c r="S94" s="4">
        <f t="shared" si="12"/>
        <v>17.614513730895045</v>
      </c>
      <c r="T94" s="8">
        <f t="shared" si="13"/>
        <v>3.6652862805780374E-2</v>
      </c>
      <c r="U94" s="8">
        <f t="shared" si="14"/>
        <v>3.2187558837253084E-2</v>
      </c>
      <c r="V94" s="9">
        <f t="shared" si="15"/>
        <v>0.13872763669667473</v>
      </c>
      <c r="W94">
        <f t="shared" si="16"/>
        <v>6.8466726217061185</v>
      </c>
      <c r="X94">
        <f t="shared" si="17"/>
        <v>5.6188884089303643</v>
      </c>
      <c r="Y94" s="8">
        <f t="shared" si="18"/>
        <v>0.10253030885976473</v>
      </c>
      <c r="Z94" s="8">
        <f t="shared" si="19"/>
        <v>4.7049794705254611E-2</v>
      </c>
      <c r="AA94" s="10">
        <f t="shared" si="20"/>
        <v>4.8534925003687106E-2</v>
      </c>
      <c r="AB94" s="12">
        <v>466.13499999999999</v>
      </c>
      <c r="AC94" s="12">
        <v>305.16000000000003</v>
      </c>
      <c r="AD94" s="8">
        <f t="shared" si="21"/>
        <v>0.52751015860532169</v>
      </c>
    </row>
    <row r="95" spans="1:30" x14ac:dyDescent="0.3">
      <c r="A95" t="s">
        <v>58</v>
      </c>
      <c r="B95" s="11">
        <v>2022</v>
      </c>
      <c r="C95" s="12">
        <v>268.07</v>
      </c>
      <c r="D95" s="12">
        <v>1602.875</v>
      </c>
      <c r="E95" s="12">
        <v>791.78800000000001</v>
      </c>
      <c r="F95" s="12">
        <v>702.84299999999996</v>
      </c>
      <c r="G95" s="12">
        <v>2394.663</v>
      </c>
      <c r="H95" s="12">
        <v>1510.14</v>
      </c>
      <c r="I95" s="12">
        <v>884.52200000000005</v>
      </c>
      <c r="J95" s="12">
        <v>1238.1300000000001</v>
      </c>
      <c r="K95" s="5">
        <v>3.1565074996312899E-2</v>
      </c>
      <c r="L95" s="5">
        <v>8.1235144676734303E-2</v>
      </c>
      <c r="M95" s="8">
        <v>8.0100000000000005E-2</v>
      </c>
      <c r="N95" s="12">
        <v>23271.212500000001</v>
      </c>
      <c r="O95" s="3">
        <f t="shared" si="11"/>
        <v>61</v>
      </c>
      <c r="P95" s="13">
        <v>1962</v>
      </c>
      <c r="Q95" s="14">
        <v>134.21</v>
      </c>
      <c r="R95" s="14">
        <v>177.31</v>
      </c>
      <c r="S95" s="4">
        <f t="shared" si="12"/>
        <v>17.614513730895045</v>
      </c>
      <c r="T95" s="8">
        <f t="shared" si="13"/>
        <v>0.30306764557580251</v>
      </c>
      <c r="U95" s="8">
        <f t="shared" si="14"/>
        <v>0.11194477051677</v>
      </c>
      <c r="V95" s="9">
        <f t="shared" si="15"/>
        <v>1.7072950135779552</v>
      </c>
      <c r="W95">
        <f t="shared" si="16"/>
        <v>1.2945934594913295</v>
      </c>
      <c r="X95">
        <f t="shared" si="17"/>
        <v>7.2082683630515465</v>
      </c>
      <c r="Y95" s="8">
        <f t="shared" si="18"/>
        <v>0.2935039293629208</v>
      </c>
      <c r="Z95" s="8">
        <f t="shared" si="19"/>
        <v>4.7049794705254611E-2</v>
      </c>
      <c r="AA95" s="10">
        <f t="shared" si="20"/>
        <v>4.8534925003687106E-2</v>
      </c>
      <c r="AB95" s="12">
        <v>5144.9859999999999</v>
      </c>
      <c r="AC95" s="12">
        <v>3863.8989999999999</v>
      </c>
      <c r="AD95" s="8">
        <f t="shared" si="21"/>
        <v>0.33155292102614486</v>
      </c>
    </row>
    <row r="96" spans="1:30" x14ac:dyDescent="0.3">
      <c r="A96" t="s">
        <v>59</v>
      </c>
      <c r="B96" s="11">
        <v>2022</v>
      </c>
      <c r="C96" s="12">
        <v>37.002000000000002</v>
      </c>
      <c r="D96" s="12">
        <v>292.65499999999997</v>
      </c>
      <c r="E96" s="12">
        <v>64.835999999999999</v>
      </c>
      <c r="F96" s="12">
        <v>34.451999999999998</v>
      </c>
      <c r="G96" s="12">
        <v>357.49200000000002</v>
      </c>
      <c r="H96" s="12">
        <v>125.14</v>
      </c>
      <c r="I96" s="12">
        <v>232.352</v>
      </c>
      <c r="J96" s="12">
        <v>124.3</v>
      </c>
      <c r="K96" s="5">
        <v>3.1565074996312899E-2</v>
      </c>
      <c r="L96" s="5">
        <v>8.1235144676734303E-2</v>
      </c>
      <c r="M96" s="8">
        <v>8.0100000000000005E-2</v>
      </c>
      <c r="N96" s="12">
        <v>23271.212500000001</v>
      </c>
      <c r="O96" s="3">
        <f t="shared" si="11"/>
        <v>25</v>
      </c>
      <c r="P96" s="13">
        <v>1998</v>
      </c>
      <c r="Q96" s="14">
        <v>134.21</v>
      </c>
      <c r="R96" s="14">
        <v>177.31</v>
      </c>
      <c r="S96" s="4">
        <f t="shared" si="12"/>
        <v>17.614513730895045</v>
      </c>
      <c r="T96" s="8">
        <f t="shared" si="13"/>
        <v>0.15924975898636554</v>
      </c>
      <c r="U96" s="8">
        <f t="shared" si="14"/>
        <v>0.10350441408479071</v>
      </c>
      <c r="V96" s="9">
        <f t="shared" si="15"/>
        <v>0.53857939677730338</v>
      </c>
      <c r="W96">
        <f t="shared" si="16"/>
        <v>2.3544247787610617</v>
      </c>
      <c r="X96">
        <f t="shared" si="17"/>
        <v>5.3063835571804967</v>
      </c>
      <c r="Y96" s="8">
        <f t="shared" si="18"/>
        <v>9.6371387331744482E-2</v>
      </c>
      <c r="Z96" s="8">
        <f t="shared" si="19"/>
        <v>4.7049794705254611E-2</v>
      </c>
      <c r="AA96" s="10">
        <f t="shared" si="20"/>
        <v>4.8534925003687106E-2</v>
      </c>
      <c r="AB96" s="12">
        <v>1047.201</v>
      </c>
      <c r="AC96" s="12">
        <v>905.79399999999998</v>
      </c>
      <c r="AD96" s="8">
        <f t="shared" si="21"/>
        <v>0.15611386253386536</v>
      </c>
    </row>
    <row r="97" spans="1:30" x14ac:dyDescent="0.3">
      <c r="A97" t="s">
        <v>60</v>
      </c>
      <c r="B97" s="11">
        <v>2022</v>
      </c>
      <c r="C97" s="12">
        <v>563.14599999999996</v>
      </c>
      <c r="D97" s="12">
        <v>5449.7619999999997</v>
      </c>
      <c r="E97" s="12">
        <v>2634.346</v>
      </c>
      <c r="F97" s="12">
        <v>1000.208</v>
      </c>
      <c r="G97" s="12">
        <v>8084.1080000000002</v>
      </c>
      <c r="H97" s="12">
        <v>4717.6880000000001</v>
      </c>
      <c r="I97" s="12">
        <v>3366.42</v>
      </c>
      <c r="J97" s="12">
        <v>4524.45</v>
      </c>
      <c r="K97" s="5">
        <v>3.1565074996312899E-2</v>
      </c>
      <c r="L97" s="5">
        <v>8.1235144676734303E-2</v>
      </c>
      <c r="M97" s="8">
        <v>8.0100000000000005E-2</v>
      </c>
      <c r="N97" s="12">
        <v>23271.212500000001</v>
      </c>
      <c r="O97" s="3">
        <f t="shared" si="11"/>
        <v>20</v>
      </c>
      <c r="P97" s="13">
        <v>2003</v>
      </c>
      <c r="Q97" s="14">
        <v>134.21</v>
      </c>
      <c r="R97" s="14">
        <v>177.31</v>
      </c>
      <c r="S97" s="4">
        <f t="shared" si="12"/>
        <v>17.614513730895045</v>
      </c>
      <c r="T97" s="8">
        <f t="shared" si="13"/>
        <v>0.16728334551244348</v>
      </c>
      <c r="U97" s="8">
        <f t="shared" si="14"/>
        <v>6.9660870438643316E-2</v>
      </c>
      <c r="V97" s="9">
        <f t="shared" si="15"/>
        <v>1.4013961418955447</v>
      </c>
      <c r="W97">
        <f t="shared" si="16"/>
        <v>1.2045136977975224</v>
      </c>
      <c r="X97">
        <f t="shared" si="17"/>
        <v>8.4249260110763746</v>
      </c>
      <c r="Y97" s="8">
        <f t="shared" si="18"/>
        <v>0.12372521495259588</v>
      </c>
      <c r="Z97" s="8">
        <f t="shared" si="19"/>
        <v>4.7049794705254611E-2</v>
      </c>
      <c r="AA97" s="10">
        <f t="shared" si="20"/>
        <v>4.8534925003687106E-2</v>
      </c>
      <c r="AB97" s="12">
        <v>7936.9290000000001</v>
      </c>
      <c r="AC97" s="12">
        <v>5722.22</v>
      </c>
      <c r="AD97" s="8">
        <f t="shared" si="21"/>
        <v>0.3870366745773493</v>
      </c>
    </row>
    <row r="98" spans="1:30" x14ac:dyDescent="0.3">
      <c r="A98" t="s">
        <v>61</v>
      </c>
      <c r="B98" s="11">
        <v>2022</v>
      </c>
      <c r="C98" s="12">
        <v>374.65600000000001</v>
      </c>
      <c r="D98" s="12">
        <v>6980.3879999999999</v>
      </c>
      <c r="E98" s="12">
        <v>7024.4049999999997</v>
      </c>
      <c r="F98" s="12">
        <v>2627.9540000000002</v>
      </c>
      <c r="G98" s="12">
        <v>14004.793</v>
      </c>
      <c r="H98" s="12">
        <v>6952.0649999999996</v>
      </c>
      <c r="I98" s="12">
        <v>7052.7280000000001</v>
      </c>
      <c r="J98" s="12">
        <v>5427.18</v>
      </c>
      <c r="K98" s="5">
        <v>3.1565074996312899E-2</v>
      </c>
      <c r="L98" s="5">
        <v>8.1235144676734303E-2</v>
      </c>
      <c r="M98" s="8">
        <v>8.0100000000000005E-2</v>
      </c>
      <c r="N98" s="12">
        <v>23271.212500000001</v>
      </c>
      <c r="O98" s="3">
        <f t="shared" si="11"/>
        <v>30</v>
      </c>
      <c r="P98" s="13">
        <v>1993</v>
      </c>
      <c r="Q98" s="14">
        <v>134.21</v>
      </c>
      <c r="R98" s="14">
        <v>177.31</v>
      </c>
      <c r="S98" s="4">
        <f t="shared" si="12"/>
        <v>17.614513730895045</v>
      </c>
      <c r="T98" s="8">
        <f t="shared" si="13"/>
        <v>5.3122139404780673E-2</v>
      </c>
      <c r="U98" s="8">
        <f t="shared" si="14"/>
        <v>2.6751984124292305E-2</v>
      </c>
      <c r="V98" s="9">
        <f t="shared" si="15"/>
        <v>0.98572708319390734</v>
      </c>
      <c r="W98">
        <f t="shared" si="16"/>
        <v>1.2861906183321725</v>
      </c>
      <c r="X98">
        <f t="shared" si="17"/>
        <v>8.9744254800686125</v>
      </c>
      <c r="Y98" s="8">
        <f t="shared" si="18"/>
        <v>0.18764675779213588</v>
      </c>
      <c r="Z98" s="8">
        <f t="shared" si="19"/>
        <v>4.7049794705254611E-2</v>
      </c>
      <c r="AA98" s="10">
        <f t="shared" si="20"/>
        <v>4.8534925003687106E-2</v>
      </c>
      <c r="AB98" s="12">
        <v>12787.155000000001</v>
      </c>
      <c r="AC98" s="12">
        <v>10675.273999999999</v>
      </c>
      <c r="AD98" s="8">
        <f t="shared" si="21"/>
        <v>0.19782920794351522</v>
      </c>
    </row>
    <row r="99" spans="1:30" x14ac:dyDescent="0.3">
      <c r="A99" t="s">
        <v>62</v>
      </c>
      <c r="B99" s="11">
        <v>2022</v>
      </c>
      <c r="C99" s="12">
        <v>16.847000000000001</v>
      </c>
      <c r="D99" s="12">
        <v>675.73299999999995</v>
      </c>
      <c r="E99" s="12">
        <v>251.01900000000001</v>
      </c>
      <c r="F99" s="12">
        <v>228.87700000000001</v>
      </c>
      <c r="G99" s="12">
        <v>926.75199999999995</v>
      </c>
      <c r="H99" s="12">
        <v>293.803</v>
      </c>
      <c r="I99" s="12">
        <v>632.94899999999996</v>
      </c>
      <c r="J99" s="12">
        <v>288.81</v>
      </c>
      <c r="K99" s="5">
        <v>3.1565074996312899E-2</v>
      </c>
      <c r="L99" s="5">
        <v>8.1235144676734303E-2</v>
      </c>
      <c r="M99" s="8">
        <v>8.0100000000000005E-2</v>
      </c>
      <c r="N99" s="12">
        <v>23271.212500000001</v>
      </c>
      <c r="O99" s="3">
        <f t="shared" si="11"/>
        <v>22</v>
      </c>
      <c r="P99" s="13">
        <v>2001</v>
      </c>
      <c r="Q99" s="14">
        <v>134.21</v>
      </c>
      <c r="R99" s="14">
        <v>177.31</v>
      </c>
      <c r="S99" s="4">
        <f t="shared" si="12"/>
        <v>17.614513730895045</v>
      </c>
      <c r="T99" s="8">
        <f t="shared" si="13"/>
        <v>2.661667843696728E-2</v>
      </c>
      <c r="U99" s="8">
        <f t="shared" si="14"/>
        <v>1.8178541832119061E-2</v>
      </c>
      <c r="V99" s="9">
        <f t="shared" si="15"/>
        <v>0.46418115835557056</v>
      </c>
      <c r="W99">
        <f t="shared" si="16"/>
        <v>2.3397146913195526</v>
      </c>
      <c r="X99">
        <f t="shared" si="17"/>
        <v>6.2589565730270165</v>
      </c>
      <c r="Y99" s="8">
        <f t="shared" si="18"/>
        <v>0.24696682607644765</v>
      </c>
      <c r="Z99" s="8">
        <f t="shared" si="19"/>
        <v>4.7049794705254611E-2</v>
      </c>
      <c r="AA99" s="10">
        <f t="shared" si="20"/>
        <v>4.8534925003687106E-2</v>
      </c>
      <c r="AB99" s="12">
        <v>598.97500000000002</v>
      </c>
      <c r="AC99" s="12">
        <v>494.51299999999998</v>
      </c>
      <c r="AD99" s="8">
        <f t="shared" si="21"/>
        <v>0.21124217159104017</v>
      </c>
    </row>
    <row r="100" spans="1:30" x14ac:dyDescent="0.3">
      <c r="A100" t="s">
        <v>63</v>
      </c>
      <c r="B100" s="11">
        <v>2022</v>
      </c>
      <c r="C100" s="12">
        <v>25.742000000000001</v>
      </c>
      <c r="D100" s="12">
        <v>305.32400000000001</v>
      </c>
      <c r="E100" s="12">
        <v>98.322000000000003</v>
      </c>
      <c r="F100" s="12">
        <v>81.316000000000003</v>
      </c>
      <c r="G100" s="12">
        <v>403.64600000000002</v>
      </c>
      <c r="H100" s="12">
        <v>216.59200000000001</v>
      </c>
      <c r="I100" s="12">
        <v>187.054</v>
      </c>
      <c r="J100" s="12">
        <v>213.85</v>
      </c>
      <c r="K100" s="5">
        <v>3.1565074996312899E-2</v>
      </c>
      <c r="L100" s="5">
        <v>8.1235144676734303E-2</v>
      </c>
      <c r="M100" s="8">
        <v>8.0100000000000005E-2</v>
      </c>
      <c r="N100" s="12">
        <v>23271.212500000001</v>
      </c>
      <c r="O100" s="3">
        <f t="shared" si="11"/>
        <v>38</v>
      </c>
      <c r="P100" s="13">
        <v>1985</v>
      </c>
      <c r="Q100" s="14">
        <v>134.21</v>
      </c>
      <c r="R100" s="14">
        <v>177.31</v>
      </c>
      <c r="S100" s="4">
        <f t="shared" si="12"/>
        <v>17.614513730895045</v>
      </c>
      <c r="T100" s="8">
        <f t="shared" si="13"/>
        <v>0.1376180140494189</v>
      </c>
      <c r="U100" s="8">
        <f t="shared" si="14"/>
        <v>6.3773702699890494E-2</v>
      </c>
      <c r="V100" s="9">
        <f t="shared" si="15"/>
        <v>1.1579116191046437</v>
      </c>
      <c r="W100">
        <f t="shared" si="16"/>
        <v>1.4277484217909751</v>
      </c>
      <c r="X100">
        <f t="shared" si="17"/>
        <v>5.4278088291359916</v>
      </c>
      <c r="Y100" s="8">
        <f t="shared" si="18"/>
        <v>0.20145374907716168</v>
      </c>
      <c r="Z100" s="8">
        <f t="shared" si="19"/>
        <v>4.7049794705254611E-2</v>
      </c>
      <c r="AA100" s="10">
        <f t="shared" si="20"/>
        <v>4.8534925003687106E-2</v>
      </c>
      <c r="AB100" s="12">
        <v>509.84800000000001</v>
      </c>
      <c r="AC100" s="12">
        <v>415.38200000000001</v>
      </c>
      <c r="AD100" s="8">
        <f t="shared" si="21"/>
        <v>0.22741958004920773</v>
      </c>
    </row>
    <row r="101" spans="1:30" x14ac:dyDescent="0.3">
      <c r="A101" t="s">
        <v>64</v>
      </c>
      <c r="B101" s="11">
        <v>2022</v>
      </c>
      <c r="C101" s="12">
        <v>213.2</v>
      </c>
      <c r="D101" s="12">
        <v>761.51199999999994</v>
      </c>
      <c r="E101" s="12">
        <v>470.69600000000003</v>
      </c>
      <c r="F101" s="12">
        <v>408.24400000000003</v>
      </c>
      <c r="G101" s="12">
        <v>1232.2080000000001</v>
      </c>
      <c r="H101" s="12">
        <v>384.06799999999998</v>
      </c>
      <c r="I101" s="12">
        <v>848.14099999999996</v>
      </c>
      <c r="J101" s="12">
        <v>376.99</v>
      </c>
      <c r="K101" s="5">
        <v>3.1565074996312899E-2</v>
      </c>
      <c r="L101" s="5">
        <v>8.1235144676734303E-2</v>
      </c>
      <c r="M101" s="8">
        <v>8.0100000000000005E-2</v>
      </c>
      <c r="N101" s="12">
        <v>23271.212500000001</v>
      </c>
      <c r="O101" s="3">
        <f t="shared" si="11"/>
        <v>51</v>
      </c>
      <c r="P101" s="13">
        <v>1972</v>
      </c>
      <c r="Q101" s="14">
        <v>134.21</v>
      </c>
      <c r="R101" s="14">
        <v>177.31</v>
      </c>
      <c r="S101" s="4">
        <f t="shared" si="12"/>
        <v>17.614513730895045</v>
      </c>
      <c r="T101" s="8">
        <f t="shared" si="13"/>
        <v>0.2513732976002811</v>
      </c>
      <c r="U101" s="8">
        <f t="shared" si="14"/>
        <v>0.17302273642112367</v>
      </c>
      <c r="V101" s="9">
        <f t="shared" si="15"/>
        <v>0.45283508284589474</v>
      </c>
      <c r="W101">
        <f t="shared" si="16"/>
        <v>2.0199793097960157</v>
      </c>
      <c r="X101">
        <f t="shared" si="17"/>
        <v>6.5438335339311129</v>
      </c>
      <c r="Y101" s="8">
        <f t="shared" si="18"/>
        <v>0.33131094750236972</v>
      </c>
      <c r="Z101" s="8">
        <f t="shared" si="19"/>
        <v>4.7049794705254611E-2</v>
      </c>
      <c r="AA101" s="10">
        <f t="shared" si="20"/>
        <v>4.8534925003687106E-2</v>
      </c>
      <c r="AB101" s="12">
        <v>2858.2190000000001</v>
      </c>
      <c r="AC101" s="12">
        <v>2652.84</v>
      </c>
      <c r="AD101" s="8">
        <f t="shared" si="21"/>
        <v>7.7418540130577002E-2</v>
      </c>
    </row>
    <row r="102" spans="1:30" x14ac:dyDescent="0.3">
      <c r="A102" t="s">
        <v>65</v>
      </c>
      <c r="B102" s="11">
        <v>2022</v>
      </c>
      <c r="C102" s="12">
        <v>38.643000000000001</v>
      </c>
      <c r="D102" s="12">
        <v>983.31700000000001</v>
      </c>
      <c r="E102" s="12">
        <v>1508.8579999999999</v>
      </c>
      <c r="F102" s="12">
        <v>1050.5050000000001</v>
      </c>
      <c r="G102" s="12">
        <v>2492.1750000000002</v>
      </c>
      <c r="H102" s="12">
        <v>858.54100000000005</v>
      </c>
      <c r="I102" s="12">
        <v>1633.634</v>
      </c>
      <c r="J102" s="12">
        <v>784.38</v>
      </c>
      <c r="K102" s="5">
        <v>3.1565074996312899E-2</v>
      </c>
      <c r="L102" s="5">
        <v>8.1235144676734303E-2</v>
      </c>
      <c r="M102" s="8">
        <v>8.0100000000000005E-2</v>
      </c>
      <c r="N102" s="12">
        <v>23271.212500000001</v>
      </c>
      <c r="O102" s="3">
        <f t="shared" si="11"/>
        <v>43</v>
      </c>
      <c r="P102" s="13">
        <v>1980</v>
      </c>
      <c r="Q102" s="14">
        <v>134.21</v>
      </c>
      <c r="R102" s="14">
        <v>177.31</v>
      </c>
      <c r="S102" s="4">
        <f t="shared" si="12"/>
        <v>17.614513730895045</v>
      </c>
      <c r="T102" s="8">
        <f t="shared" si="13"/>
        <v>2.3654625209808319E-2</v>
      </c>
      <c r="U102" s="8">
        <f t="shared" si="14"/>
        <v>1.5505732944115079E-2</v>
      </c>
      <c r="V102" s="9">
        <f t="shared" si="15"/>
        <v>0.5255406045662615</v>
      </c>
      <c r="W102">
        <f t="shared" si="16"/>
        <v>1.2536232438358959</v>
      </c>
      <c r="X102">
        <f t="shared" si="17"/>
        <v>7.2481816750799988</v>
      </c>
      <c r="Y102" s="8">
        <f t="shared" si="18"/>
        <v>0.42152136186263006</v>
      </c>
      <c r="Z102" s="8">
        <f t="shared" si="19"/>
        <v>4.7049794705254611E-2</v>
      </c>
      <c r="AA102" s="10">
        <f t="shared" si="20"/>
        <v>4.8534925003687106E-2</v>
      </c>
      <c r="AB102" s="12">
        <v>1918.5150000000001</v>
      </c>
      <c r="AC102" s="12">
        <v>2137.7939999999999</v>
      </c>
      <c r="AD102" s="8">
        <f t="shared" si="21"/>
        <v>-0.1025725584410845</v>
      </c>
    </row>
    <row r="103" spans="1:30" x14ac:dyDescent="0.3">
      <c r="A103" t="s">
        <v>66</v>
      </c>
      <c r="B103" s="11">
        <v>2022</v>
      </c>
      <c r="C103" s="12">
        <v>346.54899999999998</v>
      </c>
      <c r="D103" s="12">
        <v>2123.2199999999998</v>
      </c>
      <c r="E103" s="12">
        <v>332.02600000000001</v>
      </c>
      <c r="F103" s="12">
        <v>226.82400000000001</v>
      </c>
      <c r="G103" s="12">
        <v>2455.2460000000001</v>
      </c>
      <c r="H103" s="12">
        <v>244.96700000000001</v>
      </c>
      <c r="I103" s="12">
        <v>2210.279</v>
      </c>
      <c r="J103" s="12">
        <v>238</v>
      </c>
      <c r="K103" s="5">
        <v>3.1565074996312899E-2</v>
      </c>
      <c r="L103" s="5">
        <v>8.1235144676734303E-2</v>
      </c>
      <c r="M103" s="8">
        <v>8.0100000000000005E-2</v>
      </c>
      <c r="N103" s="12">
        <v>23271.212500000001</v>
      </c>
      <c r="O103" s="3">
        <f t="shared" si="11"/>
        <v>65</v>
      </c>
      <c r="P103" s="13">
        <v>1958</v>
      </c>
      <c r="Q103" s="14">
        <v>134.21</v>
      </c>
      <c r="R103" s="14">
        <v>177.31</v>
      </c>
      <c r="S103" s="4">
        <f t="shared" si="12"/>
        <v>17.614513730895045</v>
      </c>
      <c r="T103" s="8">
        <f t="shared" si="13"/>
        <v>0.1567897084485714</v>
      </c>
      <c r="U103" s="8">
        <f t="shared" si="14"/>
        <v>0.1411463454171191</v>
      </c>
      <c r="V103" s="9">
        <f t="shared" si="15"/>
        <v>0.11083080461787856</v>
      </c>
      <c r="W103">
        <f t="shared" si="16"/>
        <v>8.9210924369747886</v>
      </c>
      <c r="X103">
        <f t="shared" si="17"/>
        <v>7.2332528117937507</v>
      </c>
      <c r="Y103" s="8">
        <f t="shared" si="18"/>
        <v>9.2383410867994495E-2</v>
      </c>
      <c r="Z103" s="8">
        <f t="shared" si="19"/>
        <v>4.7049794705254611E-2</v>
      </c>
      <c r="AA103" s="10">
        <f t="shared" si="20"/>
        <v>4.8534925003687106E-2</v>
      </c>
      <c r="AB103" s="12">
        <v>3134.4789999999998</v>
      </c>
      <c r="AC103" s="12">
        <v>2927.7939999999999</v>
      </c>
      <c r="AD103" s="8">
        <f t="shared" si="21"/>
        <v>7.059410600609195E-2</v>
      </c>
    </row>
    <row r="104" spans="1:30" x14ac:dyDescent="0.3">
      <c r="A104" t="s">
        <v>67</v>
      </c>
      <c r="B104" s="11">
        <v>2022</v>
      </c>
      <c r="C104" s="12">
        <v>337.685</v>
      </c>
      <c r="D104" s="12">
        <v>2341.7939999999999</v>
      </c>
      <c r="E104" s="12">
        <v>952.40200000000004</v>
      </c>
      <c r="F104" s="12">
        <v>841.75099999999998</v>
      </c>
      <c r="G104" s="12">
        <v>3294.1959999999999</v>
      </c>
      <c r="H104" s="12">
        <v>1575.145</v>
      </c>
      <c r="I104" s="12">
        <v>1719.0509999999999</v>
      </c>
      <c r="J104" s="12">
        <v>1269.23</v>
      </c>
      <c r="K104" s="5">
        <v>3.1565074996312899E-2</v>
      </c>
      <c r="L104" s="5">
        <v>8.1235144676734303E-2</v>
      </c>
      <c r="M104" s="8">
        <v>8.0100000000000005E-2</v>
      </c>
      <c r="N104" s="12">
        <v>23271.212500000001</v>
      </c>
      <c r="O104" s="3">
        <f t="shared" si="11"/>
        <v>35</v>
      </c>
      <c r="P104" s="13">
        <v>1988</v>
      </c>
      <c r="Q104" s="14">
        <v>134.21</v>
      </c>
      <c r="R104" s="14">
        <v>177.31</v>
      </c>
      <c r="S104" s="4">
        <f t="shared" si="12"/>
        <v>17.614513730895045</v>
      </c>
      <c r="T104" s="8">
        <f t="shared" si="13"/>
        <v>0.19643687127374349</v>
      </c>
      <c r="U104" s="8">
        <f t="shared" si="14"/>
        <v>0.10250907960546367</v>
      </c>
      <c r="V104" s="9">
        <f t="shared" si="15"/>
        <v>0.91628753306330069</v>
      </c>
      <c r="W104">
        <f t="shared" si="16"/>
        <v>1.8450509363945067</v>
      </c>
      <c r="X104">
        <f t="shared" si="17"/>
        <v>7.5271879840116744</v>
      </c>
      <c r="Y104" s="8">
        <f t="shared" si="18"/>
        <v>0.25552547571547046</v>
      </c>
      <c r="Z104" s="8">
        <f t="shared" si="19"/>
        <v>4.7049794705254611E-2</v>
      </c>
      <c r="AA104" s="10">
        <f t="shared" si="20"/>
        <v>4.8534925003687106E-2</v>
      </c>
      <c r="AB104" s="12">
        <v>5522.915</v>
      </c>
      <c r="AC104" s="12">
        <v>4749.098</v>
      </c>
      <c r="AD104" s="8">
        <f t="shared" si="21"/>
        <v>0.1629397835125744</v>
      </c>
    </row>
    <row r="105" spans="1:30" x14ac:dyDescent="0.3">
      <c r="A105" t="s">
        <v>68</v>
      </c>
      <c r="B105" s="11">
        <v>2022</v>
      </c>
      <c r="C105" s="12">
        <v>4754.384</v>
      </c>
      <c r="D105" s="12">
        <v>47674.624000000003</v>
      </c>
      <c r="E105" s="12">
        <v>93668.191000000006</v>
      </c>
      <c r="F105" s="12">
        <v>43535.355000000003</v>
      </c>
      <c r="G105" s="12">
        <v>141342.815</v>
      </c>
      <c r="H105" s="12">
        <v>104706.076</v>
      </c>
      <c r="I105" s="12">
        <v>36636.739000000001</v>
      </c>
      <c r="J105" s="12">
        <v>65320.88</v>
      </c>
      <c r="K105" s="5">
        <v>3.1565074996312899E-2</v>
      </c>
      <c r="L105" s="5">
        <v>8.1235144676734303E-2</v>
      </c>
      <c r="M105" s="8">
        <v>8.0100000000000005E-2</v>
      </c>
      <c r="N105" s="12">
        <v>23271.212500000001</v>
      </c>
      <c r="O105" s="3">
        <f t="shared" si="11"/>
        <v>19</v>
      </c>
      <c r="P105" s="13">
        <v>2004</v>
      </c>
      <c r="Q105" s="14">
        <v>134.21</v>
      </c>
      <c r="R105" s="14">
        <v>177.31</v>
      </c>
      <c r="S105" s="4">
        <f t="shared" si="12"/>
        <v>17.614513730895045</v>
      </c>
      <c r="T105" s="8">
        <f t="shared" si="13"/>
        <v>0.12977093840147727</v>
      </c>
      <c r="U105" s="8">
        <f t="shared" si="14"/>
        <v>3.3637252802698178E-2</v>
      </c>
      <c r="V105" s="9">
        <f t="shared" si="15"/>
        <v>2.8579529417178748</v>
      </c>
      <c r="W105">
        <f t="shared" si="16"/>
        <v>0.72985275152447437</v>
      </c>
      <c r="X105">
        <f t="shared" si="17"/>
        <v>11.286214103479081</v>
      </c>
      <c r="Y105" s="8">
        <f t="shared" si="18"/>
        <v>0.30801250845329492</v>
      </c>
      <c r="Z105" s="8">
        <f t="shared" si="19"/>
        <v>4.7049794705254611E-2</v>
      </c>
      <c r="AA105" s="10">
        <f t="shared" si="20"/>
        <v>4.8534925003687106E-2</v>
      </c>
      <c r="AB105" s="12">
        <v>76380.75</v>
      </c>
      <c r="AC105" s="12">
        <v>89791.619000000006</v>
      </c>
      <c r="AD105" s="8">
        <f t="shared" si="21"/>
        <v>-0.14935546490146262</v>
      </c>
    </row>
    <row r="106" spans="1:30" x14ac:dyDescent="0.3">
      <c r="A106" t="s">
        <v>69</v>
      </c>
      <c r="B106" s="11">
        <v>2022</v>
      </c>
      <c r="C106" s="12">
        <v>79.841999999999999</v>
      </c>
      <c r="D106" s="12">
        <v>1166.7629999999999</v>
      </c>
      <c r="E106" s="12">
        <v>576.98500000000001</v>
      </c>
      <c r="F106" s="12">
        <v>418.13900000000001</v>
      </c>
      <c r="G106" s="12">
        <v>1743.748</v>
      </c>
      <c r="H106" s="12">
        <v>851.56</v>
      </c>
      <c r="I106" s="12">
        <v>892.18799999999999</v>
      </c>
      <c r="J106" s="12">
        <v>772.28</v>
      </c>
      <c r="K106" s="5">
        <v>3.1565074996312899E-2</v>
      </c>
      <c r="L106" s="5">
        <v>8.1235144676734303E-2</v>
      </c>
      <c r="M106" s="8">
        <v>8.0100000000000005E-2</v>
      </c>
      <c r="N106" s="12">
        <v>23271.212500000001</v>
      </c>
      <c r="O106" s="3">
        <f t="shared" si="11"/>
        <v>28</v>
      </c>
      <c r="P106" s="13">
        <v>1995</v>
      </c>
      <c r="Q106" s="14">
        <v>134.21</v>
      </c>
      <c r="R106" s="14">
        <v>177.31</v>
      </c>
      <c r="S106" s="4">
        <f t="shared" si="12"/>
        <v>17.614513730895045</v>
      </c>
      <c r="T106" s="8">
        <f t="shared" si="13"/>
        <v>8.9490107466139418E-2</v>
      </c>
      <c r="U106" s="8">
        <f t="shared" si="14"/>
        <v>4.578757939794053E-2</v>
      </c>
      <c r="V106" s="9">
        <f t="shared" si="15"/>
        <v>0.95446251238528201</v>
      </c>
      <c r="W106">
        <f t="shared" si="16"/>
        <v>1.5108030766043403</v>
      </c>
      <c r="X106">
        <f t="shared" si="17"/>
        <v>6.8910626715348071</v>
      </c>
      <c r="Y106" s="8">
        <f t="shared" si="18"/>
        <v>0.23979324994207879</v>
      </c>
      <c r="Z106" s="8">
        <f t="shared" si="19"/>
        <v>4.7049794705254611E-2</v>
      </c>
      <c r="AA106" s="10">
        <f t="shared" si="20"/>
        <v>4.8534925003687106E-2</v>
      </c>
      <c r="AB106" s="12">
        <v>1817.8109999999999</v>
      </c>
      <c r="AC106" s="12">
        <v>1629.279</v>
      </c>
      <c r="AD106" s="8">
        <f t="shared" si="21"/>
        <v>0.11571498804072226</v>
      </c>
    </row>
    <row r="107" spans="1:30" x14ac:dyDescent="0.3">
      <c r="A107" t="s">
        <v>70</v>
      </c>
      <c r="B107" s="11">
        <v>2022</v>
      </c>
      <c r="C107" s="12">
        <v>63.438000000000002</v>
      </c>
      <c r="D107" s="12">
        <v>302.09699999999998</v>
      </c>
      <c r="E107" s="12">
        <v>449.767</v>
      </c>
      <c r="F107" s="12">
        <v>285.291</v>
      </c>
      <c r="G107" s="12">
        <v>751.86400000000003</v>
      </c>
      <c r="H107" s="12">
        <v>315.85599999999999</v>
      </c>
      <c r="I107" s="12">
        <v>436.00900000000001</v>
      </c>
      <c r="J107" s="12">
        <v>271.3</v>
      </c>
      <c r="K107" s="5">
        <v>3.1565074996312899E-2</v>
      </c>
      <c r="L107" s="5">
        <v>8.1235144676734303E-2</v>
      </c>
      <c r="M107" s="8">
        <v>8.0100000000000005E-2</v>
      </c>
      <c r="N107" s="12">
        <v>23271.212500000001</v>
      </c>
      <c r="O107" s="3">
        <f t="shared" si="11"/>
        <v>30</v>
      </c>
      <c r="P107" s="13">
        <v>1993</v>
      </c>
      <c r="Q107" s="14">
        <v>134.21</v>
      </c>
      <c r="R107" s="14">
        <v>177.31</v>
      </c>
      <c r="S107" s="4">
        <f t="shared" si="12"/>
        <v>17.614513730895045</v>
      </c>
      <c r="T107" s="8">
        <f t="shared" si="13"/>
        <v>0.14549699662162938</v>
      </c>
      <c r="U107" s="8">
        <f t="shared" si="14"/>
        <v>8.4374301735420237E-2</v>
      </c>
      <c r="V107" s="9">
        <f t="shared" si="15"/>
        <v>0.7244254132368827</v>
      </c>
      <c r="W107">
        <f t="shared" si="16"/>
        <v>1.1135164025064503</v>
      </c>
      <c r="X107">
        <f t="shared" si="17"/>
        <v>6.0498260294496786</v>
      </c>
      <c r="Y107" s="8">
        <f t="shared" si="18"/>
        <v>0.37944495281061469</v>
      </c>
      <c r="Z107" s="8">
        <f t="shared" si="19"/>
        <v>4.7049794705254611E-2</v>
      </c>
      <c r="AA107" s="10">
        <f t="shared" si="20"/>
        <v>4.8534925003687106E-2</v>
      </c>
      <c r="AB107" s="12">
        <v>884.08299999999997</v>
      </c>
      <c r="AC107" s="12">
        <v>929.90700000000004</v>
      </c>
      <c r="AD107" s="8">
        <f t="shared" si="21"/>
        <v>-4.9278046084178385E-2</v>
      </c>
    </row>
    <row r="108" spans="1:30" x14ac:dyDescent="0.3">
      <c r="A108" t="s">
        <v>71</v>
      </c>
      <c r="B108" s="11">
        <v>2022</v>
      </c>
      <c r="C108" s="12">
        <v>226.886</v>
      </c>
      <c r="D108" s="12">
        <v>1175.4880000000001</v>
      </c>
      <c r="E108" s="12">
        <v>850.24099999999999</v>
      </c>
      <c r="F108" s="12">
        <v>720.60400000000004</v>
      </c>
      <c r="G108" s="12">
        <v>2025.729</v>
      </c>
      <c r="H108" s="12">
        <v>674.471</v>
      </c>
      <c r="I108" s="12">
        <v>1351.258</v>
      </c>
      <c r="J108" s="12">
        <v>642.83000000000004</v>
      </c>
      <c r="K108" s="5">
        <v>3.1565074996312899E-2</v>
      </c>
      <c r="L108" s="5">
        <v>8.1235144676734303E-2</v>
      </c>
      <c r="M108" s="8">
        <v>8.0100000000000005E-2</v>
      </c>
      <c r="N108" s="12">
        <v>23271.212500000001</v>
      </c>
      <c r="O108" s="3">
        <f t="shared" si="11"/>
        <v>55</v>
      </c>
      <c r="P108" s="13">
        <v>1968</v>
      </c>
      <c r="Q108" s="14">
        <v>134.21</v>
      </c>
      <c r="R108" s="14">
        <v>177.31</v>
      </c>
      <c r="S108" s="4">
        <f t="shared" si="12"/>
        <v>17.614513730895045</v>
      </c>
      <c r="T108" s="8">
        <f t="shared" si="13"/>
        <v>0.16790723903207233</v>
      </c>
      <c r="U108" s="8">
        <f t="shared" si="14"/>
        <v>0.112002148362392</v>
      </c>
      <c r="V108" s="9">
        <f t="shared" si="15"/>
        <v>0.49914302079987682</v>
      </c>
      <c r="W108">
        <f t="shared" si="16"/>
        <v>1.8286140970396527</v>
      </c>
      <c r="X108">
        <f t="shared" si="17"/>
        <v>7.0409554876753813</v>
      </c>
      <c r="Y108" s="8">
        <f t="shared" si="18"/>
        <v>0.35572576588477534</v>
      </c>
      <c r="Z108" s="8">
        <f t="shared" si="19"/>
        <v>4.7049794705254611E-2</v>
      </c>
      <c r="AA108" s="10">
        <f t="shared" si="20"/>
        <v>4.8534925003687106E-2</v>
      </c>
      <c r="AB108" s="12">
        <v>2030.6679999999999</v>
      </c>
      <c r="AC108" s="12">
        <v>2082.5929999999998</v>
      </c>
      <c r="AD108" s="8">
        <f t="shared" si="21"/>
        <v>-2.493286014117975E-2</v>
      </c>
    </row>
    <row r="109" spans="1:30" x14ac:dyDescent="0.3">
      <c r="A109" t="s">
        <v>72</v>
      </c>
      <c r="B109" s="11">
        <v>2022</v>
      </c>
      <c r="C109" s="12">
        <v>794.30200000000002</v>
      </c>
      <c r="D109" s="12">
        <v>10114.92</v>
      </c>
      <c r="E109" s="12">
        <v>5966.6779999999999</v>
      </c>
      <c r="F109" s="12">
        <v>3827.2660000000001</v>
      </c>
      <c r="G109" s="12">
        <v>16081.598</v>
      </c>
      <c r="H109" s="12">
        <v>8203.2139999999999</v>
      </c>
      <c r="I109" s="12">
        <v>7878.384</v>
      </c>
      <c r="J109" s="12">
        <v>7812.64</v>
      </c>
      <c r="K109" s="5">
        <v>3.1565074996312899E-2</v>
      </c>
      <c r="L109" s="5">
        <v>8.1235144676734303E-2</v>
      </c>
      <c r="M109" s="8">
        <v>8.0100000000000005E-2</v>
      </c>
      <c r="N109" s="12">
        <v>23271.212500000001</v>
      </c>
      <c r="O109" s="3">
        <f t="shared" si="11"/>
        <v>25</v>
      </c>
      <c r="P109" s="13">
        <v>1998</v>
      </c>
      <c r="Q109" s="14">
        <v>134.21</v>
      </c>
      <c r="R109" s="14">
        <v>177.31</v>
      </c>
      <c r="S109" s="4">
        <f t="shared" si="12"/>
        <v>17.614513730895045</v>
      </c>
      <c r="T109" s="8">
        <f t="shared" si="13"/>
        <v>0.10082042205609679</v>
      </c>
      <c r="U109" s="8">
        <f t="shared" si="14"/>
        <v>4.9391982065463892E-2</v>
      </c>
      <c r="V109" s="9">
        <f t="shared" si="15"/>
        <v>1.0412305366176617</v>
      </c>
      <c r="W109">
        <f t="shared" si="16"/>
        <v>1.2946865592168588</v>
      </c>
      <c r="X109">
        <f t="shared" si="17"/>
        <v>9.1127014888239266</v>
      </c>
      <c r="Y109" s="8">
        <f t="shared" si="18"/>
        <v>0.23799040368998156</v>
      </c>
      <c r="Z109" s="8">
        <f t="shared" si="19"/>
        <v>4.7049794705254611E-2</v>
      </c>
      <c r="AA109" s="10">
        <f t="shared" si="20"/>
        <v>4.8534925003687106E-2</v>
      </c>
      <c r="AB109" s="12">
        <v>14094.611000000001</v>
      </c>
      <c r="AC109" s="12">
        <v>9462.8880000000008</v>
      </c>
      <c r="AD109" s="8">
        <f t="shared" si="21"/>
        <v>0.48946188520882838</v>
      </c>
    </row>
    <row r="110" spans="1:30" x14ac:dyDescent="0.3">
      <c r="A110" t="s">
        <v>73</v>
      </c>
      <c r="B110" s="11">
        <v>2022</v>
      </c>
      <c r="C110" s="12">
        <v>1810.692</v>
      </c>
      <c r="D110" s="12">
        <v>11966.358</v>
      </c>
      <c r="E110" s="12">
        <v>1370.7670000000001</v>
      </c>
      <c r="F110" s="12">
        <v>882.43299999999999</v>
      </c>
      <c r="G110" s="12">
        <v>13337.125</v>
      </c>
      <c r="H110" s="12">
        <v>4893.03</v>
      </c>
      <c r="I110" s="12">
        <v>8444.0949999999993</v>
      </c>
      <c r="J110" s="12">
        <v>4883.0600000000004</v>
      </c>
      <c r="K110" s="5">
        <v>3.1565074996312899E-2</v>
      </c>
      <c r="L110" s="5">
        <v>8.1235144676734303E-2</v>
      </c>
      <c r="M110" s="8">
        <v>8.0100000000000005E-2</v>
      </c>
      <c r="N110" s="12">
        <v>23271.212500000001</v>
      </c>
      <c r="O110" s="3">
        <f t="shared" si="11"/>
        <v>35</v>
      </c>
      <c r="P110" s="13">
        <v>1988</v>
      </c>
      <c r="Q110" s="14">
        <v>134.21</v>
      </c>
      <c r="R110" s="14">
        <v>177.31</v>
      </c>
      <c r="S110" s="4">
        <f t="shared" si="12"/>
        <v>17.614513730895045</v>
      </c>
      <c r="T110" s="8">
        <f t="shared" si="13"/>
        <v>0.21443292620464363</v>
      </c>
      <c r="U110" s="8">
        <f t="shared" si="14"/>
        <v>0.13576329231374828</v>
      </c>
      <c r="V110" s="9">
        <f t="shared" si="15"/>
        <v>0.57946174219972657</v>
      </c>
      <c r="W110">
        <f t="shared" si="16"/>
        <v>2.4505859031017434</v>
      </c>
      <c r="X110">
        <f t="shared" si="17"/>
        <v>8.9255773519202517</v>
      </c>
      <c r="Y110" s="8">
        <f t="shared" si="18"/>
        <v>6.616365970927017E-2</v>
      </c>
      <c r="Z110" s="8">
        <f t="shared" si="19"/>
        <v>4.7049794705254611E-2</v>
      </c>
      <c r="AA110" s="10">
        <f t="shared" si="20"/>
        <v>4.8534925003687106E-2</v>
      </c>
      <c r="AB110" s="12">
        <v>34211.129000000001</v>
      </c>
      <c r="AC110" s="12">
        <v>19735.646000000001</v>
      </c>
      <c r="AD110" s="8">
        <f t="shared" si="21"/>
        <v>0.73346892217260073</v>
      </c>
    </row>
    <row r="111" spans="1:30" x14ac:dyDescent="0.3">
      <c r="A111" t="s">
        <v>74</v>
      </c>
      <c r="B111" s="11">
        <v>2022</v>
      </c>
      <c r="C111" s="12">
        <v>485.827</v>
      </c>
      <c r="D111" s="12">
        <v>6287.0079999999998</v>
      </c>
      <c r="E111" s="12">
        <v>429.47500000000002</v>
      </c>
      <c r="F111" s="12">
        <v>301.05900000000003</v>
      </c>
      <c r="G111" s="12">
        <v>6716.4830000000002</v>
      </c>
      <c r="H111" s="12">
        <v>4094.788</v>
      </c>
      <c r="I111" s="12">
        <v>2621.6950000000002</v>
      </c>
      <c r="J111" s="12">
        <v>4093.95</v>
      </c>
      <c r="K111" s="5">
        <v>3.1565074996312899E-2</v>
      </c>
      <c r="L111" s="5">
        <v>8.1235144676734303E-2</v>
      </c>
      <c r="M111" s="8">
        <v>8.0100000000000005E-2</v>
      </c>
      <c r="N111" s="12">
        <v>23271.212500000001</v>
      </c>
      <c r="O111" s="3">
        <f t="shared" si="11"/>
        <v>19</v>
      </c>
      <c r="P111" s="13">
        <v>2004</v>
      </c>
      <c r="Q111" s="14">
        <v>134.21</v>
      </c>
      <c r="R111" s="14">
        <v>177.31</v>
      </c>
      <c r="S111" s="4">
        <f t="shared" si="12"/>
        <v>17.614513730895045</v>
      </c>
      <c r="T111" s="8">
        <f t="shared" si="13"/>
        <v>0.18531026683119126</v>
      </c>
      <c r="U111" s="8">
        <f t="shared" si="14"/>
        <v>7.2333541229837095E-2</v>
      </c>
      <c r="V111" s="9">
        <f t="shared" si="15"/>
        <v>1.5618857266005388</v>
      </c>
      <c r="W111">
        <f t="shared" si="16"/>
        <v>1.5356826536718817</v>
      </c>
      <c r="X111">
        <f t="shared" si="17"/>
        <v>8.2395905063388835</v>
      </c>
      <c r="Y111" s="8">
        <f t="shared" si="18"/>
        <v>4.4823905606550335E-2</v>
      </c>
      <c r="Z111" s="8">
        <f t="shared" si="19"/>
        <v>4.7049794705254611E-2</v>
      </c>
      <c r="AA111" s="10">
        <f t="shared" si="20"/>
        <v>4.8534925003687106E-2</v>
      </c>
      <c r="AB111" s="12">
        <v>6927.5640000000003</v>
      </c>
      <c r="AC111" s="12">
        <v>5719.8320000000003</v>
      </c>
      <c r="AD111" s="8">
        <f t="shared" si="21"/>
        <v>0.21114815959629582</v>
      </c>
    </row>
    <row r="112" spans="1:30" x14ac:dyDescent="0.3">
      <c r="A112" t="s">
        <v>75</v>
      </c>
      <c r="B112" s="11">
        <v>2022</v>
      </c>
      <c r="C112" s="12">
        <v>5499.7979999999998</v>
      </c>
      <c r="D112" s="12">
        <v>26860.224999999999</v>
      </c>
      <c r="E112" s="12">
        <v>7604.8509999999997</v>
      </c>
      <c r="F112" s="12">
        <v>4454.982</v>
      </c>
      <c r="G112" s="12">
        <v>34465.076000000001</v>
      </c>
      <c r="H112" s="12">
        <v>9874.23</v>
      </c>
      <c r="I112" s="12">
        <v>24590.846000000001</v>
      </c>
      <c r="J112" s="12">
        <v>9213.86</v>
      </c>
      <c r="K112" s="5">
        <v>3.1565074996312899E-2</v>
      </c>
      <c r="L112" s="5">
        <v>8.1235144676734303E-2</v>
      </c>
      <c r="M112" s="8">
        <v>8.0100000000000005E-2</v>
      </c>
      <c r="N112" s="12">
        <v>23271.212500000001</v>
      </c>
      <c r="O112" s="3">
        <f t="shared" si="11"/>
        <v>20</v>
      </c>
      <c r="P112" s="13">
        <v>2003</v>
      </c>
      <c r="Q112" s="14">
        <v>134.21</v>
      </c>
      <c r="R112" s="14">
        <v>177.31</v>
      </c>
      <c r="S112" s="4">
        <f t="shared" si="12"/>
        <v>17.614513730895045</v>
      </c>
      <c r="T112" s="8">
        <f t="shared" si="13"/>
        <v>0.22365224848303306</v>
      </c>
      <c r="U112" s="8">
        <f t="shared" si="14"/>
        <v>0.15957597192009673</v>
      </c>
      <c r="V112" s="9">
        <f t="shared" si="15"/>
        <v>0.40154088232669988</v>
      </c>
      <c r="W112">
        <f t="shared" si="16"/>
        <v>2.9151978649556209</v>
      </c>
      <c r="X112">
        <f t="shared" si="17"/>
        <v>9.8749723733721595</v>
      </c>
      <c r="Y112" s="8">
        <f t="shared" si="18"/>
        <v>0.12926076240191664</v>
      </c>
      <c r="Z112" s="8">
        <f t="shared" si="19"/>
        <v>4.7049794705254611E-2</v>
      </c>
      <c r="AA112" s="10">
        <f t="shared" si="20"/>
        <v>4.8534925003687106E-2</v>
      </c>
      <c r="AB112" s="12">
        <v>35235.898999999998</v>
      </c>
      <c r="AC112" s="12">
        <v>26578.007000000001</v>
      </c>
      <c r="AD112" s="8">
        <f t="shared" si="21"/>
        <v>0.32575399652803144</v>
      </c>
    </row>
    <row r="113" spans="1:30" x14ac:dyDescent="0.3">
      <c r="A113" t="s">
        <v>76</v>
      </c>
      <c r="B113" s="11">
        <v>2022</v>
      </c>
      <c r="C113" s="12">
        <v>817.62300000000005</v>
      </c>
      <c r="D113" s="12">
        <v>18697.322</v>
      </c>
      <c r="E113" s="12">
        <v>10343.904</v>
      </c>
      <c r="F113" s="12">
        <v>4349.7579999999998</v>
      </c>
      <c r="G113" s="12">
        <v>29041.225999999999</v>
      </c>
      <c r="H113" s="12">
        <v>18864.048999999999</v>
      </c>
      <c r="I113" s="12">
        <v>10177.178</v>
      </c>
      <c r="J113" s="12">
        <v>16227.01</v>
      </c>
      <c r="K113" s="5">
        <v>3.1565074996312899E-2</v>
      </c>
      <c r="L113" s="5">
        <v>8.1235144676734303E-2</v>
      </c>
      <c r="M113" s="8">
        <v>8.0100000000000005E-2</v>
      </c>
      <c r="N113" s="12">
        <v>23271.212500000001</v>
      </c>
      <c r="O113" s="3">
        <f t="shared" si="11"/>
        <v>28</v>
      </c>
      <c r="P113" s="13">
        <v>1995</v>
      </c>
      <c r="Q113" s="14">
        <v>134.21</v>
      </c>
      <c r="R113" s="14">
        <v>177.31</v>
      </c>
      <c r="S113" s="4">
        <f t="shared" si="12"/>
        <v>17.614513730895045</v>
      </c>
      <c r="T113" s="8">
        <f t="shared" si="13"/>
        <v>8.0338871934833023E-2</v>
      </c>
      <c r="U113" s="8">
        <f t="shared" si="14"/>
        <v>2.8153873393637036E-2</v>
      </c>
      <c r="V113" s="9">
        <f t="shared" si="15"/>
        <v>1.8535638268290089</v>
      </c>
      <c r="W113">
        <f t="shared" si="16"/>
        <v>1.152234576795109</v>
      </c>
      <c r="X113">
        <f t="shared" si="17"/>
        <v>9.7037422585976412</v>
      </c>
      <c r="Y113" s="8">
        <f t="shared" si="18"/>
        <v>0.14977873179321011</v>
      </c>
      <c r="Z113" s="8">
        <f t="shared" si="19"/>
        <v>4.7049794705254611E-2</v>
      </c>
      <c r="AA113" s="10">
        <f t="shared" si="20"/>
        <v>4.8534925003687106E-2</v>
      </c>
      <c r="AB113" s="12">
        <v>21304.458999999999</v>
      </c>
      <c r="AC113" s="12">
        <v>9322.634</v>
      </c>
      <c r="AD113" s="8">
        <f t="shared" si="21"/>
        <v>1.2852403086938733</v>
      </c>
    </row>
    <row r="114" spans="1:30" x14ac:dyDescent="0.3">
      <c r="A114" t="s">
        <v>77</v>
      </c>
      <c r="B114" s="11">
        <v>2022</v>
      </c>
      <c r="C114" s="12">
        <v>184.73500000000001</v>
      </c>
      <c r="D114" s="12">
        <v>560.69399999999996</v>
      </c>
      <c r="E114" s="12">
        <v>417.80200000000002</v>
      </c>
      <c r="F114" s="12">
        <v>351.34500000000003</v>
      </c>
      <c r="G114" s="12">
        <v>978.49599999999998</v>
      </c>
      <c r="H114" s="12">
        <v>371.80399999999997</v>
      </c>
      <c r="I114" s="12">
        <v>606.69200000000001</v>
      </c>
      <c r="J114" s="12">
        <v>346.11</v>
      </c>
      <c r="K114" s="5">
        <v>3.1565074996312899E-2</v>
      </c>
      <c r="L114" s="5">
        <v>8.1235144676734303E-2</v>
      </c>
      <c r="M114" s="8">
        <v>8.0100000000000005E-2</v>
      </c>
      <c r="N114" s="12">
        <v>23271.212500000001</v>
      </c>
      <c r="O114" s="3">
        <f t="shared" si="11"/>
        <v>15</v>
      </c>
      <c r="P114" s="13">
        <v>2008</v>
      </c>
      <c r="Q114" s="14">
        <v>134.21</v>
      </c>
      <c r="R114" s="14">
        <v>177.31</v>
      </c>
      <c r="S114" s="4">
        <f t="shared" si="12"/>
        <v>17.614513730895045</v>
      </c>
      <c r="T114" s="8">
        <f t="shared" si="13"/>
        <v>0.30449552656042939</v>
      </c>
      <c r="U114" s="8">
        <f t="shared" si="14"/>
        <v>0.18879484433252666</v>
      </c>
      <c r="V114" s="9">
        <f t="shared" si="15"/>
        <v>0.61283814522030944</v>
      </c>
      <c r="W114">
        <f t="shared" si="16"/>
        <v>1.6199878651295829</v>
      </c>
      <c r="X114">
        <f t="shared" si="17"/>
        <v>6.3132872718573427</v>
      </c>
      <c r="Y114" s="8">
        <f t="shared" si="18"/>
        <v>0.35906636307148931</v>
      </c>
      <c r="Z114" s="8">
        <f t="shared" si="19"/>
        <v>4.7049794705254611E-2</v>
      </c>
      <c r="AA114" s="10">
        <f t="shared" si="20"/>
        <v>4.8534925003687106E-2</v>
      </c>
      <c r="AB114" s="12">
        <v>1387.3520000000001</v>
      </c>
      <c r="AC114" s="12">
        <v>1191.309</v>
      </c>
      <c r="AD114" s="8">
        <f t="shared" si="21"/>
        <v>0.16456099970704505</v>
      </c>
    </row>
    <row r="115" spans="1:30" x14ac:dyDescent="0.3">
      <c r="A115" t="s">
        <v>78</v>
      </c>
      <c r="B115" s="11">
        <v>2022</v>
      </c>
      <c r="C115" s="12">
        <v>27.741</v>
      </c>
      <c r="D115" s="12">
        <v>530.07500000000005</v>
      </c>
      <c r="E115" s="12">
        <v>714.95100000000002</v>
      </c>
      <c r="F115" s="12">
        <v>45.039000000000001</v>
      </c>
      <c r="G115" s="12">
        <v>1245.0260000000001</v>
      </c>
      <c r="H115" s="12">
        <v>805.69299999999998</v>
      </c>
      <c r="I115" s="12">
        <v>439.33300000000003</v>
      </c>
      <c r="J115" s="12">
        <v>520.67999999999995</v>
      </c>
      <c r="K115" s="5">
        <v>3.1565074996312899E-2</v>
      </c>
      <c r="L115" s="5">
        <v>8.1235144676734303E-2</v>
      </c>
      <c r="M115" s="8">
        <v>8.0100000000000005E-2</v>
      </c>
      <c r="N115" s="12">
        <v>23271.212500000001</v>
      </c>
      <c r="O115" s="3">
        <f t="shared" si="11"/>
        <v>63</v>
      </c>
      <c r="P115" s="13">
        <v>1960</v>
      </c>
      <c r="Q115" s="14">
        <v>134.21</v>
      </c>
      <c r="R115" s="14">
        <v>177.31</v>
      </c>
      <c r="S115" s="4">
        <f t="shared" si="12"/>
        <v>17.614513730895045</v>
      </c>
      <c r="T115" s="8">
        <f t="shared" si="13"/>
        <v>6.3143446998062971E-2</v>
      </c>
      <c r="U115" s="8">
        <f t="shared" si="14"/>
        <v>2.2281462395162831E-2</v>
      </c>
      <c r="V115" s="9">
        <f t="shared" si="15"/>
        <v>1.8339004809563586</v>
      </c>
      <c r="W115">
        <f t="shared" si="16"/>
        <v>1.0180437120688333</v>
      </c>
      <c r="X115">
        <f t="shared" si="17"/>
        <v>6.5541822651340809</v>
      </c>
      <c r="Y115" s="8">
        <f t="shared" si="18"/>
        <v>3.6175148149516556E-2</v>
      </c>
      <c r="Z115" s="8">
        <f t="shared" si="19"/>
        <v>4.7049794705254611E-2</v>
      </c>
      <c r="AA115" s="10">
        <f t="shared" si="20"/>
        <v>4.8534925003687106E-2</v>
      </c>
      <c r="AB115" s="12">
        <v>959.54100000000005</v>
      </c>
      <c r="AC115" s="12">
        <v>994.86</v>
      </c>
      <c r="AD115" s="8">
        <f t="shared" si="21"/>
        <v>-3.5501477594837426E-2</v>
      </c>
    </row>
    <row r="116" spans="1:30" x14ac:dyDescent="0.3">
      <c r="A116" t="s">
        <v>79</v>
      </c>
      <c r="B116" s="11">
        <v>2022</v>
      </c>
      <c r="C116" s="12">
        <v>50.664999999999999</v>
      </c>
      <c r="D116" s="12">
        <v>327.58</v>
      </c>
      <c r="E116" s="12">
        <v>199.37799999999999</v>
      </c>
      <c r="F116" s="12">
        <v>86.350999999999999</v>
      </c>
      <c r="G116" s="12">
        <v>526.95799999999997</v>
      </c>
      <c r="H116" s="12">
        <v>147.75800000000001</v>
      </c>
      <c r="I116" s="12">
        <v>379.20100000000002</v>
      </c>
      <c r="J116" s="12">
        <v>147.76</v>
      </c>
      <c r="K116" s="5">
        <v>3.1565074996312899E-2</v>
      </c>
      <c r="L116" s="5">
        <v>8.1235144676734303E-2</v>
      </c>
      <c r="M116" s="8">
        <v>8.0100000000000005E-2</v>
      </c>
      <c r="N116" s="12">
        <v>23271.212500000001</v>
      </c>
      <c r="O116" s="3">
        <f t="shared" si="11"/>
        <v>47</v>
      </c>
      <c r="P116" s="13">
        <v>1976</v>
      </c>
      <c r="Q116" s="14">
        <v>134.21</v>
      </c>
      <c r="R116" s="14">
        <v>177.31</v>
      </c>
      <c r="S116" s="4">
        <f t="shared" si="12"/>
        <v>17.614513730895045</v>
      </c>
      <c r="T116" s="8">
        <f t="shared" si="13"/>
        <v>0.13360987972078131</v>
      </c>
      <c r="U116" s="8">
        <f t="shared" si="14"/>
        <v>9.614618242820111E-2</v>
      </c>
      <c r="V116" s="9">
        <f t="shared" si="15"/>
        <v>0.38965614542155741</v>
      </c>
      <c r="W116">
        <f t="shared" si="16"/>
        <v>2.2169734704926909</v>
      </c>
      <c r="X116">
        <f t="shared" si="17"/>
        <v>5.694391421889943</v>
      </c>
      <c r="Y116" s="8">
        <f t="shared" si="18"/>
        <v>0.16386694954816133</v>
      </c>
      <c r="Z116" s="8">
        <f t="shared" si="19"/>
        <v>4.7049794705254611E-2</v>
      </c>
      <c r="AA116" s="10">
        <f t="shared" si="20"/>
        <v>4.8534925003687106E-2</v>
      </c>
      <c r="AB116" s="12">
        <v>315.30099999999999</v>
      </c>
      <c r="AC116" s="12">
        <v>325.97300000000001</v>
      </c>
      <c r="AD116" s="8">
        <f t="shared" si="21"/>
        <v>-3.2738907823654184E-2</v>
      </c>
    </row>
    <row r="117" spans="1:30" x14ac:dyDescent="0.3">
      <c r="A117" t="s">
        <v>80</v>
      </c>
      <c r="B117" s="11">
        <v>2022</v>
      </c>
      <c r="C117" s="12">
        <v>242.274</v>
      </c>
      <c r="D117" s="12">
        <v>1199.951</v>
      </c>
      <c r="E117" s="12">
        <v>925.08199999999999</v>
      </c>
      <c r="F117" s="12">
        <v>730.56700000000001</v>
      </c>
      <c r="G117" s="12">
        <v>2125.0329999999999</v>
      </c>
      <c r="H117" s="12">
        <v>583.94299999999998</v>
      </c>
      <c r="I117" s="12">
        <v>1541.09</v>
      </c>
      <c r="J117" s="12">
        <v>583.66999999999996</v>
      </c>
      <c r="K117" s="5">
        <v>3.1565074996312899E-2</v>
      </c>
      <c r="L117" s="5">
        <v>8.1235144676734303E-2</v>
      </c>
      <c r="M117" s="8">
        <v>8.0100000000000005E-2</v>
      </c>
      <c r="N117" s="12">
        <v>23271.212500000001</v>
      </c>
      <c r="O117" s="3">
        <f t="shared" si="11"/>
        <v>23</v>
      </c>
      <c r="P117" s="13">
        <v>2000</v>
      </c>
      <c r="Q117" s="14">
        <v>134.21</v>
      </c>
      <c r="R117" s="14">
        <v>177.31</v>
      </c>
      <c r="S117" s="4">
        <f t="shared" si="12"/>
        <v>17.614513730895045</v>
      </c>
      <c r="T117" s="8">
        <f t="shared" si="13"/>
        <v>0.15720950755634</v>
      </c>
      <c r="U117" s="8">
        <f t="shared" si="14"/>
        <v>0.11400952361680972</v>
      </c>
      <c r="V117" s="9">
        <f t="shared" si="15"/>
        <v>0.37891557274396692</v>
      </c>
      <c r="W117">
        <f t="shared" si="16"/>
        <v>2.0558723251152196</v>
      </c>
      <c r="X117">
        <f t="shared" si="17"/>
        <v>7.0888131835688961</v>
      </c>
      <c r="Y117" s="8">
        <f t="shared" si="18"/>
        <v>0.34379089642372612</v>
      </c>
      <c r="Z117" s="8">
        <f t="shared" si="19"/>
        <v>4.7049794705254611E-2</v>
      </c>
      <c r="AA117" s="10">
        <f t="shared" si="20"/>
        <v>4.8534925003687106E-2</v>
      </c>
      <c r="AB117" s="12">
        <v>2116.7809999999999</v>
      </c>
      <c r="AC117" s="12">
        <v>2043.3710000000001</v>
      </c>
      <c r="AD117" s="8">
        <f t="shared" si="21"/>
        <v>3.5925928282235509E-2</v>
      </c>
    </row>
    <row r="118" spans="1:30" x14ac:dyDescent="0.3">
      <c r="A118" t="s">
        <v>81</v>
      </c>
      <c r="B118" s="11">
        <v>2022</v>
      </c>
      <c r="C118" s="12">
        <v>586.04300000000001</v>
      </c>
      <c r="D118" s="12">
        <v>3465.3069999999998</v>
      </c>
      <c r="E118" s="12">
        <v>2681.4189999999999</v>
      </c>
      <c r="F118" s="12">
        <v>737.68600000000004</v>
      </c>
      <c r="G118" s="12">
        <v>6146.7250000000004</v>
      </c>
      <c r="H118" s="12">
        <v>3691.056</v>
      </c>
      <c r="I118" s="12">
        <v>2455.6689999999999</v>
      </c>
      <c r="J118" s="12">
        <v>3232.12</v>
      </c>
      <c r="K118" s="5">
        <v>3.1565074996312899E-2</v>
      </c>
      <c r="L118" s="5">
        <v>8.1235144676734303E-2</v>
      </c>
      <c r="M118" s="8">
        <v>8.0100000000000005E-2</v>
      </c>
      <c r="N118" s="12">
        <v>23271.212500000001</v>
      </c>
      <c r="O118" s="3">
        <f t="shared" si="11"/>
        <v>41</v>
      </c>
      <c r="P118" s="13">
        <v>1982</v>
      </c>
      <c r="Q118" s="14">
        <v>134.21</v>
      </c>
      <c r="R118" s="14">
        <v>177.31</v>
      </c>
      <c r="S118" s="4">
        <f t="shared" si="12"/>
        <v>17.614513730895045</v>
      </c>
      <c r="T118" s="8">
        <f t="shared" si="13"/>
        <v>0.2386490198801223</v>
      </c>
      <c r="U118" s="8">
        <f t="shared" si="14"/>
        <v>9.5342316436801702E-2</v>
      </c>
      <c r="V118" s="9">
        <f t="shared" si="15"/>
        <v>1.503075536646022</v>
      </c>
      <c r="W118">
        <f t="shared" si="16"/>
        <v>1.0721467643528086</v>
      </c>
      <c r="X118">
        <f t="shared" si="17"/>
        <v>8.1509452715552495</v>
      </c>
      <c r="Y118" s="8">
        <f t="shared" si="18"/>
        <v>0.12001285237260492</v>
      </c>
      <c r="Z118" s="8">
        <f t="shared" si="19"/>
        <v>4.7049794705254611E-2</v>
      </c>
      <c r="AA118" s="10">
        <f t="shared" si="20"/>
        <v>4.8534925003687106E-2</v>
      </c>
      <c r="AB118" s="12">
        <v>21322.513999999999</v>
      </c>
      <c r="AC118" s="12">
        <v>14192.876</v>
      </c>
      <c r="AD118" s="8">
        <f t="shared" si="21"/>
        <v>0.50233920172345614</v>
      </c>
    </row>
    <row r="119" spans="1:30" x14ac:dyDescent="0.3">
      <c r="A119" t="s">
        <v>82</v>
      </c>
      <c r="B119" s="11">
        <v>2022</v>
      </c>
      <c r="C119" s="12">
        <v>281.06900000000002</v>
      </c>
      <c r="D119" s="12">
        <v>2166.7359999999999</v>
      </c>
      <c r="E119" s="12">
        <v>1310.3309999999999</v>
      </c>
      <c r="F119" s="12">
        <v>1037.018</v>
      </c>
      <c r="G119" s="12">
        <v>3477.067</v>
      </c>
      <c r="H119" s="12">
        <v>1498.2090000000001</v>
      </c>
      <c r="I119" s="12">
        <v>1978.857</v>
      </c>
      <c r="J119" s="12">
        <v>1311.89</v>
      </c>
      <c r="K119" s="5">
        <v>3.1565074996312899E-2</v>
      </c>
      <c r="L119" s="5">
        <v>8.1235144676734303E-2</v>
      </c>
      <c r="M119" s="8">
        <v>8.0100000000000005E-2</v>
      </c>
      <c r="N119" s="12">
        <v>23271.212500000001</v>
      </c>
      <c r="O119" s="3">
        <f t="shared" si="11"/>
        <v>47</v>
      </c>
      <c r="P119" s="13">
        <v>1976</v>
      </c>
      <c r="Q119" s="14">
        <v>134.21</v>
      </c>
      <c r="R119" s="14">
        <v>177.31</v>
      </c>
      <c r="S119" s="4">
        <f t="shared" si="12"/>
        <v>17.614513730895045</v>
      </c>
      <c r="T119" s="8">
        <f t="shared" si="13"/>
        <v>0.14203603393271977</v>
      </c>
      <c r="U119" s="8">
        <f t="shared" si="14"/>
        <v>8.0835083131846466E-2</v>
      </c>
      <c r="V119" s="9">
        <f t="shared" si="15"/>
        <v>0.75710827007712034</v>
      </c>
      <c r="W119">
        <f t="shared" si="16"/>
        <v>1.6516140834978541</v>
      </c>
      <c r="X119">
        <f t="shared" si="17"/>
        <v>7.5812149742265902</v>
      </c>
      <c r="Y119" s="8">
        <f t="shared" si="18"/>
        <v>0.29824504388324991</v>
      </c>
      <c r="Z119" s="8">
        <f t="shared" si="19"/>
        <v>4.7049794705254611E-2</v>
      </c>
      <c r="AA119" s="10">
        <f t="shared" si="20"/>
        <v>4.8534925003687106E-2</v>
      </c>
      <c r="AB119" s="12">
        <v>4340.75</v>
      </c>
      <c r="AC119" s="12">
        <v>3537.498</v>
      </c>
      <c r="AD119" s="8">
        <f t="shared" si="21"/>
        <v>0.22706783155778462</v>
      </c>
    </row>
    <row r="120" spans="1:30" x14ac:dyDescent="0.3">
      <c r="A120" t="s">
        <v>83</v>
      </c>
      <c r="B120" s="11">
        <v>2022</v>
      </c>
      <c r="C120" s="12">
        <v>400.93700000000001</v>
      </c>
      <c r="D120" s="12">
        <v>2133.2130000000002</v>
      </c>
      <c r="E120" s="12">
        <v>735.82299999999998</v>
      </c>
      <c r="F120" s="12">
        <v>478.35</v>
      </c>
      <c r="G120" s="12">
        <v>2869.0360000000001</v>
      </c>
      <c r="H120" s="12">
        <v>911.16399999999999</v>
      </c>
      <c r="I120" s="12">
        <v>1957.8720000000001</v>
      </c>
      <c r="J120" s="12">
        <v>831.26</v>
      </c>
      <c r="K120" s="5">
        <v>3.1565074996312899E-2</v>
      </c>
      <c r="L120" s="5">
        <v>8.1235144676734303E-2</v>
      </c>
      <c r="M120" s="8">
        <v>8.0100000000000005E-2</v>
      </c>
      <c r="N120" s="12">
        <v>23271.212500000001</v>
      </c>
      <c r="O120" s="3">
        <f t="shared" si="11"/>
        <v>42</v>
      </c>
      <c r="P120" s="13">
        <v>1981</v>
      </c>
      <c r="Q120" s="14">
        <v>134.21</v>
      </c>
      <c r="R120" s="14">
        <v>177.31</v>
      </c>
      <c r="S120" s="4">
        <f t="shared" si="12"/>
        <v>17.614513730895045</v>
      </c>
      <c r="T120" s="8">
        <f t="shared" si="13"/>
        <v>0.20478202865151551</v>
      </c>
      <c r="U120" s="8">
        <f t="shared" si="14"/>
        <v>0.13974624229183599</v>
      </c>
      <c r="V120" s="9">
        <f t="shared" si="15"/>
        <v>0.46538486683501268</v>
      </c>
      <c r="W120">
        <f t="shared" si="16"/>
        <v>2.5662404061304529</v>
      </c>
      <c r="X120">
        <f t="shared" si="17"/>
        <v>7.3890019367479409</v>
      </c>
      <c r="Y120" s="8">
        <f t="shared" si="18"/>
        <v>0.16672847604561253</v>
      </c>
      <c r="Z120" s="8">
        <f t="shared" si="19"/>
        <v>4.7049794705254611E-2</v>
      </c>
      <c r="AA120" s="10">
        <f t="shared" si="20"/>
        <v>4.8534925003687106E-2</v>
      </c>
      <c r="AB120" s="12">
        <v>3550.4059999999999</v>
      </c>
      <c r="AC120" s="12">
        <v>2686.8510000000001</v>
      </c>
      <c r="AD120" s="8">
        <f t="shared" si="21"/>
        <v>0.32140040515830604</v>
      </c>
    </row>
    <row r="121" spans="1:30" x14ac:dyDescent="0.3">
      <c r="A121" t="s">
        <v>84</v>
      </c>
      <c r="B121" s="11">
        <v>2022</v>
      </c>
      <c r="C121" s="12">
        <v>48.411999999999999</v>
      </c>
      <c r="D121" s="12">
        <v>2998.0039999999999</v>
      </c>
      <c r="E121" s="12">
        <v>508.41699999999997</v>
      </c>
      <c r="F121" s="12">
        <v>308.67399999999998</v>
      </c>
      <c r="G121" s="12">
        <v>3506.4209999999998</v>
      </c>
      <c r="H121" s="12">
        <v>3070.8809999999999</v>
      </c>
      <c r="I121" s="12">
        <v>435.541</v>
      </c>
      <c r="J121" s="12">
        <v>2947.61</v>
      </c>
      <c r="K121" s="5">
        <v>3.1565074996312899E-2</v>
      </c>
      <c r="L121" s="5">
        <v>8.1235144676734303E-2</v>
      </c>
      <c r="M121" s="8">
        <v>8.0100000000000005E-2</v>
      </c>
      <c r="N121" s="12">
        <v>23271.212500000001</v>
      </c>
      <c r="O121" s="3">
        <f t="shared" si="11"/>
        <v>47</v>
      </c>
      <c r="P121" s="13">
        <v>1976</v>
      </c>
      <c r="Q121" s="14">
        <v>134.21</v>
      </c>
      <c r="R121" s="14">
        <v>177.31</v>
      </c>
      <c r="S121" s="4">
        <f t="shared" si="12"/>
        <v>17.614513730895045</v>
      </c>
      <c r="T121" s="8">
        <f t="shared" si="13"/>
        <v>0.11115371457566567</v>
      </c>
      <c r="U121" s="8">
        <f t="shared" si="14"/>
        <v>1.3806670676453284E-2</v>
      </c>
      <c r="V121" s="9">
        <f t="shared" si="15"/>
        <v>7.050727715645599</v>
      </c>
      <c r="W121">
        <f t="shared" si="16"/>
        <v>1.0170965629781414</v>
      </c>
      <c r="X121">
        <f t="shared" si="17"/>
        <v>7.5896217110544564</v>
      </c>
      <c r="Y121" s="8">
        <f t="shared" si="18"/>
        <v>8.8031072138799071E-2</v>
      </c>
      <c r="Z121" s="8">
        <f t="shared" si="19"/>
        <v>4.7049794705254611E-2</v>
      </c>
      <c r="AA121" s="10">
        <f t="shared" si="20"/>
        <v>4.8534925003687106E-2</v>
      </c>
      <c r="AB121" s="12">
        <v>3043.357</v>
      </c>
      <c r="AC121" s="12">
        <v>2523.2530000000002</v>
      </c>
      <c r="AD121" s="8">
        <f t="shared" si="21"/>
        <v>0.20612439577006339</v>
      </c>
    </row>
    <row r="122" spans="1:30" x14ac:dyDescent="0.3">
      <c r="A122" t="s">
        <v>85</v>
      </c>
      <c r="B122" s="11">
        <v>2022</v>
      </c>
      <c r="C122" s="12">
        <v>55.225000000000001</v>
      </c>
      <c r="D122" s="12">
        <v>1370.355</v>
      </c>
      <c r="E122" s="12">
        <v>442.92599999999999</v>
      </c>
      <c r="F122" s="12">
        <v>358.637</v>
      </c>
      <c r="G122" s="12">
        <v>1813.28</v>
      </c>
      <c r="H122" s="12">
        <v>1191.2840000000001</v>
      </c>
      <c r="I122" s="12">
        <v>621.99599999999998</v>
      </c>
      <c r="J122" s="12">
        <v>1135.04</v>
      </c>
      <c r="K122" s="5">
        <v>3.1565074996312899E-2</v>
      </c>
      <c r="L122" s="5">
        <v>8.1235144676734303E-2</v>
      </c>
      <c r="M122" s="8">
        <v>8.0100000000000005E-2</v>
      </c>
      <c r="N122" s="12">
        <v>23271.212500000001</v>
      </c>
      <c r="O122" s="3">
        <f t="shared" si="11"/>
        <v>63</v>
      </c>
      <c r="P122" s="13">
        <v>1960</v>
      </c>
      <c r="Q122" s="14">
        <v>134.21</v>
      </c>
      <c r="R122" s="14">
        <v>177.31</v>
      </c>
      <c r="S122" s="4">
        <f t="shared" si="12"/>
        <v>17.614513730895045</v>
      </c>
      <c r="T122" s="8">
        <f t="shared" si="13"/>
        <v>8.8786744609290091E-2</v>
      </c>
      <c r="U122" s="8">
        <f t="shared" si="14"/>
        <v>3.0455858995852819E-2</v>
      </c>
      <c r="V122" s="9">
        <f t="shared" si="15"/>
        <v>1.9152599052083938</v>
      </c>
      <c r="W122">
        <f t="shared" si="16"/>
        <v>1.2073186848040598</v>
      </c>
      <c r="X122">
        <f t="shared" si="17"/>
        <v>6.9301632119038326</v>
      </c>
      <c r="Y122" s="8">
        <f t="shared" si="18"/>
        <v>0.19778357451689757</v>
      </c>
      <c r="Z122" s="8">
        <f t="shared" si="19"/>
        <v>4.7049794705254611E-2</v>
      </c>
      <c r="AA122" s="10">
        <f t="shared" si="20"/>
        <v>4.8534925003687106E-2</v>
      </c>
      <c r="AB122" s="12">
        <v>1960.1969999999999</v>
      </c>
      <c r="AC122" s="12">
        <v>1478.154</v>
      </c>
      <c r="AD122" s="8">
        <f t="shared" si="21"/>
        <v>0.32611148770696413</v>
      </c>
    </row>
    <row r="123" spans="1:30" x14ac:dyDescent="0.3">
      <c r="A123" t="s">
        <v>86</v>
      </c>
      <c r="B123" s="11">
        <v>2022</v>
      </c>
      <c r="C123" s="12">
        <v>319.10700000000003</v>
      </c>
      <c r="D123" s="12">
        <v>1770.2460000000001</v>
      </c>
      <c r="E123" s="12">
        <v>336.00400000000002</v>
      </c>
      <c r="F123" s="12">
        <v>313.822</v>
      </c>
      <c r="G123" s="12">
        <v>2106.25</v>
      </c>
      <c r="H123" s="12">
        <v>443.41800000000001</v>
      </c>
      <c r="I123" s="12">
        <v>1662.8320000000001</v>
      </c>
      <c r="J123" s="12">
        <v>438.5</v>
      </c>
      <c r="K123" s="5">
        <v>3.1565074996312899E-2</v>
      </c>
      <c r="L123" s="5">
        <v>8.1235144676734303E-2</v>
      </c>
      <c r="M123" s="8">
        <v>8.0100000000000005E-2</v>
      </c>
      <c r="N123" s="12">
        <v>23271.212500000001</v>
      </c>
      <c r="O123" s="3">
        <f t="shared" si="11"/>
        <v>54</v>
      </c>
      <c r="P123" s="13">
        <v>1969</v>
      </c>
      <c r="Q123" s="14">
        <v>134.21</v>
      </c>
      <c r="R123" s="14">
        <v>177.31</v>
      </c>
      <c r="S123" s="4">
        <f t="shared" si="12"/>
        <v>17.614513730895045</v>
      </c>
      <c r="T123" s="8">
        <f t="shared" si="13"/>
        <v>0.19190573671904318</v>
      </c>
      <c r="U123" s="8">
        <f t="shared" si="14"/>
        <v>0.15150480712166173</v>
      </c>
      <c r="V123" s="9">
        <f t="shared" si="15"/>
        <v>0.26666434131650102</v>
      </c>
      <c r="W123">
        <f t="shared" si="16"/>
        <v>4.0370490307867737</v>
      </c>
      <c r="X123">
        <f t="shared" si="17"/>
        <v>7.0799349670198657</v>
      </c>
      <c r="Y123" s="8">
        <f t="shared" si="18"/>
        <v>0.14899560830860534</v>
      </c>
      <c r="Z123" s="8">
        <f t="shared" si="19"/>
        <v>4.7049794705254611E-2</v>
      </c>
      <c r="AA123" s="10">
        <f t="shared" si="20"/>
        <v>4.8534925003687106E-2</v>
      </c>
      <c r="AB123" s="12">
        <v>2212.2930000000001</v>
      </c>
      <c r="AC123" s="12">
        <v>2219.0819999999999</v>
      </c>
      <c r="AD123" s="8">
        <f t="shared" si="21"/>
        <v>-3.0593732002691925E-3</v>
      </c>
    </row>
    <row r="124" spans="1:30" x14ac:dyDescent="0.3">
      <c r="A124" t="s">
        <v>87</v>
      </c>
      <c r="B124" s="11">
        <v>2022</v>
      </c>
      <c r="C124" s="12">
        <v>2012.92</v>
      </c>
      <c r="D124" s="12">
        <v>7640.3620000000001</v>
      </c>
      <c r="E124" s="12">
        <v>3942.9279999999999</v>
      </c>
      <c r="F124" s="12">
        <v>2823.5059999999999</v>
      </c>
      <c r="G124" s="12">
        <v>11583.29</v>
      </c>
      <c r="H124" s="12">
        <v>3888.902</v>
      </c>
      <c r="I124" s="12">
        <v>7694.3879999999999</v>
      </c>
      <c r="J124" s="12">
        <v>3698.13</v>
      </c>
      <c r="K124" s="5">
        <v>3.1565074996312899E-2</v>
      </c>
      <c r="L124" s="5">
        <v>8.1235144676734303E-2</v>
      </c>
      <c r="M124" s="8">
        <v>8.0100000000000005E-2</v>
      </c>
      <c r="N124" s="12">
        <v>23271.212500000001</v>
      </c>
      <c r="O124" s="3">
        <f t="shared" si="11"/>
        <v>26</v>
      </c>
      <c r="P124" s="13">
        <v>1997</v>
      </c>
      <c r="Q124" s="14">
        <v>134.21</v>
      </c>
      <c r="R124" s="14">
        <v>177.31</v>
      </c>
      <c r="S124" s="4">
        <f t="shared" si="12"/>
        <v>17.614513730895045</v>
      </c>
      <c r="T124" s="8">
        <f t="shared" si="13"/>
        <v>0.26160885050247012</v>
      </c>
      <c r="U124" s="8">
        <f t="shared" si="14"/>
        <v>0.1737779162914854</v>
      </c>
      <c r="V124" s="9">
        <f t="shared" si="15"/>
        <v>0.50542057405995122</v>
      </c>
      <c r="W124">
        <f t="shared" si="16"/>
        <v>2.0660068737442976</v>
      </c>
      <c r="X124">
        <f t="shared" si="17"/>
        <v>8.7845893942298314</v>
      </c>
      <c r="Y124" s="8">
        <f t="shared" si="18"/>
        <v>0.24375682556510281</v>
      </c>
      <c r="Z124" s="8">
        <f t="shared" si="19"/>
        <v>4.7049794705254611E-2</v>
      </c>
      <c r="AA124" s="10">
        <f t="shared" si="20"/>
        <v>4.8534925003687106E-2</v>
      </c>
      <c r="AB124" s="12">
        <v>13463.915999999999</v>
      </c>
      <c r="AC124" s="12">
        <v>9060.3289999999997</v>
      </c>
      <c r="AD124" s="8">
        <f t="shared" si="21"/>
        <v>0.48602948082790365</v>
      </c>
    </row>
    <row r="125" spans="1:30" x14ac:dyDescent="0.3">
      <c r="A125" t="s">
        <v>88</v>
      </c>
      <c r="B125" s="11">
        <v>2022</v>
      </c>
      <c r="C125" s="12">
        <v>8577.5750000000007</v>
      </c>
      <c r="D125" s="12">
        <v>31560.382000000001</v>
      </c>
      <c r="E125" s="12">
        <v>16922.281999999999</v>
      </c>
      <c r="F125" s="12">
        <v>11903.208000000001</v>
      </c>
      <c r="G125" s="12">
        <v>48482.663999999997</v>
      </c>
      <c r="H125" s="12">
        <v>15666.146000000001</v>
      </c>
      <c r="I125" s="12">
        <v>32816.517999999996</v>
      </c>
      <c r="J125" s="12">
        <v>15308.42</v>
      </c>
      <c r="K125" s="5">
        <v>3.1565074996312899E-2</v>
      </c>
      <c r="L125" s="5">
        <v>8.1235144676734303E-2</v>
      </c>
      <c r="M125" s="8">
        <v>8.0100000000000005E-2</v>
      </c>
      <c r="N125" s="12">
        <v>23271.212500000001</v>
      </c>
      <c r="O125" s="3">
        <f t="shared" si="11"/>
        <v>47</v>
      </c>
      <c r="P125" s="13">
        <v>1976</v>
      </c>
      <c r="Q125" s="14">
        <v>134.21</v>
      </c>
      <c r="R125" s="14">
        <v>177.31</v>
      </c>
      <c r="S125" s="4">
        <f t="shared" si="12"/>
        <v>17.614513730895045</v>
      </c>
      <c r="T125" s="8">
        <f t="shared" si="13"/>
        <v>0.26137980269570349</v>
      </c>
      <c r="U125" s="8">
        <f t="shared" si="14"/>
        <v>0.17692045552612376</v>
      </c>
      <c r="V125" s="9">
        <f t="shared" si="15"/>
        <v>0.47738599201780035</v>
      </c>
      <c r="W125">
        <f t="shared" si="16"/>
        <v>2.0616354921017321</v>
      </c>
      <c r="X125">
        <f t="shared" si="17"/>
        <v>10.216232142647717</v>
      </c>
      <c r="Y125" s="8">
        <f t="shared" si="18"/>
        <v>0.24551472666600996</v>
      </c>
      <c r="Z125" s="8">
        <f t="shared" si="19"/>
        <v>4.7049794705254611E-2</v>
      </c>
      <c r="AA125" s="10">
        <f t="shared" si="20"/>
        <v>4.8534925003687106E-2</v>
      </c>
      <c r="AB125" s="12">
        <v>60074.73</v>
      </c>
      <c r="AC125" s="12">
        <v>61012.074000000001</v>
      </c>
      <c r="AD125" s="8">
        <f t="shared" si="21"/>
        <v>-1.5363254165068988E-2</v>
      </c>
    </row>
    <row r="126" spans="1:30" x14ac:dyDescent="0.3">
      <c r="A126" s="2" t="s">
        <v>27</v>
      </c>
      <c r="B126" s="3">
        <v>2021</v>
      </c>
      <c r="C126" s="4">
        <v>0.22600000000000001</v>
      </c>
      <c r="D126" s="4">
        <v>163.042</v>
      </c>
      <c r="E126" s="4">
        <v>38.045000000000002</v>
      </c>
      <c r="F126" s="4">
        <v>26.236999999999998</v>
      </c>
      <c r="G126" s="4">
        <v>201.08799999999999</v>
      </c>
      <c r="H126" s="4">
        <v>6.7610000000000001</v>
      </c>
      <c r="I126" s="4">
        <v>194.32599999999999</v>
      </c>
      <c r="J126" s="4">
        <v>5.54</v>
      </c>
      <c r="K126" s="5">
        <v>1.8347155481044399E-2</v>
      </c>
      <c r="L126" s="5">
        <v>2.5537285264813078E-2</v>
      </c>
      <c r="M126" s="5">
        <v>7.8100000000000003E-2</v>
      </c>
      <c r="N126" s="4">
        <v>23159.782592592601</v>
      </c>
      <c r="O126" s="3">
        <f t="shared" si="11"/>
        <v>43</v>
      </c>
      <c r="P126" s="6">
        <v>1979</v>
      </c>
      <c r="Q126" s="7">
        <v>124.27</v>
      </c>
      <c r="R126" s="7">
        <v>171.88</v>
      </c>
      <c r="S126" s="4">
        <f t="shared" si="12"/>
        <v>16.744625219813141</v>
      </c>
      <c r="T126" s="8">
        <f t="shared" si="13"/>
        <v>1.1629941438613465E-3</v>
      </c>
      <c r="U126" s="8">
        <f t="shared" si="14"/>
        <v>1.1238860598345004E-3</v>
      </c>
      <c r="V126" s="9">
        <f t="shared" si="15"/>
        <v>3.4792050471887451E-2</v>
      </c>
      <c r="W126">
        <f t="shared" si="16"/>
        <v>29.429963898916967</v>
      </c>
      <c r="X126">
        <f t="shared" si="17"/>
        <v>4.7621162502743983</v>
      </c>
      <c r="Y126" s="8">
        <f t="shared" si="18"/>
        <v>0.13047521483131763</v>
      </c>
      <c r="Z126" s="8">
        <f t="shared" si="19"/>
        <v>5.8676301296024969E-2</v>
      </c>
      <c r="AA126" s="10">
        <f t="shared" si="20"/>
        <v>5.97528445189556E-2</v>
      </c>
      <c r="AB126" s="12">
        <v>134.11000000000001</v>
      </c>
      <c r="AC126" s="12">
        <v>122.651</v>
      </c>
      <c r="AD126" s="8">
        <f t="shared" si="21"/>
        <v>9.3427693210817828E-2</v>
      </c>
    </row>
    <row r="127" spans="1:30" x14ac:dyDescent="0.3">
      <c r="A127" t="s">
        <v>28</v>
      </c>
      <c r="B127" s="11">
        <v>2021</v>
      </c>
      <c r="C127" s="12">
        <v>28.814</v>
      </c>
      <c r="D127" s="12">
        <v>343.22300000000001</v>
      </c>
      <c r="E127" s="12">
        <v>633.38900000000001</v>
      </c>
      <c r="F127" s="12">
        <v>434.928</v>
      </c>
      <c r="G127" s="12">
        <v>976.61199999999997</v>
      </c>
      <c r="H127" s="12">
        <v>307.87599999999998</v>
      </c>
      <c r="I127" s="12">
        <v>668.73699999999997</v>
      </c>
      <c r="J127" s="12">
        <v>115.7</v>
      </c>
      <c r="K127" s="5">
        <v>1.8347155481044399E-2</v>
      </c>
      <c r="L127" s="5">
        <v>2.5537285264813078E-2</v>
      </c>
      <c r="M127" s="8">
        <v>7.8100000000000003E-2</v>
      </c>
      <c r="N127" s="12">
        <v>23159.782592592601</v>
      </c>
      <c r="O127" s="3">
        <f t="shared" si="11"/>
        <v>27</v>
      </c>
      <c r="P127" s="13">
        <v>1995</v>
      </c>
      <c r="Q127" s="14">
        <v>124.27</v>
      </c>
      <c r="R127" s="14">
        <v>171.88</v>
      </c>
      <c r="S127" s="4">
        <f t="shared" si="12"/>
        <v>16.744625219813141</v>
      </c>
      <c r="T127" s="8">
        <f t="shared" si="13"/>
        <v>4.3087192722998727E-2</v>
      </c>
      <c r="U127" s="8">
        <f t="shared" si="14"/>
        <v>2.9504040499195177E-2</v>
      </c>
      <c r="V127" s="9">
        <f t="shared" si="15"/>
        <v>0.46038427662892883</v>
      </c>
      <c r="W127">
        <f t="shared" si="16"/>
        <v>2.9664909248055316</v>
      </c>
      <c r="X127">
        <f t="shared" si="17"/>
        <v>6.3424630661615247</v>
      </c>
      <c r="Y127" s="8">
        <f t="shared" si="18"/>
        <v>0.4453436984186146</v>
      </c>
      <c r="Z127" s="8">
        <f t="shared" si="19"/>
        <v>5.8676301296024969E-2</v>
      </c>
      <c r="AA127" s="10">
        <f t="shared" si="20"/>
        <v>5.97528445189556E-2</v>
      </c>
      <c r="AB127" s="12">
        <v>473.17500000000001</v>
      </c>
      <c r="AC127" s="12">
        <v>287.09899999999999</v>
      </c>
      <c r="AD127" s="8">
        <f t="shared" si="21"/>
        <v>0.64812486285218696</v>
      </c>
    </row>
    <row r="128" spans="1:30" x14ac:dyDescent="0.3">
      <c r="A128" t="s">
        <v>29</v>
      </c>
      <c r="B128" s="11">
        <v>2021</v>
      </c>
      <c r="C128" s="12">
        <v>65.352000000000004</v>
      </c>
      <c r="D128" s="12">
        <v>1282.1099999999999</v>
      </c>
      <c r="E128" s="12">
        <v>310.84199999999998</v>
      </c>
      <c r="F128" s="12">
        <v>13.01</v>
      </c>
      <c r="G128" s="12">
        <v>1592.952</v>
      </c>
      <c r="H128" s="12">
        <v>666.548</v>
      </c>
      <c r="I128" s="12">
        <v>926.404</v>
      </c>
      <c r="J128" s="12">
        <v>666.16</v>
      </c>
      <c r="K128" s="5">
        <v>1.8347155481044399E-2</v>
      </c>
      <c r="L128" s="5">
        <v>2.5537285264813078E-2</v>
      </c>
      <c r="M128" s="8">
        <v>7.8100000000000003E-2</v>
      </c>
      <c r="N128" s="12">
        <v>23159.782592592601</v>
      </c>
      <c r="O128" s="3">
        <f t="shared" si="11"/>
        <v>47</v>
      </c>
      <c r="P128" s="13">
        <v>1975</v>
      </c>
      <c r="Q128" s="14">
        <v>124.27</v>
      </c>
      <c r="R128" s="14">
        <v>171.88</v>
      </c>
      <c r="S128" s="4">
        <f t="shared" si="12"/>
        <v>16.744625219813141</v>
      </c>
      <c r="T128" s="8">
        <f t="shared" si="13"/>
        <v>7.0543736857785588E-2</v>
      </c>
      <c r="U128" s="8">
        <f t="shared" si="14"/>
        <v>4.1025718289063325E-2</v>
      </c>
      <c r="V128" s="9">
        <f t="shared" si="15"/>
        <v>0.71950034758053727</v>
      </c>
      <c r="W128">
        <f t="shared" si="16"/>
        <v>1.9246277170649693</v>
      </c>
      <c r="X128">
        <f t="shared" si="17"/>
        <v>6.8317178047106308</v>
      </c>
      <c r="Y128" s="8">
        <f t="shared" si="18"/>
        <v>8.167226633319773E-3</v>
      </c>
      <c r="Z128" s="8">
        <f t="shared" si="19"/>
        <v>5.8676301296024969E-2</v>
      </c>
      <c r="AA128" s="10">
        <f t="shared" si="20"/>
        <v>5.97528445189556E-2</v>
      </c>
      <c r="AB128" s="12">
        <v>1198.6990000000001</v>
      </c>
      <c r="AC128" s="12">
        <v>1103.9960000000001</v>
      </c>
      <c r="AD128" s="8">
        <f t="shared" si="21"/>
        <v>8.5782013702948162E-2</v>
      </c>
    </row>
    <row r="129" spans="1:30" x14ac:dyDescent="0.3">
      <c r="A129" t="s">
        <v>30</v>
      </c>
      <c r="B129" s="11">
        <v>2021</v>
      </c>
      <c r="C129" s="12">
        <v>33.792999999999999</v>
      </c>
      <c r="D129" s="12">
        <v>295.33600000000001</v>
      </c>
      <c r="E129" s="12">
        <v>298.93799999999999</v>
      </c>
      <c r="F129" s="12">
        <v>62.64</v>
      </c>
      <c r="G129" s="12">
        <v>594.274</v>
      </c>
      <c r="H129" s="12">
        <v>175.678</v>
      </c>
      <c r="I129" s="12">
        <v>418.596</v>
      </c>
      <c r="J129" s="12">
        <v>171.51</v>
      </c>
      <c r="K129" s="5">
        <v>1.8347155481044399E-2</v>
      </c>
      <c r="L129" s="5">
        <v>2.5537285264813078E-2</v>
      </c>
      <c r="M129" s="8">
        <v>7.8100000000000003E-2</v>
      </c>
      <c r="N129" s="12">
        <v>23159.782592592601</v>
      </c>
      <c r="O129" s="3">
        <f t="shared" si="11"/>
        <v>45</v>
      </c>
      <c r="P129" s="13">
        <v>1977</v>
      </c>
      <c r="Q129" s="14">
        <v>124.27</v>
      </c>
      <c r="R129" s="14">
        <v>171.88</v>
      </c>
      <c r="S129" s="4">
        <f t="shared" si="12"/>
        <v>16.744625219813141</v>
      </c>
      <c r="T129" s="8">
        <f t="shared" si="13"/>
        <v>8.072939062962857E-2</v>
      </c>
      <c r="U129" s="8">
        <f t="shared" si="14"/>
        <v>5.6864342037511312E-2</v>
      </c>
      <c r="V129" s="9">
        <f t="shared" si="15"/>
        <v>0.41968389568939979</v>
      </c>
      <c r="W129">
        <f t="shared" si="16"/>
        <v>1.7219753950206986</v>
      </c>
      <c r="X129">
        <f t="shared" si="17"/>
        <v>5.845714119548556</v>
      </c>
      <c r="Y129" s="8">
        <f t="shared" si="18"/>
        <v>0.10540592386676853</v>
      </c>
      <c r="Z129" s="8">
        <f t="shared" si="19"/>
        <v>5.8676301296024969E-2</v>
      </c>
      <c r="AA129" s="10">
        <f t="shared" si="20"/>
        <v>5.97528445189556E-2</v>
      </c>
      <c r="AB129" s="12">
        <v>343.46199999999999</v>
      </c>
      <c r="AC129" s="12">
        <v>331.31400000000002</v>
      </c>
      <c r="AD129" s="8">
        <f t="shared" si="21"/>
        <v>3.6666123375408123E-2</v>
      </c>
    </row>
    <row r="130" spans="1:30" x14ac:dyDescent="0.3">
      <c r="A130" t="s">
        <v>31</v>
      </c>
      <c r="B130" s="11">
        <v>2021</v>
      </c>
      <c r="C130" s="12">
        <v>42.088000000000001</v>
      </c>
      <c r="D130" s="12">
        <v>1158.3620000000001</v>
      </c>
      <c r="E130" s="12">
        <v>299.81700000000001</v>
      </c>
      <c r="F130" s="12">
        <v>284.97500000000002</v>
      </c>
      <c r="G130" s="12">
        <v>1458.1790000000001</v>
      </c>
      <c r="H130" s="12">
        <v>751.72699999999998</v>
      </c>
      <c r="I130" s="12">
        <v>706.45299999999997</v>
      </c>
      <c r="J130" s="12">
        <v>751.73</v>
      </c>
      <c r="K130" s="5">
        <v>1.8347155481044399E-2</v>
      </c>
      <c r="L130" s="5">
        <v>2.5537285264813078E-2</v>
      </c>
      <c r="M130" s="8">
        <v>7.8100000000000003E-2</v>
      </c>
      <c r="N130" s="12">
        <v>23159.782592592601</v>
      </c>
      <c r="O130" s="3">
        <f t="shared" si="11"/>
        <v>19</v>
      </c>
      <c r="P130" s="13">
        <v>2003</v>
      </c>
      <c r="Q130" s="14">
        <v>124.27</v>
      </c>
      <c r="R130" s="14">
        <v>171.88</v>
      </c>
      <c r="S130" s="4">
        <f t="shared" si="12"/>
        <v>16.744625219813141</v>
      </c>
      <c r="T130" s="8">
        <f t="shared" si="13"/>
        <v>5.9576504027868807E-2</v>
      </c>
      <c r="U130" s="8">
        <f t="shared" si="14"/>
        <v>2.886339742925937E-2</v>
      </c>
      <c r="V130" s="9">
        <f t="shared" si="15"/>
        <v>1.0640863581866027</v>
      </c>
      <c r="W130">
        <f t="shared" si="16"/>
        <v>1.5409282588163304</v>
      </c>
      <c r="X130">
        <f t="shared" si="17"/>
        <v>6.7433173030332352</v>
      </c>
      <c r="Y130" s="8">
        <f t="shared" si="18"/>
        <v>0.19543211087253348</v>
      </c>
      <c r="Z130" s="8">
        <f t="shared" si="19"/>
        <v>5.8676301296024969E-2</v>
      </c>
      <c r="AA130" s="10">
        <f t="shared" si="20"/>
        <v>5.97528445189556E-2</v>
      </c>
      <c r="AB130" s="12">
        <v>1224.0229999999999</v>
      </c>
      <c r="AC130" s="12">
        <v>959.13300000000004</v>
      </c>
      <c r="AD130" s="8">
        <f t="shared" si="21"/>
        <v>0.27617650523962772</v>
      </c>
    </row>
    <row r="131" spans="1:30" x14ac:dyDescent="0.3">
      <c r="A131" t="s">
        <v>32</v>
      </c>
      <c r="B131" s="11">
        <v>2021</v>
      </c>
      <c r="C131" s="12">
        <v>100.486</v>
      </c>
      <c r="D131" s="12">
        <v>1605.9359999999999</v>
      </c>
      <c r="E131" s="12">
        <v>379.233</v>
      </c>
      <c r="F131" s="12">
        <v>224.756</v>
      </c>
      <c r="G131" s="12">
        <v>1985.1690000000001</v>
      </c>
      <c r="H131" s="12">
        <v>1401.2660000000001</v>
      </c>
      <c r="I131" s="12">
        <v>583.90200000000004</v>
      </c>
      <c r="J131" s="12">
        <v>1299.46</v>
      </c>
      <c r="K131" s="5">
        <v>1.8347155481044399E-2</v>
      </c>
      <c r="L131" s="5">
        <v>2.5537285264813078E-2</v>
      </c>
      <c r="M131" s="8">
        <v>7.8100000000000003E-2</v>
      </c>
      <c r="N131" s="12">
        <v>23159.782592592601</v>
      </c>
      <c r="O131" s="3">
        <f t="shared" ref="O131:O194" si="22">B131-P131+1</f>
        <v>16</v>
      </c>
      <c r="P131" s="13">
        <v>2006</v>
      </c>
      <c r="Q131" s="14">
        <v>124.27</v>
      </c>
      <c r="R131" s="14">
        <v>171.88</v>
      </c>
      <c r="S131" s="4">
        <f t="shared" ref="S131:S194" si="23">N131*Q131/(1000*R131)</f>
        <v>16.744625219813141</v>
      </c>
      <c r="T131" s="8">
        <f t="shared" ref="T131:T194" si="24">C131/I131</f>
        <v>0.17209394727197372</v>
      </c>
      <c r="U131" s="8">
        <f t="shared" ref="U131:U194" si="25">C131/G131</f>
        <v>5.0618360451931299E-2</v>
      </c>
      <c r="V131" s="9">
        <f t="shared" ref="V131:V194" si="26">H131/I131</f>
        <v>2.3998307935235705</v>
      </c>
      <c r="W131">
        <f t="shared" ref="W131:W194" si="27">D131/J131</f>
        <v>1.2358487371677465</v>
      </c>
      <c r="X131">
        <f t="shared" ref="X131:X194" si="28">LN(100*G131/R131)</f>
        <v>7.0518329551175514</v>
      </c>
      <c r="Y131" s="8">
        <f t="shared" ref="Y131:Y194" si="29">F131/G131</f>
        <v>0.1132175648521612</v>
      </c>
      <c r="Z131" s="8">
        <f t="shared" ref="Z131:Z194" si="30">(M131+1)/(K131+1)-1</f>
        <v>5.8676301296024969E-2</v>
      </c>
      <c r="AA131" s="10">
        <f t="shared" ref="AA131:AA194" si="31">M131-K131</f>
        <v>5.97528445189556E-2</v>
      </c>
      <c r="AB131" s="12">
        <v>1513.1510000000001</v>
      </c>
      <c r="AC131" s="12">
        <v>1339.2909999999999</v>
      </c>
      <c r="AD131" s="8">
        <f t="shared" ref="AD131:AD194" si="32">(AB131-AC131)/AC131</f>
        <v>0.12981495433031368</v>
      </c>
    </row>
    <row r="132" spans="1:30" x14ac:dyDescent="0.3">
      <c r="A132" t="s">
        <v>33</v>
      </c>
      <c r="B132" s="11">
        <v>2021</v>
      </c>
      <c r="C132" s="12">
        <v>44.712000000000003</v>
      </c>
      <c r="D132" s="12">
        <v>1301.4639999999999</v>
      </c>
      <c r="E132" s="12">
        <v>554.95299999999997</v>
      </c>
      <c r="F132" s="12">
        <v>283.74799999999999</v>
      </c>
      <c r="G132" s="12">
        <v>1856.4159999999999</v>
      </c>
      <c r="H132" s="12">
        <v>1373.7570000000001</v>
      </c>
      <c r="I132" s="12">
        <v>482.65899999999999</v>
      </c>
      <c r="J132" s="12">
        <v>1029.55</v>
      </c>
      <c r="K132" s="5">
        <v>1.8347155481044399E-2</v>
      </c>
      <c r="L132" s="5">
        <v>2.5537285264813078E-2</v>
      </c>
      <c r="M132" s="8">
        <v>7.8100000000000003E-2</v>
      </c>
      <c r="N132" s="12">
        <v>23159.782592592601</v>
      </c>
      <c r="O132" s="3">
        <f t="shared" si="22"/>
        <v>46</v>
      </c>
      <c r="P132" s="13">
        <v>1976</v>
      </c>
      <c r="Q132" s="14">
        <v>124.27</v>
      </c>
      <c r="R132" s="14">
        <v>171.88</v>
      </c>
      <c r="S132" s="4">
        <f t="shared" si="23"/>
        <v>16.744625219813141</v>
      </c>
      <c r="T132" s="8">
        <f t="shared" si="24"/>
        <v>9.2636830557391456E-2</v>
      </c>
      <c r="U132" s="8">
        <f t="shared" si="25"/>
        <v>2.4085118852670957E-2</v>
      </c>
      <c r="V132" s="9">
        <f t="shared" si="26"/>
        <v>2.8462268392384686</v>
      </c>
      <c r="W132">
        <f t="shared" si="27"/>
        <v>1.2641095624301879</v>
      </c>
      <c r="X132">
        <f t="shared" si="28"/>
        <v>6.9847766532433244</v>
      </c>
      <c r="Y132" s="8">
        <f t="shared" si="29"/>
        <v>0.15284720666057608</v>
      </c>
      <c r="Z132" s="8">
        <f t="shared" si="30"/>
        <v>5.8676301296024969E-2</v>
      </c>
      <c r="AA132" s="10">
        <f t="shared" si="31"/>
        <v>5.97528445189556E-2</v>
      </c>
      <c r="AB132" s="12">
        <v>3931.4180000000001</v>
      </c>
      <c r="AC132" s="12">
        <v>1961.4</v>
      </c>
      <c r="AD132" s="8">
        <f t="shared" si="32"/>
        <v>1.004393800346691</v>
      </c>
    </row>
    <row r="133" spans="1:30" x14ac:dyDescent="0.3">
      <c r="A133" t="s">
        <v>34</v>
      </c>
      <c r="B133" s="11">
        <v>2021</v>
      </c>
      <c r="C133" s="12">
        <v>128.739</v>
      </c>
      <c r="D133" s="12">
        <v>2916.5430000000001</v>
      </c>
      <c r="E133" s="12">
        <v>1970.6369999999999</v>
      </c>
      <c r="F133" s="12">
        <v>1046.1469999999999</v>
      </c>
      <c r="G133" s="12">
        <v>4887.18</v>
      </c>
      <c r="H133" s="12">
        <v>2551.5940000000001</v>
      </c>
      <c r="I133" s="12">
        <v>2335.5859999999998</v>
      </c>
      <c r="J133" s="12">
        <v>2336.52</v>
      </c>
      <c r="K133" s="5">
        <v>1.8347155481044399E-2</v>
      </c>
      <c r="L133" s="5">
        <v>2.5537285264813078E-2</v>
      </c>
      <c r="M133" s="8">
        <v>7.8100000000000003E-2</v>
      </c>
      <c r="N133" s="12">
        <v>23159.782592592601</v>
      </c>
      <c r="O133" s="3">
        <f t="shared" si="22"/>
        <v>29</v>
      </c>
      <c r="P133" s="13">
        <v>1993</v>
      </c>
      <c r="Q133" s="14">
        <v>124.27</v>
      </c>
      <c r="R133" s="14">
        <v>171.88</v>
      </c>
      <c r="S133" s="4">
        <f t="shared" si="23"/>
        <v>16.744625219813141</v>
      </c>
      <c r="T133" s="8">
        <f t="shared" si="24"/>
        <v>5.5120642100098226E-2</v>
      </c>
      <c r="U133" s="8">
        <f t="shared" si="25"/>
        <v>2.6342185063779111E-2</v>
      </c>
      <c r="V133" s="9">
        <f t="shared" si="26"/>
        <v>1.0924855689321653</v>
      </c>
      <c r="W133">
        <f t="shared" si="27"/>
        <v>1.2482422577166041</v>
      </c>
      <c r="X133">
        <f t="shared" si="28"/>
        <v>7.9527443560856783</v>
      </c>
      <c r="Y133" s="8">
        <f t="shared" si="29"/>
        <v>0.21405943713961834</v>
      </c>
      <c r="Z133" s="8">
        <f t="shared" si="30"/>
        <v>5.8676301296024969E-2</v>
      </c>
      <c r="AA133" s="10">
        <f t="shared" si="31"/>
        <v>5.97528445189556E-2</v>
      </c>
      <c r="AB133" s="12">
        <v>3504.4259999999999</v>
      </c>
      <c r="AC133" s="12">
        <v>3477.498</v>
      </c>
      <c r="AD133" s="8">
        <f t="shared" si="32"/>
        <v>7.7434983427739955E-3</v>
      </c>
    </row>
    <row r="134" spans="1:30" x14ac:dyDescent="0.3">
      <c r="A134" t="s">
        <v>35</v>
      </c>
      <c r="B134" s="11">
        <v>2021</v>
      </c>
      <c r="C134" s="12">
        <v>703.88800000000003</v>
      </c>
      <c r="D134" s="12">
        <v>9278.48</v>
      </c>
      <c r="E134" s="12">
        <v>8890.634</v>
      </c>
      <c r="F134" s="12">
        <v>6713.54</v>
      </c>
      <c r="G134" s="12">
        <v>18169.114000000001</v>
      </c>
      <c r="H134" s="12">
        <v>10592.773999999999</v>
      </c>
      <c r="I134" s="12">
        <v>7576.34</v>
      </c>
      <c r="J134" s="12">
        <v>6531.47</v>
      </c>
      <c r="K134" s="5">
        <v>1.8347155481044399E-2</v>
      </c>
      <c r="L134" s="5">
        <v>2.5537285264813078E-2</v>
      </c>
      <c r="M134" s="8">
        <v>7.8100000000000003E-2</v>
      </c>
      <c r="N134" s="12">
        <v>23159.782592592601</v>
      </c>
      <c r="O134" s="3">
        <f t="shared" si="22"/>
        <v>25</v>
      </c>
      <c r="P134" s="13">
        <v>1997</v>
      </c>
      <c r="Q134" s="14">
        <v>124.27</v>
      </c>
      <c r="R134" s="14">
        <v>171.88</v>
      </c>
      <c r="S134" s="4">
        <f t="shared" si="23"/>
        <v>16.744625219813141</v>
      </c>
      <c r="T134" s="8">
        <f t="shared" si="24"/>
        <v>9.2906073381078466E-2</v>
      </c>
      <c r="U134" s="8">
        <f t="shared" si="25"/>
        <v>3.8740909435649971E-2</v>
      </c>
      <c r="V134" s="9">
        <f t="shared" si="26"/>
        <v>1.3981386790983508</v>
      </c>
      <c r="W134">
        <f t="shared" si="27"/>
        <v>1.4205806656082014</v>
      </c>
      <c r="X134">
        <f t="shared" si="28"/>
        <v>9.2658520255875221</v>
      </c>
      <c r="Y134" s="8">
        <f t="shared" si="29"/>
        <v>0.36950288274926335</v>
      </c>
      <c r="Z134" s="8">
        <f t="shared" si="30"/>
        <v>5.8676301296024969E-2</v>
      </c>
      <c r="AA134" s="10">
        <f t="shared" si="31"/>
        <v>5.97528445189556E-2</v>
      </c>
      <c r="AB134" s="12">
        <v>11465.147999999999</v>
      </c>
      <c r="AC134" s="12">
        <v>12641.344999999999</v>
      </c>
      <c r="AD134" s="8">
        <f t="shared" si="32"/>
        <v>-9.3043659515660723E-2</v>
      </c>
    </row>
    <row r="135" spans="1:30" x14ac:dyDescent="0.3">
      <c r="A135" t="s">
        <v>36</v>
      </c>
      <c r="B135" s="11">
        <v>2021</v>
      </c>
      <c r="C135" s="12">
        <v>321.791</v>
      </c>
      <c r="D135" s="12">
        <v>4310.7290000000003</v>
      </c>
      <c r="E135" s="12">
        <v>1146.5170000000001</v>
      </c>
      <c r="F135" s="12">
        <v>541.16899999999998</v>
      </c>
      <c r="G135" s="12">
        <v>5457.2460000000001</v>
      </c>
      <c r="H135" s="12">
        <v>4002.4279999999999</v>
      </c>
      <c r="I135" s="12">
        <v>1454.818</v>
      </c>
      <c r="J135" s="12">
        <v>3851.38</v>
      </c>
      <c r="K135" s="5">
        <v>1.8347155481044399E-2</v>
      </c>
      <c r="L135" s="5">
        <v>2.5537285264813078E-2</v>
      </c>
      <c r="M135" s="8">
        <v>7.8100000000000003E-2</v>
      </c>
      <c r="N135" s="12">
        <v>23159.782592592601</v>
      </c>
      <c r="O135" s="3">
        <f t="shared" si="22"/>
        <v>5</v>
      </c>
      <c r="P135" s="13">
        <v>2017</v>
      </c>
      <c r="Q135" s="14">
        <v>124.27</v>
      </c>
      <c r="R135" s="14">
        <v>171.88</v>
      </c>
      <c r="S135" s="4">
        <f t="shared" si="23"/>
        <v>16.744625219813141</v>
      </c>
      <c r="T135" s="8">
        <f t="shared" si="24"/>
        <v>0.22118986704866175</v>
      </c>
      <c r="U135" s="8">
        <f t="shared" si="25"/>
        <v>5.8965822687853907E-2</v>
      </c>
      <c r="V135" s="9">
        <f t="shared" si="26"/>
        <v>2.7511537525656129</v>
      </c>
      <c r="W135">
        <f t="shared" si="27"/>
        <v>1.119268677720713</v>
      </c>
      <c r="X135">
        <f t="shared" si="28"/>
        <v>8.0630731729655984</v>
      </c>
      <c r="Y135" s="8">
        <f t="shared" si="29"/>
        <v>9.9165219966261361E-2</v>
      </c>
      <c r="Z135" s="8">
        <f t="shared" si="30"/>
        <v>5.8676301296024969E-2</v>
      </c>
      <c r="AA135" s="10">
        <f t="shared" si="31"/>
        <v>5.97528445189556E-2</v>
      </c>
      <c r="AB135" s="12">
        <v>10434.950999999999</v>
      </c>
      <c r="AC135" s="12">
        <v>12845.638000000001</v>
      </c>
      <c r="AD135" s="8">
        <f t="shared" si="32"/>
        <v>-0.18766580531072116</v>
      </c>
    </row>
    <row r="136" spans="1:30" x14ac:dyDescent="0.3">
      <c r="A136" t="s">
        <v>37</v>
      </c>
      <c r="B136" s="11">
        <v>2021</v>
      </c>
      <c r="C136" s="12">
        <v>22.4</v>
      </c>
      <c r="D136" s="12">
        <v>578.23099999999999</v>
      </c>
      <c r="E136" s="12">
        <v>1061.307</v>
      </c>
      <c r="F136" s="12">
        <v>607.03200000000004</v>
      </c>
      <c r="G136" s="12">
        <v>1639.538</v>
      </c>
      <c r="H136" s="12">
        <v>658.07399999999996</v>
      </c>
      <c r="I136" s="12">
        <v>981.46400000000006</v>
      </c>
      <c r="J136" s="12">
        <v>520.24</v>
      </c>
      <c r="K136" s="5">
        <v>1.8347155481044399E-2</v>
      </c>
      <c r="L136" s="5">
        <v>2.5537285264813078E-2</v>
      </c>
      <c r="M136" s="8">
        <v>7.8100000000000003E-2</v>
      </c>
      <c r="N136" s="12">
        <v>23159.782592592601</v>
      </c>
      <c r="O136" s="3">
        <f t="shared" si="22"/>
        <v>23</v>
      </c>
      <c r="P136" s="13">
        <v>1999</v>
      </c>
      <c r="Q136" s="14">
        <v>124.27</v>
      </c>
      <c r="R136" s="14">
        <v>171.88</v>
      </c>
      <c r="S136" s="4">
        <f t="shared" si="23"/>
        <v>16.744625219813141</v>
      </c>
      <c r="T136" s="8">
        <f t="shared" si="24"/>
        <v>2.282304801806281E-2</v>
      </c>
      <c r="U136" s="8">
        <f t="shared" si="25"/>
        <v>1.3662385379295873E-2</v>
      </c>
      <c r="V136" s="9">
        <f t="shared" si="26"/>
        <v>0.6705024330999404</v>
      </c>
      <c r="W136">
        <f t="shared" si="27"/>
        <v>1.1114697062894048</v>
      </c>
      <c r="X136">
        <f t="shared" si="28"/>
        <v>6.8605434008955077</v>
      </c>
      <c r="Y136" s="8">
        <f t="shared" si="29"/>
        <v>0.3702457643555685</v>
      </c>
      <c r="Z136" s="8">
        <f t="shared" si="30"/>
        <v>5.8676301296024969E-2</v>
      </c>
      <c r="AA136" s="10">
        <f t="shared" si="31"/>
        <v>5.97528445189556E-2</v>
      </c>
      <c r="AB136" s="12">
        <v>1102.529</v>
      </c>
      <c r="AC136" s="12">
        <v>1228.7629999999999</v>
      </c>
      <c r="AD136" s="8">
        <f t="shared" si="32"/>
        <v>-0.10273258553520893</v>
      </c>
    </row>
    <row r="137" spans="1:30" x14ac:dyDescent="0.3">
      <c r="A137" t="s">
        <v>38</v>
      </c>
      <c r="B137" s="11">
        <v>2021</v>
      </c>
      <c r="C137" s="12">
        <v>324.173</v>
      </c>
      <c r="D137" s="12">
        <v>4341.8760000000002</v>
      </c>
      <c r="E137" s="12">
        <v>2745.8539999999998</v>
      </c>
      <c r="F137" s="12">
        <v>2184.9290000000001</v>
      </c>
      <c r="G137" s="12">
        <v>7087.73</v>
      </c>
      <c r="H137" s="12">
        <v>2252.8510000000001</v>
      </c>
      <c r="I137" s="12">
        <v>4834.8779999999997</v>
      </c>
      <c r="J137" s="12">
        <v>2104.9899999999998</v>
      </c>
      <c r="K137" s="5">
        <v>1.8347155481044399E-2</v>
      </c>
      <c r="L137" s="5">
        <v>2.5537285264813078E-2</v>
      </c>
      <c r="M137" s="8">
        <v>7.8100000000000003E-2</v>
      </c>
      <c r="N137" s="12">
        <v>23159.782592592601</v>
      </c>
      <c r="O137" s="3">
        <f t="shared" si="22"/>
        <v>132</v>
      </c>
      <c r="P137" s="13">
        <v>1890</v>
      </c>
      <c r="Q137" s="14">
        <v>124.27</v>
      </c>
      <c r="R137" s="14">
        <v>171.88</v>
      </c>
      <c r="S137" s="4">
        <f t="shared" si="23"/>
        <v>16.744625219813141</v>
      </c>
      <c r="T137" s="8">
        <f t="shared" si="24"/>
        <v>6.7048847975067841E-2</v>
      </c>
      <c r="U137" s="8">
        <f t="shared" si="25"/>
        <v>4.5737210644310661E-2</v>
      </c>
      <c r="V137" s="9">
        <f t="shared" si="26"/>
        <v>0.46595818963787716</v>
      </c>
      <c r="W137">
        <f t="shared" si="27"/>
        <v>2.0626587299702139</v>
      </c>
      <c r="X137">
        <f t="shared" si="28"/>
        <v>8.3244940260898836</v>
      </c>
      <c r="Y137" s="8">
        <f t="shared" si="29"/>
        <v>0.30826922018756359</v>
      </c>
      <c r="Z137" s="8">
        <f t="shared" si="30"/>
        <v>5.8676301296024969E-2</v>
      </c>
      <c r="AA137" s="10">
        <f t="shared" si="31"/>
        <v>5.97528445189556E-2</v>
      </c>
      <c r="AB137" s="12">
        <v>7053.4129999999996</v>
      </c>
      <c r="AC137" s="12">
        <v>7514.3710000000001</v>
      </c>
      <c r="AD137" s="8">
        <f t="shared" si="32"/>
        <v>-6.1343524294980981E-2</v>
      </c>
    </row>
    <row r="138" spans="1:30" x14ac:dyDescent="0.3">
      <c r="A138" t="s">
        <v>39</v>
      </c>
      <c r="B138" s="11">
        <v>2021</v>
      </c>
      <c r="C138" s="12">
        <v>23.472000000000001</v>
      </c>
      <c r="D138" s="12">
        <v>329.72199999999998</v>
      </c>
      <c r="E138" s="12">
        <v>133.60599999999999</v>
      </c>
      <c r="F138" s="12">
        <v>57.258000000000003</v>
      </c>
      <c r="G138" s="12">
        <v>463.327</v>
      </c>
      <c r="H138" s="12">
        <v>62.326999999999998</v>
      </c>
      <c r="I138" s="12">
        <v>401</v>
      </c>
      <c r="J138" s="12">
        <v>59.24</v>
      </c>
      <c r="K138" s="5">
        <v>1.8347155481044399E-2</v>
      </c>
      <c r="L138" s="5">
        <v>2.5537285264813078E-2</v>
      </c>
      <c r="M138" s="8">
        <v>7.8100000000000003E-2</v>
      </c>
      <c r="N138" s="12">
        <v>23159.782592592601</v>
      </c>
      <c r="O138" s="3">
        <f t="shared" si="22"/>
        <v>7</v>
      </c>
      <c r="P138" s="13">
        <v>2015</v>
      </c>
      <c r="Q138" s="14">
        <v>124.27</v>
      </c>
      <c r="R138" s="14">
        <v>171.88</v>
      </c>
      <c r="S138" s="4">
        <f t="shared" si="23"/>
        <v>16.744625219813141</v>
      </c>
      <c r="T138" s="8">
        <f t="shared" si="24"/>
        <v>5.8533665835411475E-2</v>
      </c>
      <c r="U138" s="8">
        <f t="shared" si="25"/>
        <v>5.0659685276273562E-2</v>
      </c>
      <c r="V138" s="9">
        <f t="shared" si="26"/>
        <v>0.155428927680798</v>
      </c>
      <c r="W138">
        <f t="shared" si="27"/>
        <v>5.5658676569885204</v>
      </c>
      <c r="X138">
        <f t="shared" si="28"/>
        <v>5.5968066953797537</v>
      </c>
      <c r="Y138" s="8">
        <f t="shared" si="29"/>
        <v>0.12358010649066427</v>
      </c>
      <c r="Z138" s="8">
        <f t="shared" si="30"/>
        <v>5.8676301296024969E-2</v>
      </c>
      <c r="AA138" s="10">
        <f t="shared" si="31"/>
        <v>5.97528445189556E-2</v>
      </c>
      <c r="AB138" s="12">
        <v>366.75</v>
      </c>
      <c r="AC138" s="12">
        <v>361.267</v>
      </c>
      <c r="AD138" s="8">
        <f t="shared" si="32"/>
        <v>1.5177140452906034E-2</v>
      </c>
    </row>
    <row r="139" spans="1:30" x14ac:dyDescent="0.3">
      <c r="A139" t="s">
        <v>40</v>
      </c>
      <c r="B139" s="11">
        <v>2021</v>
      </c>
      <c r="C139" s="12">
        <v>135.42099999999999</v>
      </c>
      <c r="D139" s="12">
        <v>1006.965</v>
      </c>
      <c r="E139" s="12">
        <v>43.204000000000001</v>
      </c>
      <c r="F139" s="12">
        <v>31.033000000000001</v>
      </c>
      <c r="G139" s="12">
        <v>1050.1690000000001</v>
      </c>
      <c r="H139" s="12">
        <v>276.178</v>
      </c>
      <c r="I139" s="12">
        <v>773.99099999999999</v>
      </c>
      <c r="J139" s="12">
        <v>277.37</v>
      </c>
      <c r="K139" s="5">
        <v>1.8347155481044399E-2</v>
      </c>
      <c r="L139" s="5">
        <v>2.5537285264813078E-2</v>
      </c>
      <c r="M139" s="8">
        <v>7.8100000000000003E-2</v>
      </c>
      <c r="N139" s="12">
        <v>23159.782592592601</v>
      </c>
      <c r="O139" s="3">
        <f t="shared" si="22"/>
        <v>30</v>
      </c>
      <c r="P139" s="13">
        <v>1992</v>
      </c>
      <c r="Q139" s="14">
        <v>124.27</v>
      </c>
      <c r="R139" s="14">
        <v>171.88</v>
      </c>
      <c r="S139" s="4">
        <f t="shared" si="23"/>
        <v>16.744625219813141</v>
      </c>
      <c r="T139" s="8">
        <f t="shared" si="24"/>
        <v>0.17496456677144823</v>
      </c>
      <c r="U139" s="8">
        <f t="shared" si="25"/>
        <v>0.12895162588116768</v>
      </c>
      <c r="V139" s="9">
        <f t="shared" si="26"/>
        <v>0.3568232705548256</v>
      </c>
      <c r="W139">
        <f t="shared" si="27"/>
        <v>3.6304034322385261</v>
      </c>
      <c r="X139">
        <f t="shared" si="28"/>
        <v>6.4150800096623737</v>
      </c>
      <c r="Y139" s="8">
        <f t="shared" si="29"/>
        <v>2.9550481874822052E-2</v>
      </c>
      <c r="Z139" s="8">
        <f t="shared" si="30"/>
        <v>5.8676301296024969E-2</v>
      </c>
      <c r="AA139" s="10">
        <f t="shared" si="31"/>
        <v>5.97528445189556E-2</v>
      </c>
      <c r="AB139" s="12">
        <v>2142.096</v>
      </c>
      <c r="AC139" s="12">
        <v>1899.749</v>
      </c>
      <c r="AD139" s="8">
        <f t="shared" si="32"/>
        <v>0.12756790502324253</v>
      </c>
    </row>
    <row r="140" spans="1:30" x14ac:dyDescent="0.3">
      <c r="A140" t="s">
        <v>41</v>
      </c>
      <c r="B140" s="11">
        <v>2021</v>
      </c>
      <c r="C140" s="12">
        <v>83.524000000000001</v>
      </c>
      <c r="D140" s="12">
        <v>1729.566</v>
      </c>
      <c r="E140" s="12">
        <v>692.01800000000003</v>
      </c>
      <c r="F140" s="12">
        <v>334.32600000000002</v>
      </c>
      <c r="G140" s="12">
        <v>2421.5839999999998</v>
      </c>
      <c r="H140" s="12">
        <v>1125.4280000000001</v>
      </c>
      <c r="I140" s="12">
        <v>1296.1559999999999</v>
      </c>
      <c r="J140" s="12">
        <v>896.55</v>
      </c>
      <c r="K140" s="5">
        <v>1.8347155481044399E-2</v>
      </c>
      <c r="L140" s="5">
        <v>2.5537285264813078E-2</v>
      </c>
      <c r="M140" s="8">
        <v>7.8100000000000003E-2</v>
      </c>
      <c r="N140" s="12">
        <v>23159.782592592601</v>
      </c>
      <c r="O140" s="3">
        <f t="shared" si="22"/>
        <v>45</v>
      </c>
      <c r="P140" s="13">
        <v>1977</v>
      </c>
      <c r="Q140" s="14">
        <v>124.27</v>
      </c>
      <c r="R140" s="14">
        <v>171.88</v>
      </c>
      <c r="S140" s="4">
        <f t="shared" si="23"/>
        <v>16.744625219813141</v>
      </c>
      <c r="T140" s="8">
        <f t="shared" si="24"/>
        <v>6.4439774224707522E-2</v>
      </c>
      <c r="U140" s="8">
        <f t="shared" si="25"/>
        <v>3.4491473349675256E-2</v>
      </c>
      <c r="V140" s="9">
        <f t="shared" si="26"/>
        <v>0.86828128712901853</v>
      </c>
      <c r="W140">
        <f t="shared" si="27"/>
        <v>1.9291350175673416</v>
      </c>
      <c r="X140">
        <f t="shared" si="28"/>
        <v>7.2505507775651283</v>
      </c>
      <c r="Y140" s="8">
        <f t="shared" si="29"/>
        <v>0.13806087255284147</v>
      </c>
      <c r="Z140" s="8">
        <f t="shared" si="30"/>
        <v>5.8676301296024969E-2</v>
      </c>
      <c r="AA140" s="10">
        <f t="shared" si="31"/>
        <v>5.97528445189556E-2</v>
      </c>
      <c r="AB140" s="12">
        <v>2097.8000000000002</v>
      </c>
      <c r="AC140" s="12">
        <v>1436.5229999999999</v>
      </c>
      <c r="AD140" s="8">
        <f t="shared" si="32"/>
        <v>0.46033164801398957</v>
      </c>
    </row>
    <row r="141" spans="1:30" x14ac:dyDescent="0.3">
      <c r="A141" t="s">
        <v>42</v>
      </c>
      <c r="B141" s="11">
        <v>2021</v>
      </c>
      <c r="C141" s="12">
        <v>42.015000000000001</v>
      </c>
      <c r="D141" s="12">
        <v>2803.43</v>
      </c>
      <c r="E141" s="12">
        <v>1349.8820000000001</v>
      </c>
      <c r="F141" s="12">
        <v>1280.5260000000001</v>
      </c>
      <c r="G141" s="12">
        <v>4153.3130000000001</v>
      </c>
      <c r="H141" s="12">
        <v>2896.011</v>
      </c>
      <c r="I141" s="12">
        <v>1257.3019999999999</v>
      </c>
      <c r="J141" s="12">
        <v>2663.65</v>
      </c>
      <c r="K141" s="5">
        <v>1.8347155481044399E-2</v>
      </c>
      <c r="L141" s="5">
        <v>2.5537285264813078E-2</v>
      </c>
      <c r="M141" s="8">
        <v>7.8100000000000003E-2</v>
      </c>
      <c r="N141" s="12">
        <v>23159.782592592601</v>
      </c>
      <c r="O141" s="3">
        <f t="shared" si="22"/>
        <v>46</v>
      </c>
      <c r="P141" s="13">
        <v>1976</v>
      </c>
      <c r="Q141" s="14">
        <v>124.27</v>
      </c>
      <c r="R141" s="14">
        <v>171.88</v>
      </c>
      <c r="S141" s="4">
        <f t="shared" si="23"/>
        <v>16.744625219813141</v>
      </c>
      <c r="T141" s="8">
        <f t="shared" si="24"/>
        <v>3.3416792465135667E-2</v>
      </c>
      <c r="U141" s="8">
        <f t="shared" si="25"/>
        <v>1.0116020632203737E-2</v>
      </c>
      <c r="V141" s="9">
        <f t="shared" si="26"/>
        <v>2.3033535300190411</v>
      </c>
      <c r="W141">
        <f t="shared" si="27"/>
        <v>1.0524768644529123</v>
      </c>
      <c r="X141">
        <f t="shared" si="28"/>
        <v>7.7900352350765161</v>
      </c>
      <c r="Y141" s="8">
        <f t="shared" si="29"/>
        <v>0.3083143504956164</v>
      </c>
      <c r="Z141" s="8">
        <f t="shared" si="30"/>
        <v>5.8676301296024969E-2</v>
      </c>
      <c r="AA141" s="10">
        <f t="shared" si="31"/>
        <v>5.97528445189556E-2</v>
      </c>
      <c r="AB141" s="12">
        <v>4963.9129999999996</v>
      </c>
      <c r="AC141" s="12">
        <v>4799.4690000000001</v>
      </c>
      <c r="AD141" s="8">
        <f t="shared" si="32"/>
        <v>3.4262957006285386E-2</v>
      </c>
    </row>
    <row r="142" spans="1:30" x14ac:dyDescent="0.3">
      <c r="A142" t="s">
        <v>43</v>
      </c>
      <c r="B142" s="11">
        <v>2021</v>
      </c>
      <c r="C142" s="12">
        <v>51.832999999999998</v>
      </c>
      <c r="D142" s="12">
        <v>1196.2370000000001</v>
      </c>
      <c r="E142" s="12">
        <v>565.85500000000002</v>
      </c>
      <c r="F142" s="12">
        <v>159.45400000000001</v>
      </c>
      <c r="G142" s="12">
        <v>1762.0920000000001</v>
      </c>
      <c r="H142" s="12">
        <v>950.26300000000003</v>
      </c>
      <c r="I142" s="12">
        <v>811.82799999999997</v>
      </c>
      <c r="J142" s="12">
        <v>883.31</v>
      </c>
      <c r="K142" s="5">
        <v>1.8347155481044399E-2</v>
      </c>
      <c r="L142" s="5">
        <v>2.5537285264813078E-2</v>
      </c>
      <c r="M142" s="8">
        <v>7.8100000000000003E-2</v>
      </c>
      <c r="N142" s="12">
        <v>23159.782592592601</v>
      </c>
      <c r="O142" s="3">
        <f t="shared" si="22"/>
        <v>13</v>
      </c>
      <c r="P142" s="13">
        <v>2009</v>
      </c>
      <c r="Q142" s="14">
        <v>124.27</v>
      </c>
      <c r="R142" s="14">
        <v>171.88</v>
      </c>
      <c r="S142" s="4">
        <f t="shared" si="23"/>
        <v>16.744625219813141</v>
      </c>
      <c r="T142" s="8">
        <f t="shared" si="24"/>
        <v>6.3847268140542091E-2</v>
      </c>
      <c r="U142" s="8">
        <f t="shared" si="25"/>
        <v>2.9415603725571646E-2</v>
      </c>
      <c r="V142" s="9">
        <f t="shared" si="26"/>
        <v>1.1705225737471485</v>
      </c>
      <c r="W142">
        <f t="shared" si="27"/>
        <v>1.3542663391108447</v>
      </c>
      <c r="X142">
        <f t="shared" si="28"/>
        <v>6.9326306456082207</v>
      </c>
      <c r="Y142" s="8">
        <f t="shared" si="29"/>
        <v>9.0491302383757494E-2</v>
      </c>
      <c r="Z142" s="8">
        <f t="shared" si="30"/>
        <v>5.8676301296024969E-2</v>
      </c>
      <c r="AA142" s="10">
        <f t="shared" si="31"/>
        <v>5.97528445189556E-2</v>
      </c>
      <c r="AB142" s="12">
        <v>4561.8270000000002</v>
      </c>
      <c r="AC142" s="12">
        <v>5733.5020000000004</v>
      </c>
      <c r="AD142" s="8">
        <f t="shared" si="32"/>
        <v>-0.20435590673902271</v>
      </c>
    </row>
    <row r="143" spans="1:30" x14ac:dyDescent="0.3">
      <c r="A143" t="s">
        <v>44</v>
      </c>
      <c r="B143" s="11">
        <v>2021</v>
      </c>
      <c r="C143" s="12">
        <v>34.659999999999997</v>
      </c>
      <c r="D143" s="12">
        <v>1151.8800000000001</v>
      </c>
      <c r="E143" s="12">
        <v>474.36700000000002</v>
      </c>
      <c r="F143" s="12">
        <v>255.816</v>
      </c>
      <c r="G143" s="12">
        <v>1626.2470000000001</v>
      </c>
      <c r="H143" s="12">
        <v>942.68799999999999</v>
      </c>
      <c r="I143" s="12">
        <v>683.56</v>
      </c>
      <c r="J143" s="12">
        <v>868.5</v>
      </c>
      <c r="K143" s="5">
        <v>1.8347155481044399E-2</v>
      </c>
      <c r="L143" s="5">
        <v>2.5537285264813078E-2</v>
      </c>
      <c r="M143" s="8">
        <v>7.8100000000000003E-2</v>
      </c>
      <c r="N143" s="12">
        <v>23159.782592592601</v>
      </c>
      <c r="O143" s="3">
        <f t="shared" si="22"/>
        <v>14</v>
      </c>
      <c r="P143" s="13">
        <v>2008</v>
      </c>
      <c r="Q143" s="14">
        <v>124.27</v>
      </c>
      <c r="R143" s="14">
        <v>171.88</v>
      </c>
      <c r="S143" s="4">
        <f t="shared" si="23"/>
        <v>16.744625219813141</v>
      </c>
      <c r="T143" s="8">
        <f t="shared" si="24"/>
        <v>5.0705131956229152E-2</v>
      </c>
      <c r="U143" s="8">
        <f t="shared" si="25"/>
        <v>2.1312875596388493E-2</v>
      </c>
      <c r="V143" s="9">
        <f t="shared" si="26"/>
        <v>1.3790859617297677</v>
      </c>
      <c r="W143">
        <f t="shared" si="27"/>
        <v>1.3262867012089812</v>
      </c>
      <c r="X143">
        <f t="shared" si="28"/>
        <v>6.8524038121714916</v>
      </c>
      <c r="Y143" s="8">
        <f t="shared" si="29"/>
        <v>0.15730451770241544</v>
      </c>
      <c r="Z143" s="8">
        <f t="shared" si="30"/>
        <v>5.8676301296024969E-2</v>
      </c>
      <c r="AA143" s="10">
        <f t="shared" si="31"/>
        <v>5.97528445189556E-2</v>
      </c>
      <c r="AB143" s="12">
        <v>2259.9769999999999</v>
      </c>
      <c r="AC143" s="12">
        <v>2159.8850000000002</v>
      </c>
      <c r="AD143" s="8">
        <f t="shared" si="32"/>
        <v>4.6341356137016385E-2</v>
      </c>
    </row>
    <row r="144" spans="1:30" x14ac:dyDescent="0.3">
      <c r="A144" t="s">
        <v>45</v>
      </c>
      <c r="B144" s="11">
        <v>2021</v>
      </c>
      <c r="C144" s="12">
        <v>829.55799999999999</v>
      </c>
      <c r="D144" s="12">
        <v>5637.4669999999996</v>
      </c>
      <c r="E144" s="12">
        <v>5225.0870000000004</v>
      </c>
      <c r="F144" s="12">
        <v>4581.9809999999998</v>
      </c>
      <c r="G144" s="12">
        <v>10862.554</v>
      </c>
      <c r="H144" s="12">
        <v>6176.6310000000003</v>
      </c>
      <c r="I144" s="12">
        <v>4685.9229999999998</v>
      </c>
      <c r="J144" s="12">
        <v>5171.7</v>
      </c>
      <c r="K144" s="5">
        <v>1.8347155481044399E-2</v>
      </c>
      <c r="L144" s="5">
        <v>2.5537285264813078E-2</v>
      </c>
      <c r="M144" s="8">
        <v>7.8100000000000003E-2</v>
      </c>
      <c r="N144" s="12">
        <v>23159.782592592601</v>
      </c>
      <c r="O144" s="3">
        <f t="shared" si="22"/>
        <v>26</v>
      </c>
      <c r="P144" s="13">
        <v>1996</v>
      </c>
      <c r="Q144" s="14">
        <v>124.27</v>
      </c>
      <c r="R144" s="14">
        <v>171.88</v>
      </c>
      <c r="S144" s="4">
        <f t="shared" si="23"/>
        <v>16.744625219813141</v>
      </c>
      <c r="T144" s="8">
        <f t="shared" si="24"/>
        <v>0.17703193159597375</v>
      </c>
      <c r="U144" s="8">
        <f t="shared" si="25"/>
        <v>7.6368596188336552E-2</v>
      </c>
      <c r="V144" s="9">
        <f t="shared" si="26"/>
        <v>1.3181247323099421</v>
      </c>
      <c r="W144">
        <f t="shared" si="27"/>
        <v>1.090060715045343</v>
      </c>
      <c r="X144">
        <f t="shared" si="28"/>
        <v>8.751450367873888</v>
      </c>
      <c r="Y144" s="8">
        <f t="shared" si="29"/>
        <v>0.42181433574461402</v>
      </c>
      <c r="Z144" s="8">
        <f t="shared" si="30"/>
        <v>5.8676301296024969E-2</v>
      </c>
      <c r="AA144" s="10">
        <f t="shared" si="31"/>
        <v>5.97528445189556E-2</v>
      </c>
      <c r="AB144" s="12">
        <v>10961.93</v>
      </c>
      <c r="AC144" s="12">
        <v>10189.066999999999</v>
      </c>
      <c r="AD144" s="8">
        <f t="shared" si="32"/>
        <v>7.5852185484696619E-2</v>
      </c>
    </row>
    <row r="145" spans="1:30" x14ac:dyDescent="0.3">
      <c r="A145" t="s">
        <v>46</v>
      </c>
      <c r="B145" s="11">
        <v>2021</v>
      </c>
      <c r="C145" s="12">
        <v>22.759</v>
      </c>
      <c r="D145" s="12">
        <v>914.89099999999996</v>
      </c>
      <c r="E145" s="12">
        <v>495.262</v>
      </c>
      <c r="F145" s="12">
        <v>358.36599999999999</v>
      </c>
      <c r="G145" s="12">
        <v>1410.153</v>
      </c>
      <c r="H145" s="12">
        <v>465.72</v>
      </c>
      <c r="I145" s="12">
        <v>944.43299999999999</v>
      </c>
      <c r="J145" s="12">
        <v>413.89</v>
      </c>
      <c r="K145" s="5">
        <v>1.8347155481044399E-2</v>
      </c>
      <c r="L145" s="5">
        <v>2.5537285264813078E-2</v>
      </c>
      <c r="M145" s="8">
        <v>7.8100000000000003E-2</v>
      </c>
      <c r="N145" s="12">
        <v>23159.782592592601</v>
      </c>
      <c r="O145" s="3">
        <f t="shared" si="22"/>
        <v>49</v>
      </c>
      <c r="P145" s="13">
        <v>1973</v>
      </c>
      <c r="Q145" s="14">
        <v>124.27</v>
      </c>
      <c r="R145" s="14">
        <v>171.88</v>
      </c>
      <c r="S145" s="4">
        <f t="shared" si="23"/>
        <v>16.744625219813141</v>
      </c>
      <c r="T145" s="8">
        <f t="shared" si="24"/>
        <v>2.409805671762846E-2</v>
      </c>
      <c r="U145" s="8">
        <f t="shared" si="25"/>
        <v>1.6139383456972401E-2</v>
      </c>
      <c r="V145" s="9">
        <f t="shared" si="26"/>
        <v>0.49312126958714914</v>
      </c>
      <c r="W145">
        <f t="shared" si="27"/>
        <v>2.2104689651839862</v>
      </c>
      <c r="X145">
        <f t="shared" si="28"/>
        <v>6.7098271152049556</v>
      </c>
      <c r="Y145" s="8">
        <f t="shared" si="29"/>
        <v>0.25413270758563078</v>
      </c>
      <c r="Z145" s="8">
        <f t="shared" si="30"/>
        <v>5.8676301296024969E-2</v>
      </c>
      <c r="AA145" s="10">
        <f t="shared" si="31"/>
        <v>5.97528445189556E-2</v>
      </c>
      <c r="AB145" s="12">
        <v>749.31500000000005</v>
      </c>
      <c r="AC145" s="12">
        <v>946.476</v>
      </c>
      <c r="AD145" s="8">
        <f t="shared" si="32"/>
        <v>-0.20831061749056495</v>
      </c>
    </row>
    <row r="146" spans="1:30" x14ac:dyDescent="0.3">
      <c r="A146" t="s">
        <v>47</v>
      </c>
      <c r="B146" s="11">
        <v>2021</v>
      </c>
      <c r="C146" s="12">
        <v>290.82799999999997</v>
      </c>
      <c r="D146" s="12">
        <v>2114.1950000000002</v>
      </c>
      <c r="E146" s="12">
        <v>1021.748</v>
      </c>
      <c r="F146" s="12">
        <v>975.46699999999998</v>
      </c>
      <c r="G146" s="12">
        <v>3135.9430000000002</v>
      </c>
      <c r="H146" s="12">
        <v>1362.0129999999999</v>
      </c>
      <c r="I146" s="12">
        <v>1773.93</v>
      </c>
      <c r="J146" s="12">
        <v>1359.99</v>
      </c>
      <c r="K146" s="5">
        <v>1.8347155481044399E-2</v>
      </c>
      <c r="L146" s="5">
        <v>2.5537285264813078E-2</v>
      </c>
      <c r="M146" s="8">
        <v>7.8100000000000003E-2</v>
      </c>
      <c r="N146" s="12">
        <v>23159.782592592601</v>
      </c>
      <c r="O146" s="3">
        <f t="shared" si="22"/>
        <v>47</v>
      </c>
      <c r="P146" s="13">
        <v>1975</v>
      </c>
      <c r="Q146" s="14">
        <v>124.27</v>
      </c>
      <c r="R146" s="14">
        <v>171.88</v>
      </c>
      <c r="S146" s="4">
        <f t="shared" si="23"/>
        <v>16.744625219813141</v>
      </c>
      <c r="T146" s="8">
        <f t="shared" si="24"/>
        <v>0.16394558973578438</v>
      </c>
      <c r="U146" s="8">
        <f t="shared" si="25"/>
        <v>9.2740206056041177E-2</v>
      </c>
      <c r="V146" s="9">
        <f t="shared" si="26"/>
        <v>0.76779410687005678</v>
      </c>
      <c r="W146">
        <f t="shared" si="27"/>
        <v>1.5545665776954243</v>
      </c>
      <c r="X146">
        <f t="shared" si="28"/>
        <v>7.5090588323660015</v>
      </c>
      <c r="Y146" s="8">
        <f t="shared" si="29"/>
        <v>0.31106018189743878</v>
      </c>
      <c r="Z146" s="8">
        <f t="shared" si="30"/>
        <v>5.8676301296024969E-2</v>
      </c>
      <c r="AA146" s="10">
        <f t="shared" si="31"/>
        <v>5.97528445189556E-2</v>
      </c>
      <c r="AB146" s="12">
        <v>4635.5249999999996</v>
      </c>
      <c r="AC146" s="12">
        <v>3818.7649999999999</v>
      </c>
      <c r="AD146" s="8">
        <f t="shared" si="32"/>
        <v>0.21388066560786007</v>
      </c>
    </row>
    <row r="147" spans="1:30" x14ac:dyDescent="0.3">
      <c r="A147" t="s">
        <v>48</v>
      </c>
      <c r="B147" s="11">
        <v>2021</v>
      </c>
      <c r="C147" s="12">
        <v>59.720999999999997</v>
      </c>
      <c r="D147" s="12">
        <v>965.61099999999999</v>
      </c>
      <c r="E147" s="12">
        <v>303.13200000000001</v>
      </c>
      <c r="F147" s="12">
        <v>189.55199999999999</v>
      </c>
      <c r="G147" s="12">
        <v>1268.7429999999999</v>
      </c>
      <c r="H147" s="12">
        <v>304.70699999999999</v>
      </c>
      <c r="I147" s="12">
        <v>964.03599999999994</v>
      </c>
      <c r="J147" s="12">
        <v>271.92</v>
      </c>
      <c r="K147" s="5">
        <v>1.8347155481044399E-2</v>
      </c>
      <c r="L147" s="5">
        <v>2.5537285264813078E-2</v>
      </c>
      <c r="M147" s="8">
        <v>7.8100000000000003E-2</v>
      </c>
      <c r="N147" s="12">
        <v>23159.782592592601</v>
      </c>
      <c r="O147" s="3">
        <f t="shared" si="22"/>
        <v>29</v>
      </c>
      <c r="P147" s="13">
        <v>1993</v>
      </c>
      <c r="Q147" s="14">
        <v>124.27</v>
      </c>
      <c r="R147" s="14">
        <v>171.88</v>
      </c>
      <c r="S147" s="4">
        <f t="shared" si="23"/>
        <v>16.744625219813141</v>
      </c>
      <c r="T147" s="8">
        <f t="shared" si="24"/>
        <v>6.1948931367708258E-2</v>
      </c>
      <c r="U147" s="8">
        <f t="shared" si="25"/>
        <v>4.7070998618317497E-2</v>
      </c>
      <c r="V147" s="9">
        <f t="shared" si="26"/>
        <v>0.31607429598064801</v>
      </c>
      <c r="W147">
        <f t="shared" si="27"/>
        <v>3.5510848779052662</v>
      </c>
      <c r="X147">
        <f t="shared" si="28"/>
        <v>6.6041555526147953</v>
      </c>
      <c r="Y147" s="8">
        <f t="shared" si="29"/>
        <v>0.1494014154166762</v>
      </c>
      <c r="Z147" s="8">
        <f t="shared" si="30"/>
        <v>5.8676301296024969E-2</v>
      </c>
      <c r="AA147" s="10">
        <f t="shared" si="31"/>
        <v>5.97528445189556E-2</v>
      </c>
      <c r="AB147" s="12">
        <v>866.45100000000002</v>
      </c>
      <c r="AC147" s="12">
        <v>855.77499999999998</v>
      </c>
      <c r="AD147" s="8">
        <f t="shared" si="32"/>
        <v>1.2475241739943379E-2</v>
      </c>
    </row>
    <row r="148" spans="1:30" x14ac:dyDescent="0.3">
      <c r="A148" t="s">
        <v>49</v>
      </c>
      <c r="B148" s="11">
        <v>2021</v>
      </c>
      <c r="C148" s="12">
        <v>287.089</v>
      </c>
      <c r="D148" s="12">
        <v>2150.1219999999998</v>
      </c>
      <c r="E148" s="12">
        <v>549.66099999999994</v>
      </c>
      <c r="F148" s="12">
        <v>262.96899999999999</v>
      </c>
      <c r="G148" s="12">
        <v>2699.7829999999999</v>
      </c>
      <c r="H148" s="12">
        <v>723.02800000000002</v>
      </c>
      <c r="I148" s="12">
        <v>1976.7550000000001</v>
      </c>
      <c r="J148" s="12">
        <v>713.1</v>
      </c>
      <c r="K148" s="5">
        <v>1.8347155481044399E-2</v>
      </c>
      <c r="L148" s="5">
        <v>2.5537285264813078E-2</v>
      </c>
      <c r="M148" s="8">
        <v>7.8100000000000003E-2</v>
      </c>
      <c r="N148" s="12">
        <v>23159.782592592601</v>
      </c>
      <c r="O148" s="3">
        <f t="shared" si="22"/>
        <v>26</v>
      </c>
      <c r="P148" s="13">
        <v>1996</v>
      </c>
      <c r="Q148" s="14">
        <v>124.27</v>
      </c>
      <c r="R148" s="14">
        <v>171.88</v>
      </c>
      <c r="S148" s="4">
        <f t="shared" si="23"/>
        <v>16.744625219813141</v>
      </c>
      <c r="T148" s="8">
        <f t="shared" si="24"/>
        <v>0.14523246431651873</v>
      </c>
      <c r="U148" s="8">
        <f t="shared" si="25"/>
        <v>0.10633780566808518</v>
      </c>
      <c r="V148" s="9">
        <f t="shared" si="26"/>
        <v>0.36576510493207298</v>
      </c>
      <c r="W148">
        <f t="shared" si="27"/>
        <v>3.0151759921469639</v>
      </c>
      <c r="X148">
        <f t="shared" si="28"/>
        <v>7.359300305473476</v>
      </c>
      <c r="Y148" s="8">
        <f t="shared" si="29"/>
        <v>9.7403754301734619E-2</v>
      </c>
      <c r="Z148" s="8">
        <f t="shared" si="30"/>
        <v>5.8676301296024969E-2</v>
      </c>
      <c r="AA148" s="10">
        <f t="shared" si="31"/>
        <v>5.97528445189556E-2</v>
      </c>
      <c r="AB148" s="12">
        <v>5204.375</v>
      </c>
      <c r="AC148" s="12">
        <v>4433.2340000000004</v>
      </c>
      <c r="AD148" s="8">
        <f t="shared" si="32"/>
        <v>0.17394547637232763</v>
      </c>
    </row>
    <row r="149" spans="1:30" x14ac:dyDescent="0.3">
      <c r="A149" t="s">
        <v>50</v>
      </c>
      <c r="B149" s="11">
        <v>2021</v>
      </c>
      <c r="C149" s="12">
        <v>60.786000000000001</v>
      </c>
      <c r="D149" s="12">
        <v>228.511</v>
      </c>
      <c r="E149" s="12">
        <v>152.45400000000001</v>
      </c>
      <c r="F149" s="12">
        <v>96.811999999999998</v>
      </c>
      <c r="G149" s="12">
        <v>380.96499999999997</v>
      </c>
      <c r="H149" s="12">
        <v>115.572</v>
      </c>
      <c r="I149" s="12">
        <v>265.39299999999997</v>
      </c>
      <c r="J149" s="12">
        <v>111.27</v>
      </c>
      <c r="K149" s="5">
        <v>1.8347155481044399E-2</v>
      </c>
      <c r="L149" s="5">
        <v>2.5537285264813078E-2</v>
      </c>
      <c r="M149" s="8">
        <v>7.8100000000000003E-2</v>
      </c>
      <c r="N149" s="12">
        <v>23159.782592592601</v>
      </c>
      <c r="O149" s="3">
        <f t="shared" si="22"/>
        <v>31</v>
      </c>
      <c r="P149" s="13">
        <v>1991</v>
      </c>
      <c r="Q149" s="14">
        <v>124.27</v>
      </c>
      <c r="R149" s="14">
        <v>171.88</v>
      </c>
      <c r="S149" s="4">
        <f t="shared" si="23"/>
        <v>16.744625219813141</v>
      </c>
      <c r="T149" s="8">
        <f t="shared" si="24"/>
        <v>0.2290414592698376</v>
      </c>
      <c r="U149" s="8">
        <f t="shared" si="25"/>
        <v>0.15955796464242122</v>
      </c>
      <c r="V149" s="9">
        <f t="shared" si="26"/>
        <v>0.43547493716865182</v>
      </c>
      <c r="W149">
        <f t="shared" si="27"/>
        <v>2.0536622629639614</v>
      </c>
      <c r="X149">
        <f t="shared" si="28"/>
        <v>5.4010811344712266</v>
      </c>
      <c r="Y149" s="8">
        <f t="shared" si="29"/>
        <v>0.25412308217290303</v>
      </c>
      <c r="Z149" s="8">
        <f t="shared" si="30"/>
        <v>5.8676301296024969E-2</v>
      </c>
      <c r="AA149" s="10">
        <f t="shared" si="31"/>
        <v>5.97528445189556E-2</v>
      </c>
      <c r="AB149" s="12">
        <v>340.14600000000002</v>
      </c>
      <c r="AC149" s="12">
        <v>402.97500000000002</v>
      </c>
      <c r="AD149" s="8">
        <f t="shared" si="32"/>
        <v>-0.15591289782244558</v>
      </c>
    </row>
    <row r="150" spans="1:30" x14ac:dyDescent="0.3">
      <c r="A150" t="s">
        <v>51</v>
      </c>
      <c r="B150" s="11">
        <v>2021</v>
      </c>
      <c r="C150" s="12">
        <v>330.63299999999998</v>
      </c>
      <c r="D150" s="12">
        <v>3153.04</v>
      </c>
      <c r="E150" s="12">
        <v>612.76</v>
      </c>
      <c r="F150" s="12">
        <v>259.185</v>
      </c>
      <c r="G150" s="12">
        <v>3765.8009999999999</v>
      </c>
      <c r="H150" s="12">
        <v>2155.3609999999999</v>
      </c>
      <c r="I150" s="12">
        <v>1610.44</v>
      </c>
      <c r="J150" s="12">
        <v>2084.75</v>
      </c>
      <c r="K150" s="5">
        <v>1.8347155481044399E-2</v>
      </c>
      <c r="L150" s="5">
        <v>2.5537285264813078E-2</v>
      </c>
      <c r="M150" s="8">
        <v>7.8100000000000003E-2</v>
      </c>
      <c r="N150" s="12">
        <v>23159.782592592601</v>
      </c>
      <c r="O150" s="3">
        <f t="shared" si="22"/>
        <v>40</v>
      </c>
      <c r="P150" s="13">
        <v>1982</v>
      </c>
      <c r="Q150" s="14">
        <v>124.27</v>
      </c>
      <c r="R150" s="14">
        <v>171.88</v>
      </c>
      <c r="S150" s="4">
        <f t="shared" si="23"/>
        <v>16.744625219813141</v>
      </c>
      <c r="T150" s="8">
        <f t="shared" si="24"/>
        <v>0.20530600332828294</v>
      </c>
      <c r="U150" s="8">
        <f t="shared" si="25"/>
        <v>8.7798850762427438E-2</v>
      </c>
      <c r="V150" s="9">
        <f t="shared" si="26"/>
        <v>1.3383677752663867</v>
      </c>
      <c r="W150">
        <f t="shared" si="27"/>
        <v>1.5124307470919773</v>
      </c>
      <c r="X150">
        <f t="shared" si="28"/>
        <v>7.692089493691415</v>
      </c>
      <c r="Y150" s="8">
        <f t="shared" si="29"/>
        <v>6.8825994788359768E-2</v>
      </c>
      <c r="Z150" s="8">
        <f t="shared" si="30"/>
        <v>5.8676301296024969E-2</v>
      </c>
      <c r="AA150" s="10">
        <f t="shared" si="31"/>
        <v>5.97528445189556E-2</v>
      </c>
      <c r="AB150" s="12">
        <v>4150.32</v>
      </c>
      <c r="AC150" s="12">
        <v>3456.7449999999999</v>
      </c>
      <c r="AD150" s="8">
        <f t="shared" si="32"/>
        <v>0.200643958405957</v>
      </c>
    </row>
    <row r="151" spans="1:30" x14ac:dyDescent="0.3">
      <c r="A151" t="s">
        <v>52</v>
      </c>
      <c r="B151" s="11">
        <v>2021</v>
      </c>
      <c r="C151" s="12">
        <v>43.591000000000001</v>
      </c>
      <c r="D151" s="12">
        <v>618.95299999999997</v>
      </c>
      <c r="E151" s="12">
        <v>208.429</v>
      </c>
      <c r="F151" s="12">
        <v>150.86799999999999</v>
      </c>
      <c r="G151" s="12">
        <v>827.38199999999995</v>
      </c>
      <c r="H151" s="12">
        <v>124.745</v>
      </c>
      <c r="I151" s="12">
        <v>702.63699999999994</v>
      </c>
      <c r="J151" s="12">
        <v>107.62</v>
      </c>
      <c r="K151" s="5">
        <v>1.8347155481044399E-2</v>
      </c>
      <c r="L151" s="5">
        <v>2.5537285264813078E-2</v>
      </c>
      <c r="M151" s="8">
        <v>7.8100000000000003E-2</v>
      </c>
      <c r="N151" s="12">
        <v>23159.782592592601</v>
      </c>
      <c r="O151" s="3">
        <f t="shared" si="22"/>
        <v>46</v>
      </c>
      <c r="P151" s="13">
        <v>1976</v>
      </c>
      <c r="Q151" s="14">
        <v>124.27</v>
      </c>
      <c r="R151" s="14">
        <v>171.88</v>
      </c>
      <c r="S151" s="4">
        <f t="shared" si="23"/>
        <v>16.744625219813141</v>
      </c>
      <c r="T151" s="8">
        <f t="shared" si="24"/>
        <v>6.2039146814073277E-2</v>
      </c>
      <c r="U151" s="8">
        <f t="shared" si="25"/>
        <v>5.2685458470210861E-2</v>
      </c>
      <c r="V151" s="9">
        <f t="shared" si="26"/>
        <v>0.1775383306031422</v>
      </c>
      <c r="W151">
        <f t="shared" si="27"/>
        <v>5.7512822895372606</v>
      </c>
      <c r="X151">
        <f t="shared" si="28"/>
        <v>6.1766401259771158</v>
      </c>
      <c r="Y151" s="8">
        <f t="shared" si="29"/>
        <v>0.1823438266725648</v>
      </c>
      <c r="Z151" s="8">
        <f t="shared" si="30"/>
        <v>5.8676301296024969E-2</v>
      </c>
      <c r="AA151" s="10">
        <f t="shared" si="31"/>
        <v>5.97528445189556E-2</v>
      </c>
      <c r="AB151" s="12">
        <v>1064.7719999999999</v>
      </c>
      <c r="AC151" s="12">
        <v>1474.9829999999999</v>
      </c>
      <c r="AD151" s="8">
        <f t="shared" si="32"/>
        <v>-0.27811235790514199</v>
      </c>
    </row>
    <row r="152" spans="1:30" x14ac:dyDescent="0.3">
      <c r="A152" t="s">
        <v>53</v>
      </c>
      <c r="B152" s="11">
        <v>2021</v>
      </c>
      <c r="C152" s="12">
        <v>127.60599999999999</v>
      </c>
      <c r="D152" s="12">
        <v>7051.8540000000003</v>
      </c>
      <c r="E152" s="12">
        <v>11387.831</v>
      </c>
      <c r="F152" s="12">
        <v>2809.67</v>
      </c>
      <c r="G152" s="12">
        <v>18439.685000000001</v>
      </c>
      <c r="H152" s="12">
        <v>13766.451999999999</v>
      </c>
      <c r="I152" s="12">
        <v>4673.2330000000002</v>
      </c>
      <c r="J152" s="12">
        <v>6754.51</v>
      </c>
      <c r="K152" s="5">
        <v>1.8347155481044399E-2</v>
      </c>
      <c r="L152" s="5">
        <v>2.5537285264813078E-2</v>
      </c>
      <c r="M152" s="8">
        <v>7.8100000000000003E-2</v>
      </c>
      <c r="N152" s="12">
        <v>23159.782592592601</v>
      </c>
      <c r="O152" s="3">
        <f t="shared" si="22"/>
        <v>29</v>
      </c>
      <c r="P152" s="13">
        <v>1993</v>
      </c>
      <c r="Q152" s="14">
        <v>124.27</v>
      </c>
      <c r="R152" s="14">
        <v>171.88</v>
      </c>
      <c r="S152" s="4">
        <f t="shared" si="23"/>
        <v>16.744625219813141</v>
      </c>
      <c r="T152" s="8">
        <f t="shared" si="24"/>
        <v>2.7305721756223152E-2</v>
      </c>
      <c r="U152" s="8">
        <f t="shared" si="25"/>
        <v>6.9201832894650846E-3</v>
      </c>
      <c r="V152" s="9">
        <f t="shared" si="26"/>
        <v>2.9458090362710352</v>
      </c>
      <c r="W152">
        <f t="shared" si="27"/>
        <v>1.0440215500458212</v>
      </c>
      <c r="X152">
        <f t="shared" si="28"/>
        <v>9.2806340416164748</v>
      </c>
      <c r="Y152" s="8">
        <f t="shared" si="29"/>
        <v>0.15237082412199557</v>
      </c>
      <c r="Z152" s="8">
        <f t="shared" si="30"/>
        <v>5.8676301296024969E-2</v>
      </c>
      <c r="AA152" s="10">
        <f t="shared" si="31"/>
        <v>5.97528445189556E-2</v>
      </c>
      <c r="AB152" s="12">
        <v>2187.4160000000002</v>
      </c>
      <c r="AC152" s="12">
        <v>3189.9650000000001</v>
      </c>
      <c r="AD152" s="8">
        <f t="shared" si="32"/>
        <v>-0.31428213162213375</v>
      </c>
    </row>
    <row r="153" spans="1:30" x14ac:dyDescent="0.3">
      <c r="A153" t="s">
        <v>54</v>
      </c>
      <c r="B153" s="11">
        <v>2021</v>
      </c>
      <c r="C153" s="12">
        <v>159.84800000000001</v>
      </c>
      <c r="D153" s="12">
        <v>935.77800000000002</v>
      </c>
      <c r="E153" s="12">
        <v>341.43900000000002</v>
      </c>
      <c r="F153" s="12">
        <v>261.62900000000002</v>
      </c>
      <c r="G153" s="12">
        <v>1277.2170000000001</v>
      </c>
      <c r="H153" s="12">
        <v>567.21100000000001</v>
      </c>
      <c r="I153" s="12">
        <v>710.00599999999997</v>
      </c>
      <c r="J153" s="12">
        <v>563.21</v>
      </c>
      <c r="K153" s="5">
        <v>1.8347155481044399E-2</v>
      </c>
      <c r="L153" s="5">
        <v>2.5537285264813078E-2</v>
      </c>
      <c r="M153" s="8">
        <v>7.8100000000000003E-2</v>
      </c>
      <c r="N153" s="12">
        <v>23159.782592592601</v>
      </c>
      <c r="O153" s="3">
        <f t="shared" si="22"/>
        <v>30</v>
      </c>
      <c r="P153" s="13">
        <v>1992</v>
      </c>
      <c r="Q153" s="14">
        <v>124.27</v>
      </c>
      <c r="R153" s="14">
        <v>171.88</v>
      </c>
      <c r="S153" s="4">
        <f t="shared" si="23"/>
        <v>16.744625219813141</v>
      </c>
      <c r="T153" s="8">
        <f t="shared" si="24"/>
        <v>0.22513612561020613</v>
      </c>
      <c r="U153" s="8">
        <f t="shared" si="25"/>
        <v>0.12515336078364131</v>
      </c>
      <c r="V153" s="9">
        <f t="shared" si="26"/>
        <v>0.79888198127903154</v>
      </c>
      <c r="W153">
        <f t="shared" si="27"/>
        <v>1.6615081408355674</v>
      </c>
      <c r="X153">
        <f t="shared" si="28"/>
        <v>6.6108123981997684</v>
      </c>
      <c r="Y153" s="8">
        <f t="shared" si="29"/>
        <v>0.20484302980621147</v>
      </c>
      <c r="Z153" s="8">
        <f t="shared" si="30"/>
        <v>5.8676301296024969E-2</v>
      </c>
      <c r="AA153" s="10">
        <f t="shared" si="31"/>
        <v>5.97528445189556E-2</v>
      </c>
      <c r="AB153" s="12">
        <v>5551.4849999999997</v>
      </c>
      <c r="AC153" s="12">
        <v>5569.5519999999997</v>
      </c>
      <c r="AD153" s="8">
        <f t="shared" si="32"/>
        <v>-3.2438874796392974E-3</v>
      </c>
    </row>
    <row r="154" spans="1:30" x14ac:dyDescent="0.3">
      <c r="A154" t="s">
        <v>55</v>
      </c>
      <c r="B154" s="11">
        <v>2021</v>
      </c>
      <c r="C154" s="12">
        <v>236.4</v>
      </c>
      <c r="D154" s="12">
        <v>802.19799999999998</v>
      </c>
      <c r="E154" s="12">
        <v>3463.0590000000002</v>
      </c>
      <c r="F154" s="12">
        <v>25.483000000000001</v>
      </c>
      <c r="G154" s="12">
        <v>4265.2569999999996</v>
      </c>
      <c r="H154" s="12">
        <v>323.214</v>
      </c>
      <c r="I154" s="12">
        <v>3942.0430000000001</v>
      </c>
      <c r="J154" s="12">
        <v>290.70999999999998</v>
      </c>
      <c r="K154" s="5">
        <v>1.8347155481044399E-2</v>
      </c>
      <c r="L154" s="5">
        <v>2.5537285264813078E-2</v>
      </c>
      <c r="M154" s="8">
        <v>7.8100000000000003E-2</v>
      </c>
      <c r="N154" s="12">
        <v>23159.782592592601</v>
      </c>
      <c r="O154" s="3">
        <f t="shared" si="22"/>
        <v>14</v>
      </c>
      <c r="P154" s="13">
        <v>2008</v>
      </c>
      <c r="Q154" s="14">
        <v>124.27</v>
      </c>
      <c r="R154" s="14">
        <v>171.88</v>
      </c>
      <c r="S154" s="4">
        <f t="shared" si="23"/>
        <v>16.744625219813141</v>
      </c>
      <c r="T154" s="8">
        <f t="shared" si="24"/>
        <v>5.9968904448784555E-2</v>
      </c>
      <c r="U154" s="8">
        <f t="shared" si="25"/>
        <v>5.5424561755598789E-2</v>
      </c>
      <c r="V154" s="9">
        <f t="shared" si="26"/>
        <v>8.1991495272882617E-2</v>
      </c>
      <c r="W154">
        <f t="shared" si="27"/>
        <v>2.7594441195693302</v>
      </c>
      <c r="X154">
        <f t="shared" si="28"/>
        <v>7.8166313431048886</v>
      </c>
      <c r="Y154" s="8">
        <f t="shared" si="29"/>
        <v>5.9745520609895261E-3</v>
      </c>
      <c r="Z154" s="8">
        <f t="shared" si="30"/>
        <v>5.8676301296024969E-2</v>
      </c>
      <c r="AA154" s="10">
        <f t="shared" si="31"/>
        <v>5.97528445189556E-2</v>
      </c>
      <c r="AB154" s="12">
        <v>516.36300000000006</v>
      </c>
      <c r="AC154" s="12">
        <v>607.59100000000001</v>
      </c>
      <c r="AD154" s="8">
        <f t="shared" si="32"/>
        <v>-0.15014705616113463</v>
      </c>
    </row>
    <row r="155" spans="1:30" x14ac:dyDescent="0.3">
      <c r="A155" t="s">
        <v>56</v>
      </c>
      <c r="B155" s="11">
        <v>2021</v>
      </c>
      <c r="C155" s="12">
        <v>-1119.43</v>
      </c>
      <c r="D155" s="12">
        <v>2848.6210000000001</v>
      </c>
      <c r="E155" s="12">
        <v>11168.424999999999</v>
      </c>
      <c r="F155" s="12">
        <v>5882.7790000000005</v>
      </c>
      <c r="G155" s="12">
        <v>14017.046</v>
      </c>
      <c r="H155" s="12">
        <v>8020.0230000000001</v>
      </c>
      <c r="I155" s="12">
        <v>5997.0230000000001</v>
      </c>
      <c r="J155" s="12">
        <v>4828.42</v>
      </c>
      <c r="K155" s="5">
        <v>1.8347155481044399E-2</v>
      </c>
      <c r="L155" s="5">
        <v>2.5537285264813078E-2</v>
      </c>
      <c r="M155" s="8">
        <v>7.8100000000000003E-2</v>
      </c>
      <c r="N155" s="12">
        <v>23159.782592592601</v>
      </c>
      <c r="O155" s="3">
        <f t="shared" si="22"/>
        <v>12</v>
      </c>
      <c r="P155" s="13">
        <v>2010</v>
      </c>
      <c r="Q155" s="14">
        <v>124.27</v>
      </c>
      <c r="R155" s="14">
        <v>171.88</v>
      </c>
      <c r="S155" s="4">
        <f t="shared" si="23"/>
        <v>16.744625219813141</v>
      </c>
      <c r="T155" s="8">
        <f t="shared" si="24"/>
        <v>-0.18666428326187845</v>
      </c>
      <c r="U155" s="8">
        <f t="shared" si="25"/>
        <v>-7.9862047966454561E-2</v>
      </c>
      <c r="V155" s="9">
        <f t="shared" si="26"/>
        <v>1.3373340405731311</v>
      </c>
      <c r="W155">
        <f t="shared" si="27"/>
        <v>0.5899695966796592</v>
      </c>
      <c r="X155">
        <f t="shared" si="28"/>
        <v>9.0064030664682981</v>
      </c>
      <c r="Y155" s="8">
        <f t="shared" si="29"/>
        <v>0.41968750049047426</v>
      </c>
      <c r="Z155" s="8">
        <f t="shared" si="30"/>
        <v>5.8676301296024969E-2</v>
      </c>
      <c r="AA155" s="10">
        <f t="shared" si="31"/>
        <v>5.97528445189556E-2</v>
      </c>
      <c r="AB155" s="12">
        <v>1198.9349999999999</v>
      </c>
      <c r="AC155" s="12">
        <v>2374.9119999999998</v>
      </c>
      <c r="AD155" s="8">
        <f t="shared" si="32"/>
        <v>-0.49516655775035029</v>
      </c>
    </row>
    <row r="156" spans="1:30" x14ac:dyDescent="0.3">
      <c r="A156" t="s">
        <v>57</v>
      </c>
      <c r="B156" s="11">
        <v>2021</v>
      </c>
      <c r="C156" s="12">
        <v>16.225000000000001</v>
      </c>
      <c r="D156" s="12">
        <v>166.565</v>
      </c>
      <c r="E156" s="12">
        <v>160.506</v>
      </c>
      <c r="F156" s="12">
        <v>12.9</v>
      </c>
      <c r="G156" s="12">
        <v>327.07100000000003</v>
      </c>
      <c r="H156" s="12">
        <v>65.356999999999999</v>
      </c>
      <c r="I156" s="12">
        <v>261.714</v>
      </c>
      <c r="J156" s="12">
        <v>65.36</v>
      </c>
      <c r="K156" s="5">
        <v>1.8347155481044399E-2</v>
      </c>
      <c r="L156" s="5">
        <v>2.5537285264813078E-2</v>
      </c>
      <c r="M156" s="8">
        <v>7.8100000000000003E-2</v>
      </c>
      <c r="N156" s="12">
        <v>23159.782592592601</v>
      </c>
      <c r="O156" s="3">
        <f t="shared" si="22"/>
        <v>7</v>
      </c>
      <c r="P156" s="13">
        <v>2015</v>
      </c>
      <c r="Q156" s="14">
        <v>124.27</v>
      </c>
      <c r="R156" s="14">
        <v>171.88</v>
      </c>
      <c r="S156" s="4">
        <f t="shared" si="23"/>
        <v>16.744625219813141</v>
      </c>
      <c r="T156" s="8">
        <f t="shared" si="24"/>
        <v>6.1995155016544783E-2</v>
      </c>
      <c r="U156" s="8">
        <f t="shared" si="25"/>
        <v>4.9606966071586905E-2</v>
      </c>
      <c r="V156" s="9">
        <f t="shared" si="26"/>
        <v>0.24972680101179148</v>
      </c>
      <c r="W156">
        <f t="shared" si="27"/>
        <v>2.548424112607099</v>
      </c>
      <c r="X156">
        <f t="shared" si="28"/>
        <v>5.2485508997925088</v>
      </c>
      <c r="Y156" s="8">
        <f t="shared" si="29"/>
        <v>3.9440977647055224E-2</v>
      </c>
      <c r="Z156" s="8">
        <f t="shared" si="30"/>
        <v>5.8676301296024969E-2</v>
      </c>
      <c r="AA156" s="10">
        <f t="shared" si="31"/>
        <v>5.97528445189556E-2</v>
      </c>
      <c r="AB156" s="12">
        <v>305.16000000000003</v>
      </c>
      <c r="AC156" s="12">
        <v>242.99299999999999</v>
      </c>
      <c r="AD156" s="8">
        <f t="shared" si="32"/>
        <v>0.25583864555769109</v>
      </c>
    </row>
    <row r="157" spans="1:30" x14ac:dyDescent="0.3">
      <c r="A157" t="s">
        <v>58</v>
      </c>
      <c r="B157" s="11">
        <v>2021</v>
      </c>
      <c r="C157" s="12">
        <v>201.452</v>
      </c>
      <c r="D157" s="12">
        <v>1605.616</v>
      </c>
      <c r="E157" s="12">
        <v>735.149</v>
      </c>
      <c r="F157" s="12">
        <v>672.85500000000002</v>
      </c>
      <c r="G157" s="12">
        <v>2340.7649999999999</v>
      </c>
      <c r="H157" s="12">
        <v>1686.9659999999999</v>
      </c>
      <c r="I157" s="12">
        <v>653.79899999999998</v>
      </c>
      <c r="J157" s="12">
        <v>1374.87</v>
      </c>
      <c r="K157" s="5">
        <v>1.8347155481044399E-2</v>
      </c>
      <c r="L157" s="5">
        <v>2.5537285264813078E-2</v>
      </c>
      <c r="M157" s="8">
        <v>7.8100000000000003E-2</v>
      </c>
      <c r="N157" s="12">
        <v>23159.782592592601</v>
      </c>
      <c r="O157" s="3">
        <f t="shared" si="22"/>
        <v>60</v>
      </c>
      <c r="P157" s="13">
        <v>1962</v>
      </c>
      <c r="Q157" s="14">
        <v>124.27</v>
      </c>
      <c r="R157" s="14">
        <v>171.88</v>
      </c>
      <c r="S157" s="4">
        <f t="shared" si="23"/>
        <v>16.744625219813141</v>
      </c>
      <c r="T157" s="8">
        <f t="shared" si="24"/>
        <v>0.30812528009372914</v>
      </c>
      <c r="U157" s="8">
        <f t="shared" si="25"/>
        <v>8.6062462485554936E-2</v>
      </c>
      <c r="V157" s="9">
        <f t="shared" si="26"/>
        <v>2.5802517287423199</v>
      </c>
      <c r="W157">
        <f t="shared" si="27"/>
        <v>1.1678311403987287</v>
      </c>
      <c r="X157">
        <f t="shared" si="28"/>
        <v>7.2166067050822624</v>
      </c>
      <c r="Y157" s="8">
        <f t="shared" si="29"/>
        <v>0.28745089746300889</v>
      </c>
      <c r="Z157" s="8">
        <f t="shared" si="30"/>
        <v>5.8676301296024969E-2</v>
      </c>
      <c r="AA157" s="10">
        <f t="shared" si="31"/>
        <v>5.97528445189556E-2</v>
      </c>
      <c r="AB157" s="12">
        <v>3863.8989999999999</v>
      </c>
      <c r="AC157" s="12">
        <v>3257.2139999999999</v>
      </c>
      <c r="AD157" s="8">
        <f t="shared" si="32"/>
        <v>0.1862588703106397</v>
      </c>
    </row>
    <row r="158" spans="1:30" x14ac:dyDescent="0.3">
      <c r="A158" t="s">
        <v>59</v>
      </c>
      <c r="B158" s="11">
        <v>2021</v>
      </c>
      <c r="C158" s="12">
        <v>27.021999999999998</v>
      </c>
      <c r="D158" s="12">
        <v>268.20699999999999</v>
      </c>
      <c r="E158" s="12">
        <v>69.552000000000007</v>
      </c>
      <c r="F158" s="12">
        <v>38.04</v>
      </c>
      <c r="G158" s="12">
        <v>337.75799999999998</v>
      </c>
      <c r="H158" s="12">
        <v>136.40799999999999</v>
      </c>
      <c r="I158" s="12">
        <v>201.35</v>
      </c>
      <c r="J158" s="12">
        <v>135.49</v>
      </c>
      <c r="K158" s="5">
        <v>1.8347155481044399E-2</v>
      </c>
      <c r="L158" s="5">
        <v>2.5537285264813078E-2</v>
      </c>
      <c r="M158" s="8">
        <v>7.8100000000000003E-2</v>
      </c>
      <c r="N158" s="12">
        <v>23159.782592592601</v>
      </c>
      <c r="O158" s="3">
        <f t="shared" si="22"/>
        <v>24</v>
      </c>
      <c r="P158" s="13">
        <v>1998</v>
      </c>
      <c r="Q158" s="14">
        <v>124.27</v>
      </c>
      <c r="R158" s="14">
        <v>171.88</v>
      </c>
      <c r="S158" s="4">
        <f t="shared" si="23"/>
        <v>16.744625219813141</v>
      </c>
      <c r="T158" s="8">
        <f t="shared" si="24"/>
        <v>0.1342041221753166</v>
      </c>
      <c r="U158" s="8">
        <f t="shared" si="25"/>
        <v>8.0004026551554669E-2</v>
      </c>
      <c r="V158" s="9">
        <f t="shared" si="26"/>
        <v>0.67746709709461128</v>
      </c>
      <c r="W158">
        <f t="shared" si="27"/>
        <v>1.9795335449110634</v>
      </c>
      <c r="X158">
        <f t="shared" si="28"/>
        <v>5.2807032897994937</v>
      </c>
      <c r="Y158" s="8">
        <f t="shared" si="29"/>
        <v>0.11262501554367328</v>
      </c>
      <c r="Z158" s="8">
        <f t="shared" si="30"/>
        <v>5.8676301296024969E-2</v>
      </c>
      <c r="AA158" s="10">
        <f t="shared" si="31"/>
        <v>5.97528445189556E-2</v>
      </c>
      <c r="AB158" s="12">
        <v>905.79399999999998</v>
      </c>
      <c r="AC158" s="12">
        <v>781.423</v>
      </c>
      <c r="AD158" s="8">
        <f t="shared" si="32"/>
        <v>0.15915963569027272</v>
      </c>
    </row>
    <row r="159" spans="1:30" x14ac:dyDescent="0.3">
      <c r="A159" t="s">
        <v>60</v>
      </c>
      <c r="B159" s="11">
        <v>2021</v>
      </c>
      <c r="C159" s="12">
        <v>143.298</v>
      </c>
      <c r="D159" s="12">
        <v>5515.2780000000002</v>
      </c>
      <c r="E159" s="12">
        <v>2038.5809999999999</v>
      </c>
      <c r="F159" s="12">
        <v>1086.8409999999999</v>
      </c>
      <c r="G159" s="12">
        <v>7553.8590000000004</v>
      </c>
      <c r="H159" s="12">
        <v>4411.25</v>
      </c>
      <c r="I159" s="12">
        <v>3142.6080000000002</v>
      </c>
      <c r="J159" s="12">
        <v>4115.8900000000003</v>
      </c>
      <c r="K159" s="5">
        <v>1.8347155481044399E-2</v>
      </c>
      <c r="L159" s="5">
        <v>2.5537285264813078E-2</v>
      </c>
      <c r="M159" s="8">
        <v>7.8100000000000003E-2</v>
      </c>
      <c r="N159" s="12">
        <v>23159.782592592601</v>
      </c>
      <c r="O159" s="3">
        <f t="shared" si="22"/>
        <v>19</v>
      </c>
      <c r="P159" s="13">
        <v>2003</v>
      </c>
      <c r="Q159" s="14">
        <v>124.27</v>
      </c>
      <c r="R159" s="14">
        <v>171.88</v>
      </c>
      <c r="S159" s="4">
        <f t="shared" si="23"/>
        <v>16.744625219813141</v>
      </c>
      <c r="T159" s="8">
        <f t="shared" si="24"/>
        <v>4.5598432893953045E-2</v>
      </c>
      <c r="U159" s="8">
        <f t="shared" si="25"/>
        <v>1.8970171405105655E-2</v>
      </c>
      <c r="V159" s="9">
        <f t="shared" si="26"/>
        <v>1.4036908198540829</v>
      </c>
      <c r="W159">
        <f t="shared" si="27"/>
        <v>1.3399964527720614</v>
      </c>
      <c r="X159">
        <f t="shared" si="28"/>
        <v>8.3881874645718693</v>
      </c>
      <c r="Y159" s="8">
        <f t="shared" si="29"/>
        <v>0.14387891010409379</v>
      </c>
      <c r="Z159" s="8">
        <f t="shared" si="30"/>
        <v>5.8676301296024969E-2</v>
      </c>
      <c r="AA159" s="10">
        <f t="shared" si="31"/>
        <v>5.97528445189556E-2</v>
      </c>
      <c r="AB159" s="12">
        <v>5722.22</v>
      </c>
      <c r="AC159" s="12">
        <v>6373.7820000000002</v>
      </c>
      <c r="AD159" s="8">
        <f t="shared" si="32"/>
        <v>-0.10222533497380361</v>
      </c>
    </row>
    <row r="160" spans="1:30" x14ac:dyDescent="0.3">
      <c r="A160" t="s">
        <v>61</v>
      </c>
      <c r="B160" s="11">
        <v>2021</v>
      </c>
      <c r="C160" s="12">
        <v>653.29100000000005</v>
      </c>
      <c r="D160" s="12">
        <v>7013.5919999999996</v>
      </c>
      <c r="E160" s="12">
        <v>7059.1130000000003</v>
      </c>
      <c r="F160" s="12">
        <v>2540.8310000000001</v>
      </c>
      <c r="G160" s="12">
        <v>14072.706</v>
      </c>
      <c r="H160" s="12">
        <v>7178.0630000000001</v>
      </c>
      <c r="I160" s="12">
        <v>6894.643</v>
      </c>
      <c r="J160" s="12">
        <v>5397.24</v>
      </c>
      <c r="K160" s="5">
        <v>1.8347155481044399E-2</v>
      </c>
      <c r="L160" s="5">
        <v>2.5537285264813078E-2</v>
      </c>
      <c r="M160" s="8">
        <v>7.8100000000000003E-2</v>
      </c>
      <c r="N160" s="12">
        <v>23159.782592592601</v>
      </c>
      <c r="O160" s="3">
        <f t="shared" si="22"/>
        <v>29</v>
      </c>
      <c r="P160" s="13">
        <v>1993</v>
      </c>
      <c r="Q160" s="14">
        <v>124.27</v>
      </c>
      <c r="R160" s="14">
        <v>171.88</v>
      </c>
      <c r="S160" s="4">
        <f t="shared" si="23"/>
        <v>16.744625219813141</v>
      </c>
      <c r="T160" s="8">
        <f t="shared" si="24"/>
        <v>9.4753419430128591E-2</v>
      </c>
      <c r="U160" s="8">
        <f t="shared" si="25"/>
        <v>4.6422557253736424E-2</v>
      </c>
      <c r="V160" s="9">
        <f t="shared" si="26"/>
        <v>1.0411072770555343</v>
      </c>
      <c r="W160">
        <f t="shared" si="27"/>
        <v>1.2994775107277052</v>
      </c>
      <c r="X160">
        <f t="shared" si="28"/>
        <v>9.0103660827916414</v>
      </c>
      <c r="Y160" s="8">
        <f t="shared" si="29"/>
        <v>0.18055027938478926</v>
      </c>
      <c r="Z160" s="8">
        <f t="shared" si="30"/>
        <v>5.8676301296024969E-2</v>
      </c>
      <c r="AA160" s="10">
        <f t="shared" si="31"/>
        <v>5.97528445189556E-2</v>
      </c>
      <c r="AB160" s="12">
        <v>10675.273999999999</v>
      </c>
      <c r="AC160" s="12">
        <v>8465.7649999999994</v>
      </c>
      <c r="AD160" s="8">
        <f t="shared" si="32"/>
        <v>0.26099342469345654</v>
      </c>
    </row>
    <row r="161" spans="1:30" x14ac:dyDescent="0.3">
      <c r="A161" t="s">
        <v>62</v>
      </c>
      <c r="B161" s="11">
        <v>2021</v>
      </c>
      <c r="C161" s="12">
        <v>18.071999999999999</v>
      </c>
      <c r="D161" s="12">
        <v>788.81</v>
      </c>
      <c r="E161" s="12">
        <v>286.17399999999998</v>
      </c>
      <c r="F161" s="12">
        <v>265.30599999999998</v>
      </c>
      <c r="G161" s="12">
        <v>1074.9829999999999</v>
      </c>
      <c r="H161" s="12">
        <v>457.03800000000001</v>
      </c>
      <c r="I161" s="12">
        <v>617.94500000000005</v>
      </c>
      <c r="J161" s="12">
        <v>450.15</v>
      </c>
      <c r="K161" s="5">
        <v>1.8347155481044399E-2</v>
      </c>
      <c r="L161" s="5">
        <v>2.5537285264813078E-2</v>
      </c>
      <c r="M161" s="8">
        <v>7.8100000000000003E-2</v>
      </c>
      <c r="N161" s="12">
        <v>23159.782592592601</v>
      </c>
      <c r="O161" s="3">
        <f t="shared" si="22"/>
        <v>21</v>
      </c>
      <c r="P161" s="13">
        <v>2001</v>
      </c>
      <c r="Q161" s="14">
        <v>124.27</v>
      </c>
      <c r="R161" s="14">
        <v>171.88</v>
      </c>
      <c r="S161" s="4">
        <f t="shared" si="23"/>
        <v>16.744625219813141</v>
      </c>
      <c r="T161" s="8">
        <f t="shared" si="24"/>
        <v>2.9245321185542399E-2</v>
      </c>
      <c r="U161" s="8">
        <f t="shared" si="25"/>
        <v>1.6811428645848354E-2</v>
      </c>
      <c r="V161" s="9">
        <f t="shared" si="26"/>
        <v>0.73960951217341342</v>
      </c>
      <c r="W161">
        <f t="shared" si="27"/>
        <v>1.7523270021104076</v>
      </c>
      <c r="X161">
        <f t="shared" si="28"/>
        <v>6.4384337535645297</v>
      </c>
      <c r="Y161" s="8">
        <f t="shared" si="29"/>
        <v>0.24680018195636583</v>
      </c>
      <c r="Z161" s="8">
        <f t="shared" si="30"/>
        <v>5.8676301296024969E-2</v>
      </c>
      <c r="AA161" s="10">
        <f t="shared" si="31"/>
        <v>5.97528445189556E-2</v>
      </c>
      <c r="AB161" s="12">
        <v>494.51299999999998</v>
      </c>
      <c r="AC161" s="12">
        <v>416.928</v>
      </c>
      <c r="AD161" s="8">
        <f t="shared" si="32"/>
        <v>0.18608728605418676</v>
      </c>
    </row>
    <row r="162" spans="1:30" x14ac:dyDescent="0.3">
      <c r="A162" t="s">
        <v>63</v>
      </c>
      <c r="B162" s="11">
        <v>2021</v>
      </c>
      <c r="C162" s="12">
        <v>39.631</v>
      </c>
      <c r="D162" s="12">
        <v>189.40299999999999</v>
      </c>
      <c r="E162" s="12">
        <v>90.349000000000004</v>
      </c>
      <c r="F162" s="12">
        <v>73.075000000000003</v>
      </c>
      <c r="G162" s="12">
        <v>279.75200000000001</v>
      </c>
      <c r="H162" s="12">
        <v>83.292000000000002</v>
      </c>
      <c r="I162" s="12">
        <v>196.459</v>
      </c>
      <c r="J162" s="12">
        <v>80.52</v>
      </c>
      <c r="K162" s="5">
        <v>1.8347155481044399E-2</v>
      </c>
      <c r="L162" s="5">
        <v>2.5537285264813078E-2</v>
      </c>
      <c r="M162" s="8">
        <v>7.8100000000000003E-2</v>
      </c>
      <c r="N162" s="12">
        <v>23159.782592592601</v>
      </c>
      <c r="O162" s="3">
        <f t="shared" si="22"/>
        <v>37</v>
      </c>
      <c r="P162" s="13">
        <v>1985</v>
      </c>
      <c r="Q162" s="14">
        <v>124.27</v>
      </c>
      <c r="R162" s="14">
        <v>171.88</v>
      </c>
      <c r="S162" s="4">
        <f t="shared" si="23"/>
        <v>16.744625219813141</v>
      </c>
      <c r="T162" s="8">
        <f t="shared" si="24"/>
        <v>0.2017265689024173</v>
      </c>
      <c r="U162" s="8">
        <f t="shared" si="25"/>
        <v>0.14166476021619148</v>
      </c>
      <c r="V162" s="9">
        <f t="shared" si="26"/>
        <v>0.42396632376220994</v>
      </c>
      <c r="W162">
        <f t="shared" si="27"/>
        <v>2.3522478887232987</v>
      </c>
      <c r="X162">
        <f t="shared" si="28"/>
        <v>5.0922771234881692</v>
      </c>
      <c r="Y162" s="8">
        <f t="shared" si="29"/>
        <v>0.26121350338871574</v>
      </c>
      <c r="Z162" s="8">
        <f t="shared" si="30"/>
        <v>5.8676301296024969E-2</v>
      </c>
      <c r="AA162" s="10">
        <f t="shared" si="31"/>
        <v>5.97528445189556E-2</v>
      </c>
      <c r="AB162" s="12">
        <v>415.38200000000001</v>
      </c>
      <c r="AC162" s="12">
        <v>408.07100000000003</v>
      </c>
      <c r="AD162" s="8">
        <f t="shared" si="32"/>
        <v>1.7915999911780004E-2</v>
      </c>
    </row>
    <row r="163" spans="1:30" x14ac:dyDescent="0.3">
      <c r="A163" t="s">
        <v>64</v>
      </c>
      <c r="B163" s="11">
        <v>2021</v>
      </c>
      <c r="C163" s="12">
        <v>167.148</v>
      </c>
      <c r="D163" s="12">
        <v>698.24099999999999</v>
      </c>
      <c r="E163" s="12">
        <v>469.40300000000002</v>
      </c>
      <c r="F163" s="12">
        <v>410.30700000000002</v>
      </c>
      <c r="G163" s="12">
        <v>1167.644</v>
      </c>
      <c r="H163" s="12">
        <v>418.54300000000001</v>
      </c>
      <c r="I163" s="12">
        <v>749.101</v>
      </c>
      <c r="J163" s="12">
        <v>410.2</v>
      </c>
      <c r="K163" s="5">
        <v>1.8347155481044399E-2</v>
      </c>
      <c r="L163" s="5">
        <v>2.5537285264813078E-2</v>
      </c>
      <c r="M163" s="8">
        <v>7.8100000000000003E-2</v>
      </c>
      <c r="N163" s="12">
        <v>23159.782592592601</v>
      </c>
      <c r="O163" s="3">
        <f t="shared" si="22"/>
        <v>50</v>
      </c>
      <c r="P163" s="13">
        <v>1972</v>
      </c>
      <c r="Q163" s="14">
        <v>124.27</v>
      </c>
      <c r="R163" s="14">
        <v>171.88</v>
      </c>
      <c r="S163" s="4">
        <f t="shared" si="23"/>
        <v>16.744625219813141</v>
      </c>
      <c r="T163" s="8">
        <f t="shared" si="24"/>
        <v>0.22313146024367875</v>
      </c>
      <c r="U163" s="8">
        <f t="shared" si="25"/>
        <v>0.14314979565689542</v>
      </c>
      <c r="V163" s="9">
        <f t="shared" si="26"/>
        <v>0.55872706083692325</v>
      </c>
      <c r="W163">
        <f t="shared" si="27"/>
        <v>1.7021964895173087</v>
      </c>
      <c r="X163">
        <f t="shared" si="28"/>
        <v>6.5211169494896311</v>
      </c>
      <c r="Y163" s="8">
        <f t="shared" si="29"/>
        <v>0.35139734371092562</v>
      </c>
      <c r="Z163" s="8">
        <f t="shared" si="30"/>
        <v>5.8676301296024969E-2</v>
      </c>
      <c r="AA163" s="10">
        <f t="shared" si="31"/>
        <v>5.97528445189556E-2</v>
      </c>
      <c r="AB163" s="12">
        <v>2652.84</v>
      </c>
      <c r="AC163" s="12">
        <v>2991.9009999999998</v>
      </c>
      <c r="AD163" s="8">
        <f t="shared" si="32"/>
        <v>-0.1133262765044698</v>
      </c>
    </row>
    <row r="164" spans="1:30" x14ac:dyDescent="0.3">
      <c r="A164" t="s">
        <v>65</v>
      </c>
      <c r="B164" s="11">
        <v>2021</v>
      </c>
      <c r="C164" s="12">
        <v>33.152000000000001</v>
      </c>
      <c r="D164" s="12">
        <v>930.06399999999996</v>
      </c>
      <c r="E164" s="12">
        <v>1596.8019999999999</v>
      </c>
      <c r="F164" s="12">
        <v>1186.7170000000001</v>
      </c>
      <c r="G164" s="12">
        <v>2526.866</v>
      </c>
      <c r="H164" s="12">
        <v>922.745</v>
      </c>
      <c r="I164" s="12">
        <v>1604.1220000000001</v>
      </c>
      <c r="J164" s="12">
        <v>846.11</v>
      </c>
      <c r="K164" s="5">
        <v>1.8347155481044399E-2</v>
      </c>
      <c r="L164" s="5">
        <v>2.5537285264813078E-2</v>
      </c>
      <c r="M164" s="8">
        <v>7.8100000000000003E-2</v>
      </c>
      <c r="N164" s="12">
        <v>23159.782592592601</v>
      </c>
      <c r="O164" s="3">
        <f t="shared" si="22"/>
        <v>42</v>
      </c>
      <c r="P164" s="13">
        <v>1980</v>
      </c>
      <c r="Q164" s="14">
        <v>124.27</v>
      </c>
      <c r="R164" s="14">
        <v>171.88</v>
      </c>
      <c r="S164" s="4">
        <f t="shared" si="23"/>
        <v>16.744625219813141</v>
      </c>
      <c r="T164" s="8">
        <f t="shared" si="24"/>
        <v>2.0666757266591944E-2</v>
      </c>
      <c r="U164" s="8">
        <f t="shared" si="25"/>
        <v>1.3119809281536892E-2</v>
      </c>
      <c r="V164" s="9">
        <f t="shared" si="26"/>
        <v>0.5752336792338737</v>
      </c>
      <c r="W164">
        <f t="shared" si="27"/>
        <v>1.0992235052179975</v>
      </c>
      <c r="X164">
        <f t="shared" si="28"/>
        <v>7.2931087057583897</v>
      </c>
      <c r="Y164" s="8">
        <f t="shared" si="29"/>
        <v>0.46963986218501502</v>
      </c>
      <c r="Z164" s="8">
        <f t="shared" si="30"/>
        <v>5.8676301296024969E-2</v>
      </c>
      <c r="AA164" s="10">
        <f t="shared" si="31"/>
        <v>5.97528445189556E-2</v>
      </c>
      <c r="AB164" s="12">
        <v>2137.7939999999999</v>
      </c>
      <c r="AC164" s="12">
        <v>1470.8620000000001</v>
      </c>
      <c r="AD164" s="8">
        <f t="shared" si="32"/>
        <v>0.45342934959227971</v>
      </c>
    </row>
    <row r="165" spans="1:30" x14ac:dyDescent="0.3">
      <c r="A165" t="s">
        <v>66</v>
      </c>
      <c r="B165" s="11">
        <v>2021</v>
      </c>
      <c r="C165" s="12">
        <v>319.11200000000002</v>
      </c>
      <c r="D165" s="12">
        <v>2218.732</v>
      </c>
      <c r="E165" s="12">
        <v>268.23500000000001</v>
      </c>
      <c r="F165" s="12">
        <v>141.76599999999999</v>
      </c>
      <c r="G165" s="12">
        <v>2486.9659999999999</v>
      </c>
      <c r="H165" s="12">
        <v>313.58199999999999</v>
      </c>
      <c r="I165" s="12">
        <v>2173.3850000000002</v>
      </c>
      <c r="J165" s="12">
        <v>289.93</v>
      </c>
      <c r="K165" s="5">
        <v>1.8347155481044399E-2</v>
      </c>
      <c r="L165" s="5">
        <v>2.5537285264813078E-2</v>
      </c>
      <c r="M165" s="8">
        <v>7.8100000000000003E-2</v>
      </c>
      <c r="N165" s="12">
        <v>23159.782592592601</v>
      </c>
      <c r="O165" s="3">
        <f t="shared" si="22"/>
        <v>64</v>
      </c>
      <c r="P165" s="13">
        <v>1958</v>
      </c>
      <c r="Q165" s="14">
        <v>124.27</v>
      </c>
      <c r="R165" s="14">
        <v>171.88</v>
      </c>
      <c r="S165" s="4">
        <f t="shared" si="23"/>
        <v>16.744625219813141</v>
      </c>
      <c r="T165" s="8">
        <f t="shared" si="24"/>
        <v>0.14682718432307207</v>
      </c>
      <c r="U165" s="8">
        <f t="shared" si="25"/>
        <v>0.12831377670623564</v>
      </c>
      <c r="V165" s="9">
        <f t="shared" si="26"/>
        <v>0.14428276628393036</v>
      </c>
      <c r="W165">
        <f t="shared" si="27"/>
        <v>7.6526471907012033</v>
      </c>
      <c r="X165">
        <f t="shared" si="28"/>
        <v>7.277192399701585</v>
      </c>
      <c r="Y165" s="8">
        <f t="shared" si="29"/>
        <v>5.7003593937351778E-2</v>
      </c>
      <c r="Z165" s="8">
        <f t="shared" si="30"/>
        <v>5.8676301296024969E-2</v>
      </c>
      <c r="AA165" s="10">
        <f t="shared" si="31"/>
        <v>5.97528445189556E-2</v>
      </c>
      <c r="AB165" s="12">
        <v>2927.7939999999999</v>
      </c>
      <c r="AC165" s="12">
        <v>2825.5540000000001</v>
      </c>
      <c r="AD165" s="8">
        <f t="shared" si="32"/>
        <v>3.6184054525236389E-2</v>
      </c>
    </row>
    <row r="166" spans="1:30" x14ac:dyDescent="0.3">
      <c r="A166" t="s">
        <v>67</v>
      </c>
      <c r="B166" s="11">
        <v>2021</v>
      </c>
      <c r="C166" s="12">
        <v>442.36599999999999</v>
      </c>
      <c r="D166" s="12">
        <v>2489.3679999999999</v>
      </c>
      <c r="E166" s="12">
        <v>713.26900000000001</v>
      </c>
      <c r="F166" s="12">
        <v>499.85700000000003</v>
      </c>
      <c r="G166" s="12">
        <v>3202.6370000000002</v>
      </c>
      <c r="H166" s="12">
        <v>1707.2360000000001</v>
      </c>
      <c r="I166" s="12">
        <v>1495.4010000000001</v>
      </c>
      <c r="J166" s="12">
        <v>1528.82</v>
      </c>
      <c r="K166" s="5">
        <v>1.8347155481044399E-2</v>
      </c>
      <c r="L166" s="5">
        <v>2.5537285264813078E-2</v>
      </c>
      <c r="M166" s="8">
        <v>7.8100000000000003E-2</v>
      </c>
      <c r="N166" s="12">
        <v>23159.782592592601</v>
      </c>
      <c r="O166" s="3">
        <f t="shared" si="22"/>
        <v>34</v>
      </c>
      <c r="P166" s="13">
        <v>1988</v>
      </c>
      <c r="Q166" s="14">
        <v>124.27</v>
      </c>
      <c r="R166" s="14">
        <v>171.88</v>
      </c>
      <c r="S166" s="4">
        <f t="shared" si="23"/>
        <v>16.744625219813141</v>
      </c>
      <c r="T166" s="8">
        <f t="shared" si="24"/>
        <v>0.29581764356182721</v>
      </c>
      <c r="U166" s="8">
        <f t="shared" si="25"/>
        <v>0.13812555091320058</v>
      </c>
      <c r="V166" s="9">
        <f t="shared" si="26"/>
        <v>1.1416576557057272</v>
      </c>
      <c r="W166">
        <f t="shared" si="27"/>
        <v>1.6282937167227012</v>
      </c>
      <c r="X166">
        <f t="shared" si="28"/>
        <v>7.530103439016032</v>
      </c>
      <c r="Y166" s="8">
        <f t="shared" si="29"/>
        <v>0.15607669554807491</v>
      </c>
      <c r="Z166" s="8">
        <f t="shared" si="30"/>
        <v>5.8676301296024969E-2</v>
      </c>
      <c r="AA166" s="10">
        <f t="shared" si="31"/>
        <v>5.97528445189556E-2</v>
      </c>
      <c r="AB166" s="12">
        <v>4749.098</v>
      </c>
      <c r="AC166" s="12">
        <v>3817.9250000000002</v>
      </c>
      <c r="AD166" s="8">
        <f t="shared" si="32"/>
        <v>0.24389504770261325</v>
      </c>
    </row>
    <row r="167" spans="1:30" x14ac:dyDescent="0.3">
      <c r="A167" t="s">
        <v>68</v>
      </c>
      <c r="B167" s="11">
        <v>2021</v>
      </c>
      <c r="C167" s="12">
        <v>10101.380999999999</v>
      </c>
      <c r="D167" s="12">
        <v>43630.175999999999</v>
      </c>
      <c r="E167" s="12">
        <v>82463.294999999998</v>
      </c>
      <c r="F167" s="12">
        <v>42653.938999999998</v>
      </c>
      <c r="G167" s="12">
        <v>126093.47100000001</v>
      </c>
      <c r="H167" s="12">
        <v>83756.819000000003</v>
      </c>
      <c r="I167" s="12">
        <v>42336.652000000002</v>
      </c>
      <c r="J167" s="12">
        <v>34547.839999999997</v>
      </c>
      <c r="K167" s="5">
        <v>1.8347155481044399E-2</v>
      </c>
      <c r="L167" s="5">
        <v>2.5537285264813078E-2</v>
      </c>
      <c r="M167" s="8">
        <v>7.8100000000000003E-2</v>
      </c>
      <c r="N167" s="12">
        <v>23159.782592592601</v>
      </c>
      <c r="O167" s="3">
        <f t="shared" si="22"/>
        <v>18</v>
      </c>
      <c r="P167" s="13">
        <v>2004</v>
      </c>
      <c r="Q167" s="14">
        <v>124.27</v>
      </c>
      <c r="R167" s="14">
        <v>171.88</v>
      </c>
      <c r="S167" s="4">
        <f t="shared" si="23"/>
        <v>16.744625219813141</v>
      </c>
      <c r="T167" s="8">
        <f t="shared" si="24"/>
        <v>0.23859659474254127</v>
      </c>
      <c r="U167" s="8">
        <f t="shared" si="25"/>
        <v>8.0110262013486797E-2</v>
      </c>
      <c r="V167" s="9">
        <f t="shared" si="26"/>
        <v>1.9783524450634404</v>
      </c>
      <c r="W167">
        <f t="shared" si="27"/>
        <v>1.2628915729608567</v>
      </c>
      <c r="X167">
        <f t="shared" si="28"/>
        <v>11.203152371325903</v>
      </c>
      <c r="Y167" s="8">
        <f t="shared" si="29"/>
        <v>0.33827238366687518</v>
      </c>
      <c r="Z167" s="8">
        <f t="shared" si="30"/>
        <v>5.8676301296024969E-2</v>
      </c>
      <c r="AA167" s="10">
        <f t="shared" si="31"/>
        <v>5.97528445189556E-2</v>
      </c>
      <c r="AB167" s="12">
        <v>89791.619000000006</v>
      </c>
      <c r="AC167" s="12">
        <v>78868.319000000003</v>
      </c>
      <c r="AD167" s="8">
        <f t="shared" si="32"/>
        <v>0.13850047951446767</v>
      </c>
    </row>
    <row r="168" spans="1:30" x14ac:dyDescent="0.3">
      <c r="A168" t="s">
        <v>69</v>
      </c>
      <c r="B168" s="11">
        <v>2021</v>
      </c>
      <c r="C168" s="12">
        <v>77.605000000000004</v>
      </c>
      <c r="D168" s="12">
        <v>1029.32</v>
      </c>
      <c r="E168" s="12">
        <v>624.73699999999997</v>
      </c>
      <c r="F168" s="12">
        <v>363.97899999999998</v>
      </c>
      <c r="G168" s="12">
        <v>1654.056</v>
      </c>
      <c r="H168" s="12">
        <v>817.65899999999999</v>
      </c>
      <c r="I168" s="12">
        <v>836.39800000000002</v>
      </c>
      <c r="J168" s="12">
        <v>700.84</v>
      </c>
      <c r="K168" s="5">
        <v>1.8347155481044399E-2</v>
      </c>
      <c r="L168" s="5">
        <v>2.5537285264813078E-2</v>
      </c>
      <c r="M168" s="8">
        <v>7.8100000000000003E-2</v>
      </c>
      <c r="N168" s="12">
        <v>23159.782592592601</v>
      </c>
      <c r="O168" s="3">
        <f t="shared" si="22"/>
        <v>27</v>
      </c>
      <c r="P168" s="13">
        <v>1995</v>
      </c>
      <c r="Q168" s="14">
        <v>124.27</v>
      </c>
      <c r="R168" s="14">
        <v>171.88</v>
      </c>
      <c r="S168" s="4">
        <f t="shared" si="23"/>
        <v>16.744625219813141</v>
      </c>
      <c r="T168" s="8">
        <f t="shared" si="24"/>
        <v>9.2784774712517254E-2</v>
      </c>
      <c r="U168" s="8">
        <f t="shared" si="25"/>
        <v>4.691800035790808E-2</v>
      </c>
      <c r="V168" s="9">
        <f t="shared" si="26"/>
        <v>0.97759559444188049</v>
      </c>
      <c r="W168">
        <f t="shared" si="27"/>
        <v>1.4686947092060954</v>
      </c>
      <c r="X168">
        <f t="shared" si="28"/>
        <v>6.8693593594073858</v>
      </c>
      <c r="Y168" s="8">
        <f t="shared" si="29"/>
        <v>0.22005240451351102</v>
      </c>
      <c r="Z168" s="8">
        <f t="shared" si="30"/>
        <v>5.8676301296024969E-2</v>
      </c>
      <c r="AA168" s="10">
        <f t="shared" si="31"/>
        <v>5.97528445189556E-2</v>
      </c>
      <c r="AB168" s="12">
        <v>1629.279</v>
      </c>
      <c r="AC168" s="12">
        <v>1216.0550000000001</v>
      </c>
      <c r="AD168" s="8">
        <f t="shared" si="32"/>
        <v>0.33980699886107119</v>
      </c>
    </row>
    <row r="169" spans="1:30" x14ac:dyDescent="0.3">
      <c r="A169" t="s">
        <v>70</v>
      </c>
      <c r="B169" s="11">
        <v>2021</v>
      </c>
      <c r="C169" s="12">
        <v>54.35</v>
      </c>
      <c r="D169" s="12">
        <v>376.24799999999999</v>
      </c>
      <c r="E169" s="12">
        <v>490.76400000000001</v>
      </c>
      <c r="F169" s="12">
        <v>314.37200000000001</v>
      </c>
      <c r="G169" s="12">
        <v>867.01199999999994</v>
      </c>
      <c r="H169" s="12">
        <v>488.91500000000002</v>
      </c>
      <c r="I169" s="12">
        <v>378.09699999999998</v>
      </c>
      <c r="J169" s="12">
        <v>419.16</v>
      </c>
      <c r="K169" s="5">
        <v>1.8347155481044399E-2</v>
      </c>
      <c r="L169" s="5">
        <v>2.5537285264813078E-2</v>
      </c>
      <c r="M169" s="8">
        <v>7.8100000000000003E-2</v>
      </c>
      <c r="N169" s="12">
        <v>23159.782592592601</v>
      </c>
      <c r="O169" s="3">
        <f t="shared" si="22"/>
        <v>29</v>
      </c>
      <c r="P169" s="13">
        <v>1993</v>
      </c>
      <c r="Q169" s="14">
        <v>124.27</v>
      </c>
      <c r="R169" s="14">
        <v>171.88</v>
      </c>
      <c r="S169" s="4">
        <f t="shared" si="23"/>
        <v>16.744625219813141</v>
      </c>
      <c r="T169" s="8">
        <f t="shared" si="24"/>
        <v>0.14374618153542609</v>
      </c>
      <c r="U169" s="8">
        <f t="shared" si="25"/>
        <v>6.2686560278289116E-2</v>
      </c>
      <c r="V169" s="9">
        <f t="shared" si="26"/>
        <v>1.2930941001912208</v>
      </c>
      <c r="W169">
        <f t="shared" si="27"/>
        <v>0.89762381906670474</v>
      </c>
      <c r="X169">
        <f t="shared" si="28"/>
        <v>6.2234264445965053</v>
      </c>
      <c r="Y169" s="8">
        <f t="shared" si="29"/>
        <v>0.36259244393387868</v>
      </c>
      <c r="Z169" s="8">
        <f t="shared" si="30"/>
        <v>5.8676301296024969E-2</v>
      </c>
      <c r="AA169" s="10">
        <f t="shared" si="31"/>
        <v>5.97528445189556E-2</v>
      </c>
      <c r="AB169" s="12">
        <v>929.90700000000004</v>
      </c>
      <c r="AC169" s="12">
        <v>887.13400000000001</v>
      </c>
      <c r="AD169" s="8">
        <f t="shared" si="32"/>
        <v>4.821481309475234E-2</v>
      </c>
    </row>
    <row r="170" spans="1:30" x14ac:dyDescent="0.3">
      <c r="A170" t="s">
        <v>71</v>
      </c>
      <c r="B170" s="11">
        <v>2021</v>
      </c>
      <c r="C170" s="12">
        <v>225.631</v>
      </c>
      <c r="D170" s="12">
        <v>1043.93</v>
      </c>
      <c r="E170" s="12">
        <v>888.029</v>
      </c>
      <c r="F170" s="12">
        <v>735.346</v>
      </c>
      <c r="G170" s="12">
        <v>1931.9590000000001</v>
      </c>
      <c r="H170" s="12">
        <v>627.32600000000002</v>
      </c>
      <c r="I170" s="12">
        <v>1304.633</v>
      </c>
      <c r="J170" s="12">
        <v>595.38</v>
      </c>
      <c r="K170" s="5">
        <v>1.8347155481044399E-2</v>
      </c>
      <c r="L170" s="5">
        <v>2.5537285264813078E-2</v>
      </c>
      <c r="M170" s="8">
        <v>7.8100000000000003E-2</v>
      </c>
      <c r="N170" s="12">
        <v>23159.782592592601</v>
      </c>
      <c r="O170" s="3">
        <f t="shared" si="22"/>
        <v>54</v>
      </c>
      <c r="P170" s="13">
        <v>1968</v>
      </c>
      <c r="Q170" s="14">
        <v>124.27</v>
      </c>
      <c r="R170" s="14">
        <v>171.88</v>
      </c>
      <c r="S170" s="4">
        <f t="shared" si="23"/>
        <v>16.744625219813141</v>
      </c>
      <c r="T170" s="8">
        <f t="shared" si="24"/>
        <v>0.17294595491605685</v>
      </c>
      <c r="U170" s="8">
        <f t="shared" si="25"/>
        <v>0.1167887103194219</v>
      </c>
      <c r="V170" s="9">
        <f t="shared" si="26"/>
        <v>0.48084480463088086</v>
      </c>
      <c r="W170">
        <f t="shared" si="27"/>
        <v>1.7533843931606705</v>
      </c>
      <c r="X170">
        <f t="shared" si="28"/>
        <v>7.0246634200964895</v>
      </c>
      <c r="Y170" s="8">
        <f t="shared" si="29"/>
        <v>0.38062194901651636</v>
      </c>
      <c r="Z170" s="8">
        <f t="shared" si="30"/>
        <v>5.8676301296024969E-2</v>
      </c>
      <c r="AA170" s="10">
        <f t="shared" si="31"/>
        <v>5.97528445189556E-2</v>
      </c>
      <c r="AB170" s="12">
        <v>2082.5929999999998</v>
      </c>
      <c r="AC170" s="12">
        <v>1790.7639999999999</v>
      </c>
      <c r="AD170" s="8">
        <f t="shared" si="32"/>
        <v>0.16296340556321212</v>
      </c>
    </row>
    <row r="171" spans="1:30" x14ac:dyDescent="0.3">
      <c r="A171" t="s">
        <v>72</v>
      </c>
      <c r="B171" s="11">
        <v>2021</v>
      </c>
      <c r="C171" s="12">
        <v>510.755</v>
      </c>
      <c r="D171" s="12">
        <v>10058.956</v>
      </c>
      <c r="E171" s="12">
        <v>4964.9449999999997</v>
      </c>
      <c r="F171" s="12">
        <v>3402.0590000000002</v>
      </c>
      <c r="G171" s="12">
        <v>15023.901</v>
      </c>
      <c r="H171" s="12">
        <v>7444.2470000000003</v>
      </c>
      <c r="I171" s="12">
        <v>7579.6540000000005</v>
      </c>
      <c r="J171" s="12">
        <v>5992.75</v>
      </c>
      <c r="K171" s="5">
        <v>1.8347155481044399E-2</v>
      </c>
      <c r="L171" s="5">
        <v>2.5537285264813078E-2</v>
      </c>
      <c r="M171" s="8">
        <v>7.8100000000000003E-2</v>
      </c>
      <c r="N171" s="12">
        <v>23159.782592592601</v>
      </c>
      <c r="O171" s="3">
        <f t="shared" si="22"/>
        <v>24</v>
      </c>
      <c r="P171" s="13">
        <v>1998</v>
      </c>
      <c r="Q171" s="14">
        <v>124.27</v>
      </c>
      <c r="R171" s="14">
        <v>171.88</v>
      </c>
      <c r="S171" s="4">
        <f t="shared" si="23"/>
        <v>16.744625219813141</v>
      </c>
      <c r="T171" s="8">
        <f t="shared" si="24"/>
        <v>6.73850020066879E-2</v>
      </c>
      <c r="U171" s="8">
        <f t="shared" si="25"/>
        <v>3.3996163845861335E-2</v>
      </c>
      <c r="V171" s="9">
        <f t="shared" si="26"/>
        <v>0.98213546423095299</v>
      </c>
      <c r="W171">
        <f t="shared" si="27"/>
        <v>1.6785208793959367</v>
      </c>
      <c r="X171">
        <f t="shared" si="28"/>
        <v>9.075771239050761</v>
      </c>
      <c r="Y171" s="8">
        <f t="shared" si="29"/>
        <v>0.2264431188677295</v>
      </c>
      <c r="Z171" s="8">
        <f t="shared" si="30"/>
        <v>5.8676301296024969E-2</v>
      </c>
      <c r="AA171" s="10">
        <f t="shared" si="31"/>
        <v>5.97528445189556E-2</v>
      </c>
      <c r="AB171" s="12">
        <v>9462.8880000000008</v>
      </c>
      <c r="AC171" s="12">
        <v>8541.86</v>
      </c>
      <c r="AD171" s="8">
        <f t="shared" si="32"/>
        <v>0.10782522776069851</v>
      </c>
    </row>
    <row r="172" spans="1:30" x14ac:dyDescent="0.3">
      <c r="A172" t="s">
        <v>73</v>
      </c>
      <c r="B172" s="11">
        <v>2021</v>
      </c>
      <c r="C172" s="12">
        <v>1029.0419999999999</v>
      </c>
      <c r="D172" s="12">
        <v>9292.1919999999991</v>
      </c>
      <c r="E172" s="12">
        <v>1326.8240000000001</v>
      </c>
      <c r="F172" s="12">
        <v>909.98500000000001</v>
      </c>
      <c r="G172" s="12">
        <v>10619.017</v>
      </c>
      <c r="H172" s="12">
        <v>4606.3829999999998</v>
      </c>
      <c r="I172" s="12">
        <v>6012.634</v>
      </c>
      <c r="J172" s="12">
        <v>4563</v>
      </c>
      <c r="K172" s="5">
        <v>1.8347155481044399E-2</v>
      </c>
      <c r="L172" s="5">
        <v>2.5537285264813078E-2</v>
      </c>
      <c r="M172" s="8">
        <v>7.8100000000000003E-2</v>
      </c>
      <c r="N172" s="12">
        <v>23159.782592592601</v>
      </c>
      <c r="O172" s="3">
        <f t="shared" si="22"/>
        <v>34</v>
      </c>
      <c r="P172" s="13">
        <v>1988</v>
      </c>
      <c r="Q172" s="14">
        <v>124.27</v>
      </c>
      <c r="R172" s="14">
        <v>171.88</v>
      </c>
      <c r="S172" s="4">
        <f t="shared" si="23"/>
        <v>16.744625219813141</v>
      </c>
      <c r="T172" s="8">
        <f t="shared" si="24"/>
        <v>0.17114662226238947</v>
      </c>
      <c r="U172" s="8">
        <f t="shared" si="25"/>
        <v>9.6905579866761668E-2</v>
      </c>
      <c r="V172" s="9">
        <f t="shared" si="26"/>
        <v>0.76611731231270686</v>
      </c>
      <c r="W172">
        <f t="shared" si="27"/>
        <v>2.0364216524216521</v>
      </c>
      <c r="X172">
        <f t="shared" si="28"/>
        <v>8.7287753563879011</v>
      </c>
      <c r="Y172" s="8">
        <f t="shared" si="29"/>
        <v>8.5693901799008335E-2</v>
      </c>
      <c r="Z172" s="8">
        <f t="shared" si="30"/>
        <v>5.8676301296024969E-2</v>
      </c>
      <c r="AA172" s="10">
        <f t="shared" si="31"/>
        <v>5.97528445189556E-2</v>
      </c>
      <c r="AB172" s="12">
        <v>19735.646000000001</v>
      </c>
      <c r="AC172" s="12">
        <v>17681.913</v>
      </c>
      <c r="AD172" s="8">
        <f t="shared" si="32"/>
        <v>0.11614880132030964</v>
      </c>
    </row>
    <row r="173" spans="1:30" x14ac:dyDescent="0.3">
      <c r="A173" t="s">
        <v>74</v>
      </c>
      <c r="B173" s="11">
        <v>2021</v>
      </c>
      <c r="C173" s="12">
        <v>398.24200000000002</v>
      </c>
      <c r="D173" s="12">
        <v>4977.5540000000001</v>
      </c>
      <c r="E173" s="12">
        <v>414.74299999999999</v>
      </c>
      <c r="F173" s="12">
        <v>287.71699999999998</v>
      </c>
      <c r="G173" s="12">
        <v>5392.2969999999996</v>
      </c>
      <c r="H173" s="12">
        <v>4023.2049999999999</v>
      </c>
      <c r="I173" s="12">
        <v>1369.0909999999999</v>
      </c>
      <c r="J173" s="12">
        <v>4022.37</v>
      </c>
      <c r="K173" s="5">
        <v>1.8347155481044399E-2</v>
      </c>
      <c r="L173" s="5">
        <v>2.5537285264813078E-2</v>
      </c>
      <c r="M173" s="8">
        <v>7.8100000000000003E-2</v>
      </c>
      <c r="N173" s="12">
        <v>23159.782592592601</v>
      </c>
      <c r="O173" s="3">
        <f t="shared" si="22"/>
        <v>18</v>
      </c>
      <c r="P173" s="13">
        <v>2004</v>
      </c>
      <c r="Q173" s="14">
        <v>124.27</v>
      </c>
      <c r="R173" s="14">
        <v>171.88</v>
      </c>
      <c r="S173" s="4">
        <f t="shared" si="23"/>
        <v>16.744625219813141</v>
      </c>
      <c r="T173" s="8">
        <f t="shared" si="24"/>
        <v>0.29088059157499396</v>
      </c>
      <c r="U173" s="8">
        <f t="shared" si="25"/>
        <v>7.3853869695975585E-2</v>
      </c>
      <c r="V173" s="9">
        <f t="shared" si="26"/>
        <v>2.9385957544093126</v>
      </c>
      <c r="W173">
        <f t="shared" si="27"/>
        <v>1.2374679604312881</v>
      </c>
      <c r="X173">
        <f t="shared" si="28"/>
        <v>8.0511003597588786</v>
      </c>
      <c r="Y173" s="8">
        <f t="shared" si="29"/>
        <v>5.3357038753614645E-2</v>
      </c>
      <c r="Z173" s="8">
        <f t="shared" si="30"/>
        <v>5.8676301296024969E-2</v>
      </c>
      <c r="AA173" s="10">
        <f t="shared" si="31"/>
        <v>5.97528445189556E-2</v>
      </c>
      <c r="AB173" s="12">
        <v>5719.8320000000003</v>
      </c>
      <c r="AC173" s="12">
        <v>4931.4030000000002</v>
      </c>
      <c r="AD173" s="8">
        <f t="shared" si="32"/>
        <v>0.15987924734603925</v>
      </c>
    </row>
    <row r="174" spans="1:30" x14ac:dyDescent="0.3">
      <c r="A174" t="s">
        <v>75</v>
      </c>
      <c r="B174" s="11">
        <v>2021</v>
      </c>
      <c r="C174" s="12">
        <v>3929.306</v>
      </c>
      <c r="D174" s="12">
        <v>22877.032999999999</v>
      </c>
      <c r="E174" s="12">
        <v>7609.991</v>
      </c>
      <c r="F174" s="12">
        <v>4401.8</v>
      </c>
      <c r="G174" s="12">
        <v>30487.024000000001</v>
      </c>
      <c r="H174" s="12">
        <v>7892.2389999999996</v>
      </c>
      <c r="I174" s="12">
        <v>22594.786</v>
      </c>
      <c r="J174" s="12">
        <v>7258.02</v>
      </c>
      <c r="K174" s="5">
        <v>1.8347155481044399E-2</v>
      </c>
      <c r="L174" s="5">
        <v>2.5537285264813078E-2</v>
      </c>
      <c r="M174" s="8">
        <v>7.8100000000000003E-2</v>
      </c>
      <c r="N174" s="12">
        <v>23159.782592592601</v>
      </c>
      <c r="O174" s="3">
        <f t="shared" si="22"/>
        <v>19</v>
      </c>
      <c r="P174" s="13">
        <v>2003</v>
      </c>
      <c r="Q174" s="14">
        <v>124.27</v>
      </c>
      <c r="R174" s="14">
        <v>171.88</v>
      </c>
      <c r="S174" s="4">
        <f t="shared" si="23"/>
        <v>16.744625219813141</v>
      </c>
      <c r="T174" s="8">
        <f t="shared" si="24"/>
        <v>0.17390321820264198</v>
      </c>
      <c r="U174" s="8">
        <f t="shared" si="25"/>
        <v>0.12888453789389218</v>
      </c>
      <c r="V174" s="9">
        <f t="shared" si="26"/>
        <v>0.34929470011355718</v>
      </c>
      <c r="W174">
        <f t="shared" si="27"/>
        <v>3.1519661009476412</v>
      </c>
      <c r="X174">
        <f t="shared" si="28"/>
        <v>9.7834300565274592</v>
      </c>
      <c r="Y174" s="8">
        <f t="shared" si="29"/>
        <v>0.14438273804619303</v>
      </c>
      <c r="Z174" s="8">
        <f t="shared" si="30"/>
        <v>5.8676301296024969E-2</v>
      </c>
      <c r="AA174" s="10">
        <f t="shared" si="31"/>
        <v>5.97528445189556E-2</v>
      </c>
      <c r="AB174" s="12">
        <v>26578.007000000001</v>
      </c>
      <c r="AC174" s="12">
        <v>28135.623</v>
      </c>
      <c r="AD174" s="8">
        <f t="shared" si="32"/>
        <v>-5.5360992006468032E-2</v>
      </c>
    </row>
    <row r="175" spans="1:30" x14ac:dyDescent="0.3">
      <c r="A175" t="s">
        <v>76</v>
      </c>
      <c r="B175" s="11">
        <v>2021</v>
      </c>
      <c r="C175" s="12">
        <v>440.75</v>
      </c>
      <c r="D175" s="12">
        <v>15019.928</v>
      </c>
      <c r="E175" s="12">
        <v>8480.0190000000002</v>
      </c>
      <c r="F175" s="12">
        <v>4397.3450000000003</v>
      </c>
      <c r="G175" s="12">
        <v>23499.947</v>
      </c>
      <c r="H175" s="12">
        <v>14058.376</v>
      </c>
      <c r="I175" s="12">
        <v>9441.5720000000001</v>
      </c>
      <c r="J175" s="12">
        <v>10576.66</v>
      </c>
      <c r="K175" s="5">
        <v>1.8347155481044399E-2</v>
      </c>
      <c r="L175" s="5">
        <v>2.5537285264813078E-2</v>
      </c>
      <c r="M175" s="8">
        <v>7.8100000000000003E-2</v>
      </c>
      <c r="N175" s="12">
        <v>23159.782592592601</v>
      </c>
      <c r="O175" s="3">
        <f t="shared" si="22"/>
        <v>27</v>
      </c>
      <c r="P175" s="13">
        <v>1995</v>
      </c>
      <c r="Q175" s="14">
        <v>124.27</v>
      </c>
      <c r="R175" s="14">
        <v>171.88</v>
      </c>
      <c r="S175" s="4">
        <f t="shared" si="23"/>
        <v>16.744625219813141</v>
      </c>
      <c r="T175" s="8">
        <f t="shared" si="24"/>
        <v>4.6681844930060376E-2</v>
      </c>
      <c r="U175" s="8">
        <f t="shared" si="25"/>
        <v>1.8755361448261988E-2</v>
      </c>
      <c r="V175" s="9">
        <f t="shared" si="26"/>
        <v>1.4889867916063131</v>
      </c>
      <c r="W175">
        <f t="shared" si="27"/>
        <v>1.4201012417908867</v>
      </c>
      <c r="X175">
        <f t="shared" si="28"/>
        <v>9.5231270718918548</v>
      </c>
      <c r="Y175" s="8">
        <f t="shared" si="29"/>
        <v>0.18712148584845745</v>
      </c>
      <c r="Z175" s="8">
        <f t="shared" si="30"/>
        <v>5.8676301296024969E-2</v>
      </c>
      <c r="AA175" s="10">
        <f t="shared" si="31"/>
        <v>5.97528445189556E-2</v>
      </c>
      <c r="AB175" s="12">
        <v>9322.634</v>
      </c>
      <c r="AC175" s="12">
        <v>14250.472</v>
      </c>
      <c r="AD175" s="8">
        <f t="shared" si="32"/>
        <v>-0.34580173905818695</v>
      </c>
    </row>
    <row r="176" spans="1:30" x14ac:dyDescent="0.3">
      <c r="A176" t="s">
        <v>77</v>
      </c>
      <c r="B176" s="11">
        <v>2021</v>
      </c>
      <c r="C176" s="12">
        <v>158.68899999999999</v>
      </c>
      <c r="D176" s="12">
        <v>490.517</v>
      </c>
      <c r="E176" s="12">
        <v>446.58100000000002</v>
      </c>
      <c r="F176" s="12">
        <v>377.97899999999998</v>
      </c>
      <c r="G176" s="12">
        <v>937.09799999999996</v>
      </c>
      <c r="H176" s="12">
        <v>383.005</v>
      </c>
      <c r="I176" s="12">
        <v>554.09400000000005</v>
      </c>
      <c r="J176" s="12">
        <v>357</v>
      </c>
      <c r="K176" s="5">
        <v>1.8347155481044399E-2</v>
      </c>
      <c r="L176" s="5">
        <v>2.5537285264813078E-2</v>
      </c>
      <c r="M176" s="8">
        <v>7.8100000000000003E-2</v>
      </c>
      <c r="N176" s="12">
        <v>23159.782592592601</v>
      </c>
      <c r="O176" s="3">
        <f t="shared" si="22"/>
        <v>14</v>
      </c>
      <c r="P176" s="13">
        <v>2008</v>
      </c>
      <c r="Q176" s="14">
        <v>124.27</v>
      </c>
      <c r="R176" s="14">
        <v>171.88</v>
      </c>
      <c r="S176" s="4">
        <f t="shared" si="23"/>
        <v>16.744625219813141</v>
      </c>
      <c r="T176" s="8">
        <f t="shared" si="24"/>
        <v>0.28639364439968668</v>
      </c>
      <c r="U176" s="8">
        <f t="shared" si="25"/>
        <v>0.16934088003602613</v>
      </c>
      <c r="V176" s="9">
        <f t="shared" si="26"/>
        <v>0.69122748125769262</v>
      </c>
      <c r="W176">
        <f t="shared" si="27"/>
        <v>1.3739971988795519</v>
      </c>
      <c r="X176">
        <f t="shared" si="28"/>
        <v>6.3011614929648534</v>
      </c>
      <c r="Y176" s="8">
        <f t="shared" si="29"/>
        <v>0.403350556718721</v>
      </c>
      <c r="Z176" s="8">
        <f t="shared" si="30"/>
        <v>5.8676301296024969E-2</v>
      </c>
      <c r="AA176" s="10">
        <f t="shared" si="31"/>
        <v>5.97528445189556E-2</v>
      </c>
      <c r="AB176" s="12">
        <v>1191.309</v>
      </c>
      <c r="AC176" s="12">
        <v>1207.165</v>
      </c>
      <c r="AD176" s="8">
        <f t="shared" si="32"/>
        <v>-1.3134906992830304E-2</v>
      </c>
    </row>
    <row r="177" spans="1:30" x14ac:dyDescent="0.3">
      <c r="A177" t="s">
        <v>78</v>
      </c>
      <c r="B177" s="11">
        <v>2021</v>
      </c>
      <c r="C177" s="12">
        <v>40.045000000000002</v>
      </c>
      <c r="D177" s="12">
        <v>507.041</v>
      </c>
      <c r="E177" s="12">
        <v>728.33</v>
      </c>
      <c r="F177" s="12">
        <v>54.462000000000003</v>
      </c>
      <c r="G177" s="12">
        <v>1235.3710000000001</v>
      </c>
      <c r="H177" s="12">
        <v>802.779</v>
      </c>
      <c r="I177" s="12">
        <v>432.59300000000002</v>
      </c>
      <c r="J177" s="12">
        <v>514.73</v>
      </c>
      <c r="K177" s="5">
        <v>1.8347155481044399E-2</v>
      </c>
      <c r="L177" s="5">
        <v>2.5537285264813078E-2</v>
      </c>
      <c r="M177" s="8">
        <v>7.8100000000000003E-2</v>
      </c>
      <c r="N177" s="12">
        <v>23159.782592592601</v>
      </c>
      <c r="O177" s="3">
        <f t="shared" si="22"/>
        <v>62</v>
      </c>
      <c r="P177" s="13">
        <v>1960</v>
      </c>
      <c r="Q177" s="14">
        <v>124.27</v>
      </c>
      <c r="R177" s="14">
        <v>171.88</v>
      </c>
      <c r="S177" s="4">
        <f t="shared" si="23"/>
        <v>16.744625219813141</v>
      </c>
      <c r="T177" s="8">
        <f t="shared" si="24"/>
        <v>9.256969021690134E-2</v>
      </c>
      <c r="U177" s="8">
        <f t="shared" si="25"/>
        <v>3.2415363481901389E-2</v>
      </c>
      <c r="V177" s="9">
        <f t="shared" si="26"/>
        <v>1.8557373790144547</v>
      </c>
      <c r="W177">
        <f t="shared" si="27"/>
        <v>0.9850620713772269</v>
      </c>
      <c r="X177">
        <f t="shared" si="28"/>
        <v>6.5775002358891692</v>
      </c>
      <c r="Y177" s="8">
        <f t="shared" si="29"/>
        <v>4.4085541914129438E-2</v>
      </c>
      <c r="Z177" s="8">
        <f t="shared" si="30"/>
        <v>5.8676301296024969E-2</v>
      </c>
      <c r="AA177" s="10">
        <f t="shared" si="31"/>
        <v>5.97528445189556E-2</v>
      </c>
      <c r="AB177" s="12">
        <v>994.86</v>
      </c>
      <c r="AC177" s="12">
        <v>1383.921</v>
      </c>
      <c r="AD177" s="8">
        <f t="shared" si="32"/>
        <v>-0.28112948643744839</v>
      </c>
    </row>
    <row r="178" spans="1:30" x14ac:dyDescent="0.3">
      <c r="A178" t="s">
        <v>79</v>
      </c>
      <c r="B178" s="11">
        <v>2021</v>
      </c>
      <c r="C178" s="12">
        <v>54.447000000000003</v>
      </c>
      <c r="D178" s="12">
        <v>324.65800000000002</v>
      </c>
      <c r="E178" s="12">
        <v>189.774</v>
      </c>
      <c r="F178" s="12">
        <v>70.882000000000005</v>
      </c>
      <c r="G178" s="12">
        <v>514.43200000000002</v>
      </c>
      <c r="H178" s="12">
        <v>140.80099999999999</v>
      </c>
      <c r="I178" s="12">
        <v>373.63099999999997</v>
      </c>
      <c r="J178" s="12">
        <v>140.80000000000001</v>
      </c>
      <c r="K178" s="5">
        <v>1.8347155481044399E-2</v>
      </c>
      <c r="L178" s="5">
        <v>2.5537285264813078E-2</v>
      </c>
      <c r="M178" s="8">
        <v>7.8100000000000003E-2</v>
      </c>
      <c r="N178" s="12">
        <v>23159.782592592601</v>
      </c>
      <c r="O178" s="3">
        <f t="shared" si="22"/>
        <v>46</v>
      </c>
      <c r="P178" s="13">
        <v>1976</v>
      </c>
      <c r="Q178" s="14">
        <v>124.27</v>
      </c>
      <c r="R178" s="14">
        <v>171.88</v>
      </c>
      <c r="S178" s="4">
        <f t="shared" si="23"/>
        <v>16.744625219813141</v>
      </c>
      <c r="T178" s="8">
        <f t="shared" si="24"/>
        <v>0.14572398971177447</v>
      </c>
      <c r="U178" s="8">
        <f t="shared" si="25"/>
        <v>0.10583906133366509</v>
      </c>
      <c r="V178" s="9">
        <f t="shared" si="26"/>
        <v>0.37684506906546833</v>
      </c>
      <c r="W178">
        <f t="shared" si="27"/>
        <v>2.305809659090909</v>
      </c>
      <c r="X178">
        <f t="shared" si="28"/>
        <v>5.7014370064679785</v>
      </c>
      <c r="Y178" s="8">
        <f t="shared" si="29"/>
        <v>0.13778691838765864</v>
      </c>
      <c r="Z178" s="8">
        <f t="shared" si="30"/>
        <v>5.8676301296024969E-2</v>
      </c>
      <c r="AA178" s="10">
        <f t="shared" si="31"/>
        <v>5.97528445189556E-2</v>
      </c>
      <c r="AB178" s="12">
        <v>325.97300000000001</v>
      </c>
      <c r="AC178" s="12">
        <v>468.279</v>
      </c>
      <c r="AD178" s="8">
        <f t="shared" si="32"/>
        <v>-0.30389148349595002</v>
      </c>
    </row>
    <row r="179" spans="1:30" x14ac:dyDescent="0.3">
      <c r="A179" t="s">
        <v>80</v>
      </c>
      <c r="B179" s="11">
        <v>2021</v>
      </c>
      <c r="C179" s="12">
        <v>278.48</v>
      </c>
      <c r="D179" s="12">
        <v>986.23</v>
      </c>
      <c r="E179" s="12">
        <v>984.90899999999999</v>
      </c>
      <c r="F179" s="12">
        <v>806.745</v>
      </c>
      <c r="G179" s="12">
        <v>1971.14</v>
      </c>
      <c r="H179" s="12">
        <v>712.14599999999996</v>
      </c>
      <c r="I179" s="12">
        <v>1258.9929999999999</v>
      </c>
      <c r="J179" s="12">
        <v>711.87</v>
      </c>
      <c r="K179" s="5">
        <v>1.8347155481044399E-2</v>
      </c>
      <c r="L179" s="5">
        <v>2.5537285264813078E-2</v>
      </c>
      <c r="M179" s="8">
        <v>7.8100000000000003E-2</v>
      </c>
      <c r="N179" s="12">
        <v>23159.782592592601</v>
      </c>
      <c r="O179" s="3">
        <f t="shared" si="22"/>
        <v>22</v>
      </c>
      <c r="P179" s="13">
        <v>2000</v>
      </c>
      <c r="Q179" s="14">
        <v>124.27</v>
      </c>
      <c r="R179" s="14">
        <v>171.88</v>
      </c>
      <c r="S179" s="4">
        <f t="shared" si="23"/>
        <v>16.744625219813141</v>
      </c>
      <c r="T179" s="8">
        <f t="shared" si="24"/>
        <v>0.22119265158741949</v>
      </c>
      <c r="U179" s="8">
        <f t="shared" si="25"/>
        <v>0.14127865093296266</v>
      </c>
      <c r="V179" s="9">
        <f t="shared" si="26"/>
        <v>0.56564730701441546</v>
      </c>
      <c r="W179">
        <f t="shared" si="27"/>
        <v>1.3854074479890992</v>
      </c>
      <c r="X179">
        <f t="shared" si="28"/>
        <v>7.0447409616455543</v>
      </c>
      <c r="Y179" s="8">
        <f t="shared" si="29"/>
        <v>0.40927838712623149</v>
      </c>
      <c r="Z179" s="8">
        <f t="shared" si="30"/>
        <v>5.8676301296024969E-2</v>
      </c>
      <c r="AA179" s="10">
        <f t="shared" si="31"/>
        <v>5.97528445189556E-2</v>
      </c>
      <c r="AB179" s="12">
        <v>2043.3710000000001</v>
      </c>
      <c r="AC179" s="12">
        <v>1767.404</v>
      </c>
      <c r="AD179" s="8">
        <f t="shared" si="32"/>
        <v>0.1561425684223868</v>
      </c>
    </row>
    <row r="180" spans="1:30" x14ac:dyDescent="0.3">
      <c r="A180" t="s">
        <v>81</v>
      </c>
      <c r="B180" s="11">
        <v>2021</v>
      </c>
      <c r="C180" s="12">
        <v>211.32900000000001</v>
      </c>
      <c r="D180" s="12">
        <v>2103.4209999999998</v>
      </c>
      <c r="E180" s="12">
        <v>2325.5889999999999</v>
      </c>
      <c r="F180" s="12">
        <v>497.80799999999999</v>
      </c>
      <c r="G180" s="12">
        <v>4429.01</v>
      </c>
      <c r="H180" s="12">
        <v>2559.0059999999999</v>
      </c>
      <c r="I180" s="12">
        <v>1870.0039999999999</v>
      </c>
      <c r="J180" s="12">
        <v>2148.56</v>
      </c>
      <c r="K180" s="5">
        <v>1.8347155481044399E-2</v>
      </c>
      <c r="L180" s="5">
        <v>2.5537285264813078E-2</v>
      </c>
      <c r="M180" s="8">
        <v>7.8100000000000003E-2</v>
      </c>
      <c r="N180" s="12">
        <v>23159.782592592601</v>
      </c>
      <c r="O180" s="3">
        <f t="shared" si="22"/>
        <v>40</v>
      </c>
      <c r="P180" s="13">
        <v>1982</v>
      </c>
      <c r="Q180" s="14">
        <v>124.27</v>
      </c>
      <c r="R180" s="14">
        <v>171.88</v>
      </c>
      <c r="S180" s="4">
        <f t="shared" si="23"/>
        <v>16.744625219813141</v>
      </c>
      <c r="T180" s="8">
        <f t="shared" si="24"/>
        <v>0.11300991869536109</v>
      </c>
      <c r="U180" s="8">
        <f t="shared" si="25"/>
        <v>4.7714726315813243E-2</v>
      </c>
      <c r="V180" s="9">
        <f t="shared" si="26"/>
        <v>1.3684494792524509</v>
      </c>
      <c r="W180">
        <f t="shared" si="27"/>
        <v>0.9789910451651338</v>
      </c>
      <c r="X180">
        <f t="shared" si="28"/>
        <v>7.8543049888479608</v>
      </c>
      <c r="Y180" s="8">
        <f t="shared" si="29"/>
        <v>0.11239712712321714</v>
      </c>
      <c r="Z180" s="8">
        <f t="shared" si="30"/>
        <v>5.8676301296024969E-2</v>
      </c>
      <c r="AA180" s="10">
        <f t="shared" si="31"/>
        <v>5.97528445189556E-2</v>
      </c>
      <c r="AB180" s="12">
        <v>14192.876</v>
      </c>
      <c r="AC180" s="12">
        <v>16084.55</v>
      </c>
      <c r="AD180" s="8">
        <f t="shared" si="32"/>
        <v>-0.11760813948789361</v>
      </c>
    </row>
    <row r="181" spans="1:30" x14ac:dyDescent="0.3">
      <c r="A181" t="s">
        <v>82</v>
      </c>
      <c r="B181" s="11">
        <v>2021</v>
      </c>
      <c r="C181" s="12">
        <v>143.65899999999999</v>
      </c>
      <c r="D181" s="12">
        <v>2351.2600000000002</v>
      </c>
      <c r="E181" s="12">
        <v>1255.1310000000001</v>
      </c>
      <c r="F181" s="12">
        <v>927.71699999999998</v>
      </c>
      <c r="G181" s="12">
        <v>3606.3910000000001</v>
      </c>
      <c r="H181" s="12">
        <v>1897.856</v>
      </c>
      <c r="I181" s="12">
        <v>1708.5350000000001</v>
      </c>
      <c r="J181" s="12">
        <v>1757.42</v>
      </c>
      <c r="K181" s="5">
        <v>1.8347155481044399E-2</v>
      </c>
      <c r="L181" s="5">
        <v>2.5537285264813078E-2</v>
      </c>
      <c r="M181" s="8">
        <v>7.8100000000000003E-2</v>
      </c>
      <c r="N181" s="12">
        <v>23159.782592592601</v>
      </c>
      <c r="O181" s="3">
        <f t="shared" si="22"/>
        <v>46</v>
      </c>
      <c r="P181" s="13">
        <v>1976</v>
      </c>
      <c r="Q181" s="14">
        <v>124.27</v>
      </c>
      <c r="R181" s="14">
        <v>171.88</v>
      </c>
      <c r="S181" s="4">
        <f t="shared" si="23"/>
        <v>16.744625219813141</v>
      </c>
      <c r="T181" s="8">
        <f t="shared" si="24"/>
        <v>8.4083147257738342E-2</v>
      </c>
      <c r="U181" s="8">
        <f t="shared" si="25"/>
        <v>3.9834560367968973E-2</v>
      </c>
      <c r="V181" s="9">
        <f t="shared" si="26"/>
        <v>1.1108089679169579</v>
      </c>
      <c r="W181">
        <f t="shared" si="27"/>
        <v>1.3379044280820749</v>
      </c>
      <c r="X181">
        <f t="shared" si="28"/>
        <v>7.6488364553601977</v>
      </c>
      <c r="Y181" s="8">
        <f t="shared" si="29"/>
        <v>0.25724248979104042</v>
      </c>
      <c r="Z181" s="8">
        <f t="shared" si="30"/>
        <v>5.8676301296024969E-2</v>
      </c>
      <c r="AA181" s="10">
        <f t="shared" si="31"/>
        <v>5.97528445189556E-2</v>
      </c>
      <c r="AB181" s="12">
        <v>3537.498</v>
      </c>
      <c r="AC181" s="12">
        <v>3470.4659999999999</v>
      </c>
      <c r="AD181" s="8">
        <f t="shared" si="32"/>
        <v>1.9314985365077818E-2</v>
      </c>
    </row>
    <row r="182" spans="1:30" x14ac:dyDescent="0.3">
      <c r="A182" t="s">
        <v>83</v>
      </c>
      <c r="B182" s="11">
        <v>2021</v>
      </c>
      <c r="C182" s="12">
        <v>276.70699999999999</v>
      </c>
      <c r="D182" s="12">
        <v>1867.454</v>
      </c>
      <c r="E182" s="12">
        <v>578.68499999999995</v>
      </c>
      <c r="F182" s="12">
        <v>445.54399999999998</v>
      </c>
      <c r="G182" s="12">
        <v>2446.1390000000001</v>
      </c>
      <c r="H182" s="12">
        <v>620.55999999999995</v>
      </c>
      <c r="I182" s="12">
        <v>1825.578</v>
      </c>
      <c r="J182" s="12">
        <v>578.29999999999995</v>
      </c>
      <c r="K182" s="5">
        <v>1.8347155481044399E-2</v>
      </c>
      <c r="L182" s="5">
        <v>2.5537285264813078E-2</v>
      </c>
      <c r="M182" s="8">
        <v>7.8100000000000003E-2</v>
      </c>
      <c r="N182" s="12">
        <v>23159.782592592601</v>
      </c>
      <c r="O182" s="3">
        <f t="shared" si="22"/>
        <v>41</v>
      </c>
      <c r="P182" s="13">
        <v>1981</v>
      </c>
      <c r="Q182" s="14">
        <v>124.27</v>
      </c>
      <c r="R182" s="14">
        <v>171.88</v>
      </c>
      <c r="S182" s="4">
        <f t="shared" si="23"/>
        <v>16.744625219813141</v>
      </c>
      <c r="T182" s="8">
        <f t="shared" si="24"/>
        <v>0.15157226916625857</v>
      </c>
      <c r="U182" s="8">
        <f t="shared" si="25"/>
        <v>0.11311990038178532</v>
      </c>
      <c r="V182" s="9">
        <f t="shared" si="26"/>
        <v>0.33992521820486443</v>
      </c>
      <c r="W182">
        <f t="shared" si="27"/>
        <v>3.2292132111360887</v>
      </c>
      <c r="X182">
        <f t="shared" si="28"/>
        <v>7.2606397691872209</v>
      </c>
      <c r="Y182" s="8">
        <f t="shared" si="29"/>
        <v>0.18214173438222439</v>
      </c>
      <c r="Z182" s="8">
        <f t="shared" si="30"/>
        <v>5.8676301296024969E-2</v>
      </c>
      <c r="AA182" s="10">
        <f t="shared" si="31"/>
        <v>5.97528445189556E-2</v>
      </c>
      <c r="AB182" s="12">
        <v>2686.8510000000001</v>
      </c>
      <c r="AC182" s="12">
        <v>2738.4009999999998</v>
      </c>
      <c r="AD182" s="8">
        <f t="shared" si="32"/>
        <v>-1.8824854358437546E-2</v>
      </c>
    </row>
    <row r="183" spans="1:30" x14ac:dyDescent="0.3">
      <c r="A183" t="s">
        <v>84</v>
      </c>
      <c r="B183" s="11">
        <v>2021</v>
      </c>
      <c r="C183" s="12">
        <v>41.365000000000002</v>
      </c>
      <c r="D183" s="12">
        <v>2726.7310000000002</v>
      </c>
      <c r="E183" s="12">
        <v>394.04</v>
      </c>
      <c r="F183" s="12">
        <v>310.77999999999997</v>
      </c>
      <c r="G183" s="12">
        <v>3120.7710000000002</v>
      </c>
      <c r="H183" s="12">
        <v>2661.9650000000001</v>
      </c>
      <c r="I183" s="12">
        <v>458.80599999999998</v>
      </c>
      <c r="J183" s="12">
        <v>2597.12</v>
      </c>
      <c r="K183" s="5">
        <v>1.8347155481044399E-2</v>
      </c>
      <c r="L183" s="5">
        <v>2.5537285264813078E-2</v>
      </c>
      <c r="M183" s="8">
        <v>7.8100000000000003E-2</v>
      </c>
      <c r="N183" s="12">
        <v>23159.782592592601</v>
      </c>
      <c r="O183" s="3">
        <f t="shared" si="22"/>
        <v>46</v>
      </c>
      <c r="P183" s="13">
        <v>1976</v>
      </c>
      <c r="Q183" s="14">
        <v>124.27</v>
      </c>
      <c r="R183" s="14">
        <v>171.88</v>
      </c>
      <c r="S183" s="4">
        <f t="shared" si="23"/>
        <v>16.744625219813141</v>
      </c>
      <c r="T183" s="8">
        <f t="shared" si="24"/>
        <v>9.0157931674825539E-2</v>
      </c>
      <c r="U183" s="8">
        <f t="shared" si="25"/>
        <v>1.3254737370989412E-2</v>
      </c>
      <c r="V183" s="9">
        <f t="shared" si="26"/>
        <v>5.8019402536148181</v>
      </c>
      <c r="W183">
        <f t="shared" si="27"/>
        <v>1.0499056647363234</v>
      </c>
      <c r="X183">
        <f t="shared" si="28"/>
        <v>7.5042089927414635</v>
      </c>
      <c r="Y183" s="8">
        <f t="shared" si="29"/>
        <v>9.9584365530184668E-2</v>
      </c>
      <c r="Z183" s="8">
        <f t="shared" si="30"/>
        <v>5.8676301296024969E-2</v>
      </c>
      <c r="AA183" s="10">
        <f t="shared" si="31"/>
        <v>5.97528445189556E-2</v>
      </c>
      <c r="AB183" s="12">
        <v>2523.2530000000002</v>
      </c>
      <c r="AC183" s="12">
        <v>1779.915</v>
      </c>
      <c r="AD183" s="8">
        <f t="shared" si="32"/>
        <v>0.41762556077116053</v>
      </c>
    </row>
    <row r="184" spans="1:30" x14ac:dyDescent="0.3">
      <c r="A184" t="s">
        <v>85</v>
      </c>
      <c r="B184" s="11">
        <v>2021</v>
      </c>
      <c r="C184" s="12">
        <v>87.850999999999999</v>
      </c>
      <c r="D184" s="12">
        <v>856.83299999999997</v>
      </c>
      <c r="E184" s="12">
        <v>533.95500000000004</v>
      </c>
      <c r="F184" s="12">
        <v>434.32</v>
      </c>
      <c r="G184" s="12">
        <v>1390.788</v>
      </c>
      <c r="H184" s="12">
        <v>761.34299999999996</v>
      </c>
      <c r="I184" s="12">
        <v>629.44500000000005</v>
      </c>
      <c r="J184" s="12">
        <v>694.22</v>
      </c>
      <c r="K184" s="5">
        <v>1.8347155481044399E-2</v>
      </c>
      <c r="L184" s="5">
        <v>2.5537285264813078E-2</v>
      </c>
      <c r="M184" s="8">
        <v>7.8100000000000003E-2</v>
      </c>
      <c r="N184" s="12">
        <v>23159.782592592601</v>
      </c>
      <c r="O184" s="3">
        <f t="shared" si="22"/>
        <v>62</v>
      </c>
      <c r="P184" s="13">
        <v>1960</v>
      </c>
      <c r="Q184" s="14">
        <v>124.27</v>
      </c>
      <c r="R184" s="14">
        <v>171.88</v>
      </c>
      <c r="S184" s="4">
        <f t="shared" si="23"/>
        <v>16.744625219813141</v>
      </c>
      <c r="T184" s="8">
        <f t="shared" si="24"/>
        <v>0.13956898537600584</v>
      </c>
      <c r="U184" s="8">
        <f t="shared" si="25"/>
        <v>6.3166348861221119E-2</v>
      </c>
      <c r="V184" s="9">
        <f t="shared" si="26"/>
        <v>1.2095465052546288</v>
      </c>
      <c r="W184">
        <f t="shared" si="27"/>
        <v>1.2342384258592376</v>
      </c>
      <c r="X184">
        <f t="shared" si="28"/>
        <v>6.6959993990500841</v>
      </c>
      <c r="Y184" s="8">
        <f t="shared" si="29"/>
        <v>0.31228339617540557</v>
      </c>
      <c r="Z184" s="8">
        <f t="shared" si="30"/>
        <v>5.8676301296024969E-2</v>
      </c>
      <c r="AA184" s="10">
        <f t="shared" si="31"/>
        <v>5.97528445189556E-2</v>
      </c>
      <c r="AB184" s="12">
        <v>1478.154</v>
      </c>
      <c r="AC184" s="12">
        <v>1861.903</v>
      </c>
      <c r="AD184" s="8">
        <f t="shared" si="32"/>
        <v>-0.20610579605919321</v>
      </c>
    </row>
    <row r="185" spans="1:30" x14ac:dyDescent="0.3">
      <c r="A185" t="s">
        <v>86</v>
      </c>
      <c r="B185" s="11">
        <v>2021</v>
      </c>
      <c r="C185" s="12">
        <v>428.53199999999998</v>
      </c>
      <c r="D185" s="12">
        <v>1496.9880000000001</v>
      </c>
      <c r="E185" s="12">
        <v>448.59</v>
      </c>
      <c r="F185" s="12">
        <v>410.95299999999997</v>
      </c>
      <c r="G185" s="12">
        <v>1945.578</v>
      </c>
      <c r="H185" s="12">
        <v>683.08699999999999</v>
      </c>
      <c r="I185" s="12">
        <v>1262.491</v>
      </c>
      <c r="J185" s="12">
        <v>676.08</v>
      </c>
      <c r="K185" s="5">
        <v>1.8347155481044399E-2</v>
      </c>
      <c r="L185" s="5">
        <v>2.5537285264813078E-2</v>
      </c>
      <c r="M185" s="8">
        <v>7.8100000000000003E-2</v>
      </c>
      <c r="N185" s="12">
        <v>23159.782592592601</v>
      </c>
      <c r="O185" s="3">
        <f t="shared" si="22"/>
        <v>53</v>
      </c>
      <c r="P185" s="13">
        <v>1969</v>
      </c>
      <c r="Q185" s="14">
        <v>124.27</v>
      </c>
      <c r="R185" s="14">
        <v>171.88</v>
      </c>
      <c r="S185" s="4">
        <f t="shared" si="23"/>
        <v>16.744625219813141</v>
      </c>
      <c r="T185" s="8">
        <f t="shared" si="24"/>
        <v>0.33943370685414787</v>
      </c>
      <c r="U185" s="8">
        <f t="shared" si="25"/>
        <v>0.22025948073014806</v>
      </c>
      <c r="V185" s="9">
        <f t="shared" si="26"/>
        <v>0.54106286698281414</v>
      </c>
      <c r="W185">
        <f t="shared" si="27"/>
        <v>2.2142172523961663</v>
      </c>
      <c r="X185">
        <f t="shared" si="28"/>
        <v>7.0316880112234248</v>
      </c>
      <c r="Y185" s="8">
        <f t="shared" si="29"/>
        <v>0.21122411951615405</v>
      </c>
      <c r="Z185" s="8">
        <f t="shared" si="30"/>
        <v>5.8676301296024969E-2</v>
      </c>
      <c r="AA185" s="10">
        <f t="shared" si="31"/>
        <v>5.97528445189556E-2</v>
      </c>
      <c r="AB185" s="12">
        <v>2219.0819999999999</v>
      </c>
      <c r="AC185" s="12">
        <v>2902.4549999999999</v>
      </c>
      <c r="AD185" s="8">
        <f t="shared" si="32"/>
        <v>-0.23544654439086912</v>
      </c>
    </row>
    <row r="186" spans="1:30" x14ac:dyDescent="0.3">
      <c r="A186" t="s">
        <v>87</v>
      </c>
      <c r="B186" s="11">
        <v>2021</v>
      </c>
      <c r="C186" s="12">
        <v>1106.5540000000001</v>
      </c>
      <c r="D186" s="12">
        <v>5542.5889999999999</v>
      </c>
      <c r="E186" s="12">
        <v>3195.038</v>
      </c>
      <c r="F186" s="12">
        <v>2066.6889999999999</v>
      </c>
      <c r="G186" s="12">
        <v>8737.6270000000004</v>
      </c>
      <c r="H186" s="12">
        <v>2853.6779999999999</v>
      </c>
      <c r="I186" s="12">
        <v>5883.9489999999996</v>
      </c>
      <c r="J186" s="12">
        <v>2680.07</v>
      </c>
      <c r="K186" s="5">
        <v>1.8347155481044399E-2</v>
      </c>
      <c r="L186" s="5">
        <v>2.5537285264813078E-2</v>
      </c>
      <c r="M186" s="8">
        <v>7.8100000000000003E-2</v>
      </c>
      <c r="N186" s="12">
        <v>23159.782592592601</v>
      </c>
      <c r="O186" s="3">
        <f t="shared" si="22"/>
        <v>25</v>
      </c>
      <c r="P186" s="13">
        <v>1997</v>
      </c>
      <c r="Q186" s="14">
        <v>124.27</v>
      </c>
      <c r="R186" s="14">
        <v>171.88</v>
      </c>
      <c r="S186" s="4">
        <f t="shared" si="23"/>
        <v>16.744625219813141</v>
      </c>
      <c r="T186" s="8">
        <f t="shared" si="24"/>
        <v>0.18806315282474409</v>
      </c>
      <c r="U186" s="8">
        <f t="shared" si="25"/>
        <v>0.12664239386735093</v>
      </c>
      <c r="V186" s="9">
        <f t="shared" si="26"/>
        <v>0.48499366666842286</v>
      </c>
      <c r="W186">
        <f t="shared" si="27"/>
        <v>2.0680762069647431</v>
      </c>
      <c r="X186">
        <f t="shared" si="28"/>
        <v>8.533767548567802</v>
      </c>
      <c r="Y186" s="8">
        <f t="shared" si="29"/>
        <v>0.23652749196091796</v>
      </c>
      <c r="Z186" s="8">
        <f t="shared" si="30"/>
        <v>5.8676301296024969E-2</v>
      </c>
      <c r="AA186" s="10">
        <f t="shared" si="31"/>
        <v>5.97528445189556E-2</v>
      </c>
      <c r="AB186" s="12">
        <v>9060.3289999999997</v>
      </c>
      <c r="AC186" s="12">
        <v>7165.4059999999999</v>
      </c>
      <c r="AD186" s="8">
        <f t="shared" si="32"/>
        <v>0.26445437983555986</v>
      </c>
    </row>
    <row r="187" spans="1:30" x14ac:dyDescent="0.3">
      <c r="A187" t="s">
        <v>88</v>
      </c>
      <c r="B187" s="11">
        <v>2021</v>
      </c>
      <c r="C187" s="12">
        <v>10632.536</v>
      </c>
      <c r="D187" s="12">
        <v>36109.911</v>
      </c>
      <c r="E187" s="12">
        <v>17222.492999999999</v>
      </c>
      <c r="F187" s="12">
        <v>12706.599</v>
      </c>
      <c r="G187" s="12">
        <v>53332.402999999998</v>
      </c>
      <c r="H187" s="12">
        <v>17482.289000000001</v>
      </c>
      <c r="I187" s="12">
        <v>35850.114000000001</v>
      </c>
      <c r="J187" s="12">
        <v>17068.419999999998</v>
      </c>
      <c r="K187" s="5">
        <v>1.8347155481044399E-2</v>
      </c>
      <c r="L187" s="5">
        <v>2.5537285264813078E-2</v>
      </c>
      <c r="M187" s="8">
        <v>7.8100000000000003E-2</v>
      </c>
      <c r="N187" s="12">
        <v>23159.782592592601</v>
      </c>
      <c r="O187" s="3">
        <f t="shared" si="22"/>
        <v>46</v>
      </c>
      <c r="P187" s="13">
        <v>1976</v>
      </c>
      <c r="Q187" s="14">
        <v>124.27</v>
      </c>
      <c r="R187" s="14">
        <v>171.88</v>
      </c>
      <c r="S187" s="4">
        <f t="shared" si="23"/>
        <v>16.744625219813141</v>
      </c>
      <c r="T187" s="8">
        <f t="shared" si="24"/>
        <v>0.2965830457331321</v>
      </c>
      <c r="U187" s="8">
        <f t="shared" si="25"/>
        <v>0.1993635276475354</v>
      </c>
      <c r="V187" s="9">
        <f t="shared" si="26"/>
        <v>0.48764946744660281</v>
      </c>
      <c r="W187">
        <f t="shared" si="27"/>
        <v>2.1155977530433399</v>
      </c>
      <c r="X187">
        <f t="shared" si="28"/>
        <v>10.342672988727008</v>
      </c>
      <c r="Y187" s="8">
        <f t="shared" si="29"/>
        <v>0.23825288727380239</v>
      </c>
      <c r="Z187" s="8">
        <f t="shared" si="30"/>
        <v>5.8676301296024969E-2</v>
      </c>
      <c r="AA187" s="10">
        <f t="shared" si="31"/>
        <v>5.97528445189556E-2</v>
      </c>
      <c r="AB187" s="12">
        <v>61012.074000000001</v>
      </c>
      <c r="AC187" s="12">
        <v>59722.908000000003</v>
      </c>
      <c r="AD187" s="8">
        <f t="shared" si="32"/>
        <v>2.1585787483757446E-2</v>
      </c>
    </row>
    <row r="188" spans="1:30" x14ac:dyDescent="0.3">
      <c r="A188" s="2" t="s">
        <v>27</v>
      </c>
      <c r="B188" s="3">
        <v>2020</v>
      </c>
      <c r="C188" s="4">
        <v>-11.967000000000001</v>
      </c>
      <c r="D188" s="4">
        <v>171.28200000000001</v>
      </c>
      <c r="E188" s="4">
        <v>39.536999999999999</v>
      </c>
      <c r="F188" s="4">
        <v>28.661000000000001</v>
      </c>
      <c r="G188" s="4">
        <v>210.81899999999999</v>
      </c>
      <c r="H188" s="4">
        <v>16.718</v>
      </c>
      <c r="I188" s="4">
        <v>194.101</v>
      </c>
      <c r="J188" s="4">
        <v>15.5</v>
      </c>
      <c r="K188" s="5">
        <v>3.2209343665251404E-2</v>
      </c>
      <c r="L188" s="5">
        <v>2.8654132091227212E-2</v>
      </c>
      <c r="M188" s="5">
        <v>7.6499999999999999E-2</v>
      </c>
      <c r="N188" s="4">
        <v>23208.368333333299</v>
      </c>
      <c r="O188" s="3">
        <f t="shared" si="22"/>
        <v>42</v>
      </c>
      <c r="P188" s="6">
        <v>1979</v>
      </c>
      <c r="Q188" s="7">
        <v>118.69</v>
      </c>
      <c r="R188" s="7">
        <v>168.78</v>
      </c>
      <c r="S188" s="4">
        <f t="shared" si="23"/>
        <v>16.320661437867813</v>
      </c>
      <c r="T188" s="8">
        <f t="shared" si="24"/>
        <v>-6.1653469070226327E-2</v>
      </c>
      <c r="U188" s="8">
        <f t="shared" si="25"/>
        <v>-5.6764333385510797E-2</v>
      </c>
      <c r="V188" s="9">
        <f t="shared" si="26"/>
        <v>8.6130416638760227E-2</v>
      </c>
      <c r="W188">
        <f t="shared" si="27"/>
        <v>11.050451612903226</v>
      </c>
      <c r="X188">
        <f t="shared" si="28"/>
        <v>4.8275740396910836</v>
      </c>
      <c r="Y188" s="8">
        <f t="shared" si="29"/>
        <v>0.13595074447749017</v>
      </c>
      <c r="Z188" s="8">
        <f t="shared" si="30"/>
        <v>4.2908598538236253E-2</v>
      </c>
      <c r="AA188" s="10">
        <f t="shared" si="31"/>
        <v>4.4290656334748595E-2</v>
      </c>
      <c r="AB188" s="12">
        <v>122.651</v>
      </c>
      <c r="AC188" s="12">
        <v>225.54300000000001</v>
      </c>
      <c r="AD188" s="8">
        <f t="shared" si="32"/>
        <v>-0.45619682277880497</v>
      </c>
    </row>
    <row r="189" spans="1:30" x14ac:dyDescent="0.3">
      <c r="A189" t="s">
        <v>28</v>
      </c>
      <c r="B189" s="11">
        <v>2020</v>
      </c>
      <c r="C189" s="12">
        <v>14.038</v>
      </c>
      <c r="D189" s="12">
        <v>172.57499999999999</v>
      </c>
      <c r="E189" s="12">
        <v>407.28800000000001</v>
      </c>
      <c r="F189" s="12">
        <v>297.48</v>
      </c>
      <c r="G189" s="12">
        <v>579.86400000000003</v>
      </c>
      <c r="H189" s="12">
        <v>154.93</v>
      </c>
      <c r="I189" s="12">
        <v>424.93400000000003</v>
      </c>
      <c r="J189" s="12">
        <v>92.18</v>
      </c>
      <c r="K189" s="5">
        <v>3.2209343665251404E-2</v>
      </c>
      <c r="L189" s="5">
        <v>2.8654132091227212E-2</v>
      </c>
      <c r="M189" s="8">
        <v>7.6499999999999999E-2</v>
      </c>
      <c r="N189" s="12">
        <v>23208.368333333299</v>
      </c>
      <c r="O189" s="3">
        <f t="shared" si="22"/>
        <v>26</v>
      </c>
      <c r="P189" s="13">
        <v>1995</v>
      </c>
      <c r="Q189" s="14">
        <v>118.69</v>
      </c>
      <c r="R189" s="14">
        <v>168.78</v>
      </c>
      <c r="S189" s="4">
        <f t="shared" si="23"/>
        <v>16.320661437867813</v>
      </c>
      <c r="T189" s="8">
        <f t="shared" si="24"/>
        <v>3.3035718488047552E-2</v>
      </c>
      <c r="U189" s="8">
        <f t="shared" si="25"/>
        <v>2.4209124898252003E-2</v>
      </c>
      <c r="V189" s="9">
        <f t="shared" si="26"/>
        <v>0.36459779636367057</v>
      </c>
      <c r="W189">
        <f t="shared" si="27"/>
        <v>1.8721523106964633</v>
      </c>
      <c r="X189">
        <f t="shared" si="28"/>
        <v>5.8393676875447351</v>
      </c>
      <c r="Y189" s="8">
        <f t="shared" si="29"/>
        <v>0.51301684532924963</v>
      </c>
      <c r="Z189" s="8">
        <f t="shared" si="30"/>
        <v>4.2908598538236253E-2</v>
      </c>
      <c r="AA189" s="10">
        <f t="shared" si="31"/>
        <v>4.4290656334748595E-2</v>
      </c>
      <c r="AB189" s="12">
        <v>287.09899999999999</v>
      </c>
      <c r="AC189" s="12">
        <v>296.39600000000002</v>
      </c>
      <c r="AD189" s="8">
        <f t="shared" si="32"/>
        <v>-3.1366820065048193E-2</v>
      </c>
    </row>
    <row r="190" spans="1:30" x14ac:dyDescent="0.3">
      <c r="A190" t="s">
        <v>29</v>
      </c>
      <c r="B190" s="11">
        <v>2020</v>
      </c>
      <c r="C190" s="12">
        <v>47.91</v>
      </c>
      <c r="D190" s="12">
        <v>864.48500000000001</v>
      </c>
      <c r="E190" s="12">
        <v>305.61099999999999</v>
      </c>
      <c r="F190" s="12">
        <v>15.265000000000001</v>
      </c>
      <c r="G190" s="12">
        <v>1170.096</v>
      </c>
      <c r="H190" s="12">
        <v>734.81</v>
      </c>
      <c r="I190" s="12">
        <v>435.286</v>
      </c>
      <c r="J190" s="12">
        <v>734.52</v>
      </c>
      <c r="K190" s="5">
        <v>3.2209343665251404E-2</v>
      </c>
      <c r="L190" s="5">
        <v>2.8654132091227212E-2</v>
      </c>
      <c r="M190" s="8">
        <v>7.6499999999999999E-2</v>
      </c>
      <c r="N190" s="12">
        <v>23208.368333333299</v>
      </c>
      <c r="O190" s="3">
        <f t="shared" si="22"/>
        <v>46</v>
      </c>
      <c r="P190" s="13">
        <v>1975</v>
      </c>
      <c r="Q190" s="14">
        <v>118.69</v>
      </c>
      <c r="R190" s="14">
        <v>168.78</v>
      </c>
      <c r="S190" s="4">
        <f t="shared" si="23"/>
        <v>16.320661437867813</v>
      </c>
      <c r="T190" s="8">
        <f t="shared" si="24"/>
        <v>0.11006556608758379</v>
      </c>
      <c r="U190" s="8">
        <f t="shared" si="25"/>
        <v>4.0945358329572953E-2</v>
      </c>
      <c r="V190" s="9">
        <f t="shared" si="26"/>
        <v>1.6881085079694729</v>
      </c>
      <c r="W190">
        <f t="shared" si="27"/>
        <v>1.1769386810434026</v>
      </c>
      <c r="X190">
        <f t="shared" si="28"/>
        <v>6.5414151699661014</v>
      </c>
      <c r="Y190" s="8">
        <f t="shared" si="29"/>
        <v>1.3045938111060973E-2</v>
      </c>
      <c r="Z190" s="8">
        <f t="shared" si="30"/>
        <v>4.2908598538236253E-2</v>
      </c>
      <c r="AA190" s="10">
        <f t="shared" si="31"/>
        <v>4.4290656334748595E-2</v>
      </c>
      <c r="AB190" s="12">
        <v>1103.9960000000001</v>
      </c>
      <c r="AC190" s="12">
        <v>790.96400000000006</v>
      </c>
      <c r="AD190" s="8">
        <f t="shared" si="32"/>
        <v>0.39576011044750459</v>
      </c>
    </row>
    <row r="191" spans="1:30" x14ac:dyDescent="0.3">
      <c r="A191" t="s">
        <v>30</v>
      </c>
      <c r="B191" s="11">
        <v>2020</v>
      </c>
      <c r="C191" s="12">
        <v>14.288</v>
      </c>
      <c r="D191" s="12">
        <v>258.32</v>
      </c>
      <c r="E191" s="12">
        <v>285.35500000000002</v>
      </c>
      <c r="F191" s="12">
        <v>64.001000000000005</v>
      </c>
      <c r="G191" s="12">
        <v>543.67499999999995</v>
      </c>
      <c r="H191" s="12">
        <v>132.99199999999999</v>
      </c>
      <c r="I191" s="12">
        <v>410.68299999999999</v>
      </c>
      <c r="J191" s="12">
        <v>128.44</v>
      </c>
      <c r="K191" s="5">
        <v>3.2209343665251404E-2</v>
      </c>
      <c r="L191" s="5">
        <v>2.8654132091227212E-2</v>
      </c>
      <c r="M191" s="8">
        <v>7.6499999999999999E-2</v>
      </c>
      <c r="N191" s="12">
        <v>23208.368333333299</v>
      </c>
      <c r="O191" s="3">
        <f t="shared" si="22"/>
        <v>44</v>
      </c>
      <c r="P191" s="13">
        <v>1977</v>
      </c>
      <c r="Q191" s="14">
        <v>118.69</v>
      </c>
      <c r="R191" s="14">
        <v>168.78</v>
      </c>
      <c r="S191" s="4">
        <f t="shared" si="23"/>
        <v>16.320661437867813</v>
      </c>
      <c r="T191" s="8">
        <f t="shared" si="24"/>
        <v>3.4790824066250614E-2</v>
      </c>
      <c r="U191" s="8">
        <f t="shared" si="25"/>
        <v>2.628040649284959E-2</v>
      </c>
      <c r="V191" s="9">
        <f t="shared" si="26"/>
        <v>0.32383127619112551</v>
      </c>
      <c r="W191">
        <f t="shared" si="27"/>
        <v>2.0112114606041733</v>
      </c>
      <c r="X191">
        <f t="shared" si="28"/>
        <v>5.7749257361133219</v>
      </c>
      <c r="Y191" s="8">
        <f t="shared" si="29"/>
        <v>0.11771922564031823</v>
      </c>
      <c r="Z191" s="8">
        <f t="shared" si="30"/>
        <v>4.2908598538236253E-2</v>
      </c>
      <c r="AA191" s="10">
        <f t="shared" si="31"/>
        <v>4.4290656334748595E-2</v>
      </c>
      <c r="AB191" s="12">
        <v>331.31400000000002</v>
      </c>
      <c r="AC191" s="12">
        <v>361.15</v>
      </c>
      <c r="AD191" s="8">
        <f t="shared" si="32"/>
        <v>-8.2613872352208101E-2</v>
      </c>
    </row>
    <row r="192" spans="1:30" x14ac:dyDescent="0.3">
      <c r="A192" t="s">
        <v>31</v>
      </c>
      <c r="B192" s="11">
        <v>2020</v>
      </c>
      <c r="C192" s="12">
        <v>28.183</v>
      </c>
      <c r="D192" s="12">
        <v>1320.454</v>
      </c>
      <c r="E192" s="12">
        <v>339.08800000000002</v>
      </c>
      <c r="F192" s="12">
        <v>322.25799999999998</v>
      </c>
      <c r="G192" s="12">
        <v>1659.5419999999999</v>
      </c>
      <c r="H192" s="12">
        <v>965.08199999999999</v>
      </c>
      <c r="I192" s="12">
        <v>694.46</v>
      </c>
      <c r="J192" s="12">
        <v>965.08</v>
      </c>
      <c r="K192" s="5">
        <v>3.2209343665251404E-2</v>
      </c>
      <c r="L192" s="5">
        <v>2.8654132091227212E-2</v>
      </c>
      <c r="M192" s="8">
        <v>7.6499999999999999E-2</v>
      </c>
      <c r="N192" s="12">
        <v>23208.368333333299</v>
      </c>
      <c r="O192" s="3">
        <f t="shared" si="22"/>
        <v>18</v>
      </c>
      <c r="P192" s="13">
        <v>2003</v>
      </c>
      <c r="Q192" s="14">
        <v>118.69</v>
      </c>
      <c r="R192" s="14">
        <v>168.78</v>
      </c>
      <c r="S192" s="4">
        <f t="shared" si="23"/>
        <v>16.320661437867813</v>
      </c>
      <c r="T192" s="8">
        <f t="shared" si="24"/>
        <v>4.0582610949514729E-2</v>
      </c>
      <c r="U192" s="8">
        <f t="shared" si="25"/>
        <v>1.6982396347908039E-2</v>
      </c>
      <c r="V192" s="9">
        <f t="shared" si="26"/>
        <v>1.3896869510122973</v>
      </c>
      <c r="W192">
        <f t="shared" si="27"/>
        <v>1.3682326853732332</v>
      </c>
      <c r="X192">
        <f t="shared" si="28"/>
        <v>6.8908710339259978</v>
      </c>
      <c r="Y192" s="8">
        <f t="shared" si="29"/>
        <v>0.19418490161743421</v>
      </c>
      <c r="Z192" s="8">
        <f t="shared" si="30"/>
        <v>4.2908598538236253E-2</v>
      </c>
      <c r="AA192" s="10">
        <f t="shared" si="31"/>
        <v>4.4290656334748595E-2</v>
      </c>
      <c r="AB192" s="12">
        <v>959.13300000000004</v>
      </c>
      <c r="AC192" s="12">
        <v>1423.6659999999999</v>
      </c>
      <c r="AD192" s="8">
        <f t="shared" si="32"/>
        <v>-0.32629352671202372</v>
      </c>
    </row>
    <row r="193" spans="1:30" x14ac:dyDescent="0.3">
      <c r="A193" t="s">
        <v>32</v>
      </c>
      <c r="B193" s="11">
        <v>2020</v>
      </c>
      <c r="C193" s="12">
        <v>24.442</v>
      </c>
      <c r="D193" s="12">
        <v>1519.0889999999999</v>
      </c>
      <c r="E193" s="12">
        <v>318.80200000000002</v>
      </c>
      <c r="F193" s="12">
        <v>273.85000000000002</v>
      </c>
      <c r="G193" s="12">
        <v>1837.8910000000001</v>
      </c>
      <c r="H193" s="12">
        <v>1415.7470000000001</v>
      </c>
      <c r="I193" s="12">
        <v>422.14400000000001</v>
      </c>
      <c r="J193" s="12">
        <v>1317.85</v>
      </c>
      <c r="K193" s="5">
        <v>3.2209343665251404E-2</v>
      </c>
      <c r="L193" s="5">
        <v>2.8654132091227212E-2</v>
      </c>
      <c r="M193" s="8">
        <v>7.6499999999999999E-2</v>
      </c>
      <c r="N193" s="12">
        <v>23208.368333333299</v>
      </c>
      <c r="O193" s="3">
        <f t="shared" si="22"/>
        <v>15</v>
      </c>
      <c r="P193" s="13">
        <v>2006</v>
      </c>
      <c r="Q193" s="14">
        <v>118.69</v>
      </c>
      <c r="R193" s="14">
        <v>168.78</v>
      </c>
      <c r="S193" s="4">
        <f t="shared" si="23"/>
        <v>16.320661437867813</v>
      </c>
      <c r="T193" s="8">
        <f t="shared" si="24"/>
        <v>5.7899674044875685E-2</v>
      </c>
      <c r="U193" s="8">
        <f t="shared" si="25"/>
        <v>1.3298938838048611E-2</v>
      </c>
      <c r="V193" s="9">
        <f t="shared" si="26"/>
        <v>3.3537063182231659</v>
      </c>
      <c r="W193">
        <f t="shared" si="27"/>
        <v>1.1527025078726714</v>
      </c>
      <c r="X193">
        <f t="shared" si="28"/>
        <v>6.9929480918245162</v>
      </c>
      <c r="Y193" s="8">
        <f t="shared" si="29"/>
        <v>0.14900230753619231</v>
      </c>
      <c r="Z193" s="8">
        <f t="shared" si="30"/>
        <v>4.2908598538236253E-2</v>
      </c>
      <c r="AA193" s="10">
        <f t="shared" si="31"/>
        <v>4.4290656334748595E-2</v>
      </c>
      <c r="AB193" s="12">
        <v>1339.2909999999999</v>
      </c>
      <c r="AC193" s="12">
        <v>1705.1420000000001</v>
      </c>
      <c r="AD193" s="8">
        <f t="shared" si="32"/>
        <v>-0.21455749726415754</v>
      </c>
    </row>
    <row r="194" spans="1:30" x14ac:dyDescent="0.3">
      <c r="A194" t="s">
        <v>33</v>
      </c>
      <c r="B194" s="11">
        <v>2020</v>
      </c>
      <c r="C194" s="12">
        <v>24.753</v>
      </c>
      <c r="D194" s="12">
        <v>580.87699999999995</v>
      </c>
      <c r="E194" s="12">
        <v>177.72900000000001</v>
      </c>
      <c r="F194" s="12">
        <v>120.036</v>
      </c>
      <c r="G194" s="12">
        <v>758.60599999999999</v>
      </c>
      <c r="H194" s="12">
        <v>319.66000000000003</v>
      </c>
      <c r="I194" s="12">
        <v>438.94600000000003</v>
      </c>
      <c r="J194" s="12">
        <v>315.63</v>
      </c>
      <c r="K194" s="5">
        <v>3.2209343665251404E-2</v>
      </c>
      <c r="L194" s="5">
        <v>2.8654132091227212E-2</v>
      </c>
      <c r="M194" s="8">
        <v>7.6499999999999999E-2</v>
      </c>
      <c r="N194" s="12">
        <v>23208.368333333299</v>
      </c>
      <c r="O194" s="3">
        <f t="shared" si="22"/>
        <v>45</v>
      </c>
      <c r="P194" s="13">
        <v>1976</v>
      </c>
      <c r="Q194" s="14">
        <v>118.69</v>
      </c>
      <c r="R194" s="14">
        <v>168.78</v>
      </c>
      <c r="S194" s="4">
        <f t="shared" si="23"/>
        <v>16.320661437867813</v>
      </c>
      <c r="T194" s="8">
        <f t="shared" si="24"/>
        <v>5.639190242079891E-2</v>
      </c>
      <c r="U194" s="8">
        <f t="shared" si="25"/>
        <v>3.2629586372899769E-2</v>
      </c>
      <c r="V194" s="9">
        <f t="shared" si="26"/>
        <v>0.72824447654153357</v>
      </c>
      <c r="W194">
        <f t="shared" si="27"/>
        <v>1.8403732218103475</v>
      </c>
      <c r="X194">
        <f t="shared" si="28"/>
        <v>6.1080566327884087</v>
      </c>
      <c r="Y194" s="8">
        <f t="shared" si="29"/>
        <v>0.15823233668070119</v>
      </c>
      <c r="Z194" s="8">
        <f t="shared" si="30"/>
        <v>4.2908598538236253E-2</v>
      </c>
      <c r="AA194" s="10">
        <f t="shared" si="31"/>
        <v>4.4290656334748595E-2</v>
      </c>
      <c r="AB194" s="12">
        <v>1961.4</v>
      </c>
      <c r="AC194" s="12">
        <v>2120.4789999999998</v>
      </c>
      <c r="AD194" s="8">
        <f t="shared" si="32"/>
        <v>-7.5020313806455866E-2</v>
      </c>
    </row>
    <row r="195" spans="1:30" x14ac:dyDescent="0.3">
      <c r="A195" t="s">
        <v>34</v>
      </c>
      <c r="B195" s="11">
        <v>2020</v>
      </c>
      <c r="C195" s="12">
        <v>202.17</v>
      </c>
      <c r="D195" s="12">
        <v>2783.81</v>
      </c>
      <c r="E195" s="12">
        <v>2050.27</v>
      </c>
      <c r="F195" s="12">
        <v>1019.1130000000001</v>
      </c>
      <c r="G195" s="12">
        <v>4834.08</v>
      </c>
      <c r="H195" s="12">
        <v>2500.105</v>
      </c>
      <c r="I195" s="12">
        <v>2333.9740000000002</v>
      </c>
      <c r="J195" s="12">
        <v>2338.9899999999998</v>
      </c>
      <c r="K195" s="5">
        <v>3.2209343665251404E-2</v>
      </c>
      <c r="L195" s="5">
        <v>2.8654132091227212E-2</v>
      </c>
      <c r="M195" s="8">
        <v>7.6499999999999999E-2</v>
      </c>
      <c r="N195" s="12">
        <v>23208.368333333299</v>
      </c>
      <c r="O195" s="3">
        <f t="shared" ref="O195:O258" si="33">B195-P195+1</f>
        <v>28</v>
      </c>
      <c r="P195" s="13">
        <v>1993</v>
      </c>
      <c r="Q195" s="14">
        <v>118.69</v>
      </c>
      <c r="R195" s="14">
        <v>168.78</v>
      </c>
      <c r="S195" s="4">
        <f t="shared" ref="S195:S258" si="34">N195*Q195/(1000*R195)</f>
        <v>16.320661437867813</v>
      </c>
      <c r="T195" s="8">
        <f t="shared" ref="T195:T258" si="35">C195/I195</f>
        <v>8.6620502199253283E-2</v>
      </c>
      <c r="U195" s="8">
        <f t="shared" ref="U195:U258" si="36">C195/G195</f>
        <v>4.1821815112699827E-2</v>
      </c>
      <c r="V195" s="9">
        <f t="shared" ref="V195:V258" si="37">H195/I195</f>
        <v>1.0711794561550385</v>
      </c>
      <c r="W195">
        <f t="shared" ref="W195:W258" si="38">D195/J195</f>
        <v>1.1901761016507126</v>
      </c>
      <c r="X195">
        <f t="shared" ref="X195:X258" si="39">LN(100*G195/R195)</f>
        <v>7.9600202048262148</v>
      </c>
      <c r="Y195" s="8">
        <f t="shared" ref="Y195:Y258" si="40">F195/G195</f>
        <v>0.21081839770959523</v>
      </c>
      <c r="Z195" s="8">
        <f t="shared" ref="Z195:Z258" si="41">(M195+1)/(K195+1)-1</f>
        <v>4.2908598538236253E-2</v>
      </c>
      <c r="AA195" s="10">
        <f t="shared" ref="AA195:AA258" si="42">M195-K195</f>
        <v>4.4290656334748595E-2</v>
      </c>
      <c r="AB195" s="12">
        <v>3477.498</v>
      </c>
      <c r="AC195" s="12">
        <v>4519.1530000000002</v>
      </c>
      <c r="AD195" s="8">
        <f t="shared" ref="AD195:AD258" si="43">(AB195-AC195)/AC195</f>
        <v>-0.23049783886493777</v>
      </c>
    </row>
    <row r="196" spans="1:30" x14ac:dyDescent="0.3">
      <c r="A196" t="s">
        <v>35</v>
      </c>
      <c r="B196" s="11">
        <v>2020</v>
      </c>
      <c r="C196" s="12">
        <v>572.35699999999997</v>
      </c>
      <c r="D196" s="12">
        <v>8321.8220000000001</v>
      </c>
      <c r="E196" s="12">
        <v>9282.7729999999992</v>
      </c>
      <c r="F196" s="12">
        <v>6957.4539999999997</v>
      </c>
      <c r="G196" s="12">
        <v>17604.595000000001</v>
      </c>
      <c r="H196" s="12">
        <v>10732.486999999999</v>
      </c>
      <c r="I196" s="12">
        <v>6872.1090000000004</v>
      </c>
      <c r="J196" s="12">
        <v>6533.71</v>
      </c>
      <c r="K196" s="5">
        <v>3.2209343665251404E-2</v>
      </c>
      <c r="L196" s="5">
        <v>2.8654132091227212E-2</v>
      </c>
      <c r="M196" s="8">
        <v>7.6499999999999999E-2</v>
      </c>
      <c r="N196" s="12">
        <v>23208.368333333299</v>
      </c>
      <c r="O196" s="3">
        <f t="shared" si="33"/>
        <v>24</v>
      </c>
      <c r="P196" s="13">
        <v>1997</v>
      </c>
      <c r="Q196" s="14">
        <v>118.69</v>
      </c>
      <c r="R196" s="14">
        <v>168.78</v>
      </c>
      <c r="S196" s="4">
        <f t="shared" si="34"/>
        <v>16.320661437867813</v>
      </c>
      <c r="T196" s="8">
        <f t="shared" si="35"/>
        <v>8.3286950192437273E-2</v>
      </c>
      <c r="U196" s="8">
        <f t="shared" si="36"/>
        <v>3.2511795926006816E-2</v>
      </c>
      <c r="V196" s="9">
        <f t="shared" si="37"/>
        <v>1.5617457464658955</v>
      </c>
      <c r="W196">
        <f t="shared" si="38"/>
        <v>1.2736748340529347</v>
      </c>
      <c r="X196">
        <f t="shared" si="39"/>
        <v>9.2524893207546342</v>
      </c>
      <c r="Y196" s="8">
        <f t="shared" si="40"/>
        <v>0.39520670597647939</v>
      </c>
      <c r="Z196" s="8">
        <f t="shared" si="41"/>
        <v>4.2908598538236253E-2</v>
      </c>
      <c r="AA196" s="10">
        <f t="shared" si="42"/>
        <v>4.4290656334748595E-2</v>
      </c>
      <c r="AB196" s="12">
        <v>12641.344999999999</v>
      </c>
      <c r="AC196" s="12">
        <v>14409.84</v>
      </c>
      <c r="AD196" s="8">
        <f t="shared" si="43"/>
        <v>-0.12272828844733882</v>
      </c>
    </row>
    <row r="197" spans="1:30" x14ac:dyDescent="0.3">
      <c r="A197" t="s">
        <v>36</v>
      </c>
      <c r="B197" s="11">
        <v>2020</v>
      </c>
      <c r="C197" s="12">
        <v>45.826999999999998</v>
      </c>
      <c r="D197" s="12">
        <v>4665.3860000000004</v>
      </c>
      <c r="E197" s="12">
        <v>580.447</v>
      </c>
      <c r="F197" s="12">
        <v>213.768</v>
      </c>
      <c r="G197" s="12">
        <v>5245.8329999999996</v>
      </c>
      <c r="H197" s="12">
        <v>4680.2439999999997</v>
      </c>
      <c r="I197" s="12">
        <v>565.58799999999997</v>
      </c>
      <c r="J197" s="12">
        <v>4615.93</v>
      </c>
      <c r="K197" s="5">
        <v>3.2209343665251404E-2</v>
      </c>
      <c r="L197" s="5">
        <v>2.8654132091227212E-2</v>
      </c>
      <c r="M197" s="8">
        <v>7.6499999999999999E-2</v>
      </c>
      <c r="N197" s="12">
        <v>23208.368333333299</v>
      </c>
      <c r="O197" s="3">
        <f t="shared" si="33"/>
        <v>4</v>
      </c>
      <c r="P197" s="13">
        <v>2017</v>
      </c>
      <c r="Q197" s="14">
        <v>118.69</v>
      </c>
      <c r="R197" s="14">
        <v>168.78</v>
      </c>
      <c r="S197" s="4">
        <f t="shared" si="34"/>
        <v>16.320661437867813</v>
      </c>
      <c r="T197" s="8">
        <f t="shared" si="35"/>
        <v>8.1025410722999777E-2</v>
      </c>
      <c r="U197" s="8">
        <f t="shared" si="36"/>
        <v>8.7358861786107182E-3</v>
      </c>
      <c r="V197" s="9">
        <f t="shared" si="37"/>
        <v>8.2750058346358131</v>
      </c>
      <c r="W197">
        <f t="shared" si="38"/>
        <v>1.0107142006052952</v>
      </c>
      <c r="X197">
        <f t="shared" si="39"/>
        <v>8.041763420400267</v>
      </c>
      <c r="Y197" s="8">
        <f t="shared" si="40"/>
        <v>4.0750058189042621E-2</v>
      </c>
      <c r="Z197" s="8">
        <f t="shared" si="41"/>
        <v>4.2908598538236253E-2</v>
      </c>
      <c r="AA197" s="10">
        <f t="shared" si="42"/>
        <v>4.4290656334748595E-2</v>
      </c>
      <c r="AB197" s="12">
        <v>12845.638000000001</v>
      </c>
      <c r="AC197" s="12">
        <v>17288.066999999999</v>
      </c>
      <c r="AD197" s="8">
        <f t="shared" si="43"/>
        <v>-0.25696504993878139</v>
      </c>
    </row>
    <row r="198" spans="1:30" x14ac:dyDescent="0.3">
      <c r="A198" t="s">
        <v>37</v>
      </c>
      <c r="B198" s="11">
        <v>2020</v>
      </c>
      <c r="C198" s="12">
        <v>96.616</v>
      </c>
      <c r="D198" s="12">
        <v>717.59</v>
      </c>
      <c r="E198" s="12">
        <v>825.51199999999994</v>
      </c>
      <c r="F198" s="12">
        <v>474.71899999999999</v>
      </c>
      <c r="G198" s="12">
        <v>1543.1020000000001</v>
      </c>
      <c r="H198" s="12">
        <v>447.38</v>
      </c>
      <c r="I198" s="12">
        <v>1095.722</v>
      </c>
      <c r="J198" s="12">
        <v>430.84</v>
      </c>
      <c r="K198" s="5">
        <v>3.2209343665251404E-2</v>
      </c>
      <c r="L198" s="5">
        <v>2.8654132091227212E-2</v>
      </c>
      <c r="M198" s="8">
        <v>7.6499999999999999E-2</v>
      </c>
      <c r="N198" s="12">
        <v>23208.368333333299</v>
      </c>
      <c r="O198" s="3">
        <f t="shared" si="33"/>
        <v>22</v>
      </c>
      <c r="P198" s="13">
        <v>1999</v>
      </c>
      <c r="Q198" s="14">
        <v>118.69</v>
      </c>
      <c r="R198" s="14">
        <v>168.78</v>
      </c>
      <c r="S198" s="4">
        <f t="shared" si="34"/>
        <v>16.320661437867813</v>
      </c>
      <c r="T198" s="8">
        <f t="shared" si="35"/>
        <v>8.8175650393074151E-2</v>
      </c>
      <c r="U198" s="8">
        <f t="shared" si="36"/>
        <v>6.2611544797427518E-2</v>
      </c>
      <c r="V198" s="9">
        <f t="shared" si="37"/>
        <v>0.40829699504071287</v>
      </c>
      <c r="W198">
        <f t="shared" si="38"/>
        <v>1.6655603008077247</v>
      </c>
      <c r="X198">
        <f t="shared" si="39"/>
        <v>6.8181240494268716</v>
      </c>
      <c r="Y198" s="8">
        <f t="shared" si="40"/>
        <v>0.30763941722582172</v>
      </c>
      <c r="Z198" s="8">
        <f t="shared" si="41"/>
        <v>4.2908598538236253E-2</v>
      </c>
      <c r="AA198" s="10">
        <f t="shared" si="42"/>
        <v>4.4290656334748595E-2</v>
      </c>
      <c r="AB198" s="12">
        <v>1228.7629999999999</v>
      </c>
      <c r="AC198" s="12">
        <v>1513.816</v>
      </c>
      <c r="AD198" s="8">
        <f t="shared" si="43"/>
        <v>-0.18830095599465199</v>
      </c>
    </row>
    <row r="199" spans="1:30" x14ac:dyDescent="0.3">
      <c r="A199" t="s">
        <v>38</v>
      </c>
      <c r="B199" s="11">
        <v>2020</v>
      </c>
      <c r="C199" s="12">
        <v>660.58900000000006</v>
      </c>
      <c r="D199" s="12">
        <v>4500.7629999999999</v>
      </c>
      <c r="E199" s="12">
        <v>3183.319</v>
      </c>
      <c r="F199" s="12">
        <v>2556.0210000000002</v>
      </c>
      <c r="G199" s="12">
        <v>7684.0829999999996</v>
      </c>
      <c r="H199" s="12">
        <v>1948.5450000000001</v>
      </c>
      <c r="I199" s="12">
        <v>5735.5379999999996</v>
      </c>
      <c r="J199" s="12">
        <v>1746.19</v>
      </c>
      <c r="K199" s="5">
        <v>3.2209343665251404E-2</v>
      </c>
      <c r="L199" s="5">
        <v>2.8654132091227212E-2</v>
      </c>
      <c r="M199" s="8">
        <v>7.6499999999999999E-2</v>
      </c>
      <c r="N199" s="12">
        <v>23208.368333333299</v>
      </c>
      <c r="O199" s="3">
        <f t="shared" si="33"/>
        <v>131</v>
      </c>
      <c r="P199" s="13">
        <v>1890</v>
      </c>
      <c r="Q199" s="14">
        <v>118.69</v>
      </c>
      <c r="R199" s="14">
        <v>168.78</v>
      </c>
      <c r="S199" s="4">
        <f t="shared" si="34"/>
        <v>16.320661437867813</v>
      </c>
      <c r="T199" s="8">
        <f t="shared" si="35"/>
        <v>0.11517472292921782</v>
      </c>
      <c r="U199" s="8">
        <f t="shared" si="36"/>
        <v>8.5968488367447374E-2</v>
      </c>
      <c r="V199" s="9">
        <f t="shared" si="37"/>
        <v>0.33973186124823868</v>
      </c>
      <c r="W199">
        <f t="shared" si="38"/>
        <v>2.5774761051202901</v>
      </c>
      <c r="X199">
        <f t="shared" si="39"/>
        <v>8.4234804197541795</v>
      </c>
      <c r="Y199" s="8">
        <f t="shared" si="40"/>
        <v>0.33263839029328551</v>
      </c>
      <c r="Z199" s="8">
        <f t="shared" si="41"/>
        <v>4.2908598538236253E-2</v>
      </c>
      <c r="AA199" s="10">
        <f t="shared" si="42"/>
        <v>4.4290656334748595E-2</v>
      </c>
      <c r="AB199" s="12">
        <v>7514.3710000000001</v>
      </c>
      <c r="AC199" s="12">
        <v>9405.06</v>
      </c>
      <c r="AD199" s="8">
        <f t="shared" si="43"/>
        <v>-0.20102891422276939</v>
      </c>
    </row>
    <row r="200" spans="1:30" x14ac:dyDescent="0.3">
      <c r="A200" t="s">
        <v>39</v>
      </c>
      <c r="B200" s="11">
        <v>2020</v>
      </c>
      <c r="C200" s="12">
        <v>20.152999999999999</v>
      </c>
      <c r="D200" s="12">
        <v>326.72500000000002</v>
      </c>
      <c r="E200" s="12">
        <v>124.03</v>
      </c>
      <c r="F200" s="12">
        <v>41.908999999999999</v>
      </c>
      <c r="G200" s="12">
        <v>450.755</v>
      </c>
      <c r="H200" s="12">
        <v>73.227000000000004</v>
      </c>
      <c r="I200" s="12">
        <v>377.52800000000002</v>
      </c>
      <c r="J200" s="12">
        <v>67.11</v>
      </c>
      <c r="K200" s="5">
        <v>3.2209343665251404E-2</v>
      </c>
      <c r="L200" s="5">
        <v>2.8654132091227212E-2</v>
      </c>
      <c r="M200" s="8">
        <v>7.6499999999999999E-2</v>
      </c>
      <c r="N200" s="12">
        <v>23208.368333333299</v>
      </c>
      <c r="O200" s="3">
        <f t="shared" si="33"/>
        <v>6</v>
      </c>
      <c r="P200" s="13">
        <v>2015</v>
      </c>
      <c r="Q200" s="14">
        <v>118.69</v>
      </c>
      <c r="R200" s="14">
        <v>168.78</v>
      </c>
      <c r="S200" s="4">
        <f t="shared" si="34"/>
        <v>16.320661437867813</v>
      </c>
      <c r="T200" s="8">
        <f t="shared" si="35"/>
        <v>5.3381471043207382E-2</v>
      </c>
      <c r="U200" s="8">
        <f t="shared" si="36"/>
        <v>4.4709431953056537E-2</v>
      </c>
      <c r="V200" s="9">
        <f t="shared" si="37"/>
        <v>0.19396442118200505</v>
      </c>
      <c r="W200">
        <f t="shared" si="38"/>
        <v>4.8684994784681868</v>
      </c>
      <c r="X200">
        <f t="shared" si="39"/>
        <v>5.5874980489035799</v>
      </c>
      <c r="Y200" s="8">
        <f t="shared" si="40"/>
        <v>9.2975119521691379E-2</v>
      </c>
      <c r="Z200" s="8">
        <f t="shared" si="41"/>
        <v>4.2908598538236253E-2</v>
      </c>
      <c r="AA200" s="10">
        <f t="shared" si="42"/>
        <v>4.4290656334748595E-2</v>
      </c>
      <c r="AB200" s="12">
        <v>361.267</v>
      </c>
      <c r="AC200" s="12">
        <v>422.70600000000002</v>
      </c>
      <c r="AD200" s="8">
        <f t="shared" si="43"/>
        <v>-0.14534688412277094</v>
      </c>
    </row>
    <row r="201" spans="1:30" x14ac:dyDescent="0.3">
      <c r="A201" t="s">
        <v>40</v>
      </c>
      <c r="B201" s="11">
        <v>2020</v>
      </c>
      <c r="C201" s="12">
        <v>128.94800000000001</v>
      </c>
      <c r="D201" s="12">
        <v>839.01599999999996</v>
      </c>
      <c r="E201" s="12">
        <v>72.603999999999999</v>
      </c>
      <c r="F201" s="12">
        <v>58.948</v>
      </c>
      <c r="G201" s="12">
        <v>911.62</v>
      </c>
      <c r="H201" s="12">
        <v>180.982</v>
      </c>
      <c r="I201" s="12">
        <v>730.63800000000003</v>
      </c>
      <c r="J201" s="12">
        <v>180.48</v>
      </c>
      <c r="K201" s="5">
        <v>3.2209343665251404E-2</v>
      </c>
      <c r="L201" s="5">
        <v>2.8654132091227212E-2</v>
      </c>
      <c r="M201" s="8">
        <v>7.6499999999999999E-2</v>
      </c>
      <c r="N201" s="12">
        <v>23208.368333333299</v>
      </c>
      <c r="O201" s="3">
        <f t="shared" si="33"/>
        <v>29</v>
      </c>
      <c r="P201" s="13">
        <v>1992</v>
      </c>
      <c r="Q201" s="14">
        <v>118.69</v>
      </c>
      <c r="R201" s="14">
        <v>168.78</v>
      </c>
      <c r="S201" s="4">
        <f t="shared" si="34"/>
        <v>16.320661437867813</v>
      </c>
      <c r="T201" s="8">
        <f t="shared" si="35"/>
        <v>0.17648685121770288</v>
      </c>
      <c r="U201" s="8">
        <f t="shared" si="36"/>
        <v>0.1414492880805599</v>
      </c>
      <c r="V201" s="9">
        <f t="shared" si="37"/>
        <v>0.24770406138197026</v>
      </c>
      <c r="W201">
        <f t="shared" si="38"/>
        <v>4.6488031914893622</v>
      </c>
      <c r="X201">
        <f t="shared" si="39"/>
        <v>6.2917973308362596</v>
      </c>
      <c r="Y201" s="8">
        <f t="shared" si="40"/>
        <v>6.4662907790526761E-2</v>
      </c>
      <c r="Z201" s="8">
        <f t="shared" si="41"/>
        <v>4.2908598538236253E-2</v>
      </c>
      <c r="AA201" s="10">
        <f t="shared" si="42"/>
        <v>4.4290656334748595E-2</v>
      </c>
      <c r="AB201" s="12">
        <v>1899.749</v>
      </c>
      <c r="AC201" s="12">
        <v>1928.712</v>
      </c>
      <c r="AD201" s="8">
        <f t="shared" si="43"/>
        <v>-1.5016757297097734E-2</v>
      </c>
    </row>
    <row r="202" spans="1:30" x14ac:dyDescent="0.3">
      <c r="A202" t="s">
        <v>41</v>
      </c>
      <c r="B202" s="11">
        <v>2020</v>
      </c>
      <c r="C202" s="12">
        <v>60.145000000000003</v>
      </c>
      <c r="D202" s="12">
        <v>929.79700000000003</v>
      </c>
      <c r="E202" s="12">
        <v>562.87099999999998</v>
      </c>
      <c r="F202" s="12">
        <v>341.59399999999999</v>
      </c>
      <c r="G202" s="12">
        <v>1492.6679999999999</v>
      </c>
      <c r="H202" s="12">
        <v>934.97400000000005</v>
      </c>
      <c r="I202" s="12">
        <v>557.69399999999996</v>
      </c>
      <c r="J202" s="12">
        <v>902.69</v>
      </c>
      <c r="K202" s="5">
        <v>3.2209343665251404E-2</v>
      </c>
      <c r="L202" s="5">
        <v>2.8654132091227212E-2</v>
      </c>
      <c r="M202" s="8">
        <v>7.6499999999999999E-2</v>
      </c>
      <c r="N202" s="12">
        <v>23208.368333333299</v>
      </c>
      <c r="O202" s="3">
        <f t="shared" si="33"/>
        <v>44</v>
      </c>
      <c r="P202" s="13">
        <v>1977</v>
      </c>
      <c r="Q202" s="14">
        <v>118.69</v>
      </c>
      <c r="R202" s="14">
        <v>168.78</v>
      </c>
      <c r="S202" s="4">
        <f t="shared" si="34"/>
        <v>16.320661437867813</v>
      </c>
      <c r="T202" s="8">
        <f t="shared" si="35"/>
        <v>0.10784587964008938</v>
      </c>
      <c r="U202" s="8">
        <f t="shared" si="36"/>
        <v>4.0293621890467278E-2</v>
      </c>
      <c r="V202" s="9">
        <f t="shared" si="37"/>
        <v>1.6765000161378822</v>
      </c>
      <c r="W202">
        <f t="shared" si="38"/>
        <v>1.0300291351405244</v>
      </c>
      <c r="X202">
        <f t="shared" si="39"/>
        <v>6.7848944960043802</v>
      </c>
      <c r="Y202" s="8">
        <f t="shared" si="40"/>
        <v>0.22884794207419198</v>
      </c>
      <c r="Z202" s="8">
        <f t="shared" si="41"/>
        <v>4.2908598538236253E-2</v>
      </c>
      <c r="AA202" s="10">
        <f t="shared" si="42"/>
        <v>4.4290656334748595E-2</v>
      </c>
      <c r="AB202" s="12">
        <v>1436.5229999999999</v>
      </c>
      <c r="AC202" s="12">
        <v>958.16899999999998</v>
      </c>
      <c r="AD202" s="8">
        <f t="shared" si="43"/>
        <v>0.4992376083968485</v>
      </c>
    </row>
    <row r="203" spans="1:30" x14ac:dyDescent="0.3">
      <c r="A203" t="s">
        <v>42</v>
      </c>
      <c r="B203" s="11">
        <v>2020</v>
      </c>
      <c r="C203" s="12">
        <v>90.661000000000001</v>
      </c>
      <c r="D203" s="12">
        <v>2255.6570000000002</v>
      </c>
      <c r="E203" s="12">
        <v>1557.5920000000001</v>
      </c>
      <c r="F203" s="12">
        <v>1470.7090000000001</v>
      </c>
      <c r="G203" s="12">
        <v>3813.25</v>
      </c>
      <c r="H203" s="12">
        <v>2537.8029999999999</v>
      </c>
      <c r="I203" s="12">
        <v>1275.4469999999999</v>
      </c>
      <c r="J203" s="12">
        <v>2179.9</v>
      </c>
      <c r="K203" s="5">
        <v>3.2209343665251404E-2</v>
      </c>
      <c r="L203" s="5">
        <v>2.8654132091227212E-2</v>
      </c>
      <c r="M203" s="8">
        <v>7.6499999999999999E-2</v>
      </c>
      <c r="N203" s="12">
        <v>23208.368333333299</v>
      </c>
      <c r="O203" s="3">
        <f t="shared" si="33"/>
        <v>45</v>
      </c>
      <c r="P203" s="13">
        <v>1976</v>
      </c>
      <c r="Q203" s="14">
        <v>118.69</v>
      </c>
      <c r="R203" s="14">
        <v>168.78</v>
      </c>
      <c r="S203" s="4">
        <f t="shared" si="34"/>
        <v>16.320661437867813</v>
      </c>
      <c r="T203" s="8">
        <f t="shared" si="35"/>
        <v>7.1081746242689828E-2</v>
      </c>
      <c r="U203" s="8">
        <f t="shared" si="36"/>
        <v>2.3775257326427587E-2</v>
      </c>
      <c r="V203" s="9">
        <f t="shared" si="37"/>
        <v>1.9897361474055764</v>
      </c>
      <c r="W203">
        <f t="shared" si="38"/>
        <v>1.0347525115831002</v>
      </c>
      <c r="X203">
        <f t="shared" si="39"/>
        <v>7.7228112171383136</v>
      </c>
      <c r="Y203" s="8">
        <f t="shared" si="40"/>
        <v>0.38568386546908806</v>
      </c>
      <c r="Z203" s="8">
        <f t="shared" si="41"/>
        <v>4.2908598538236253E-2</v>
      </c>
      <c r="AA203" s="10">
        <f t="shared" si="42"/>
        <v>4.4290656334748595E-2</v>
      </c>
      <c r="AB203" s="12">
        <v>4799.4690000000001</v>
      </c>
      <c r="AC203" s="12">
        <v>4363.2619999999997</v>
      </c>
      <c r="AD203" s="8">
        <f t="shared" si="43"/>
        <v>9.9972680989589988E-2</v>
      </c>
    </row>
    <row r="204" spans="1:30" x14ac:dyDescent="0.3">
      <c r="A204" t="s">
        <v>43</v>
      </c>
      <c r="B204" s="11">
        <v>2020</v>
      </c>
      <c r="C204" s="12">
        <v>1.43</v>
      </c>
      <c r="D204" s="12">
        <v>968.20100000000002</v>
      </c>
      <c r="E204" s="12">
        <v>610.49599999999998</v>
      </c>
      <c r="F204" s="12">
        <v>160.852</v>
      </c>
      <c r="G204" s="12">
        <v>1578.6969999999999</v>
      </c>
      <c r="H204" s="12">
        <v>1046.364</v>
      </c>
      <c r="I204" s="12">
        <v>532.33299999999997</v>
      </c>
      <c r="J204" s="12">
        <v>869.32</v>
      </c>
      <c r="K204" s="5">
        <v>3.2209343665251404E-2</v>
      </c>
      <c r="L204" s="5">
        <v>2.8654132091227212E-2</v>
      </c>
      <c r="M204" s="8">
        <v>7.6499999999999999E-2</v>
      </c>
      <c r="N204" s="12">
        <v>23208.368333333299</v>
      </c>
      <c r="O204" s="3">
        <f t="shared" si="33"/>
        <v>12</v>
      </c>
      <c r="P204" s="13">
        <v>2009</v>
      </c>
      <c r="Q204" s="14">
        <v>118.69</v>
      </c>
      <c r="R204" s="14">
        <v>168.78</v>
      </c>
      <c r="S204" s="4">
        <f t="shared" si="34"/>
        <v>16.320661437867813</v>
      </c>
      <c r="T204" s="8">
        <f t="shared" si="35"/>
        <v>2.6862884698111897E-3</v>
      </c>
      <c r="U204" s="8">
        <f t="shared" si="36"/>
        <v>9.0581029798625075E-4</v>
      </c>
      <c r="V204" s="9">
        <f t="shared" si="37"/>
        <v>1.9656192646332278</v>
      </c>
      <c r="W204">
        <f t="shared" si="38"/>
        <v>1.1137452261537752</v>
      </c>
      <c r="X204">
        <f t="shared" si="39"/>
        <v>6.8409291964964334</v>
      </c>
      <c r="Y204" s="8">
        <f t="shared" si="40"/>
        <v>0.10188908954663245</v>
      </c>
      <c r="Z204" s="8">
        <f t="shared" si="41"/>
        <v>4.2908598538236253E-2</v>
      </c>
      <c r="AA204" s="10">
        <f t="shared" si="42"/>
        <v>4.4290656334748595E-2</v>
      </c>
      <c r="AB204" s="12">
        <v>5733.5020000000004</v>
      </c>
      <c r="AC204" s="12">
        <v>6479.1940000000004</v>
      </c>
      <c r="AD204" s="8">
        <f t="shared" si="43"/>
        <v>-0.11509024116271252</v>
      </c>
    </row>
    <row r="205" spans="1:30" x14ac:dyDescent="0.3">
      <c r="A205" t="s">
        <v>44</v>
      </c>
      <c r="B205" s="11">
        <v>2020</v>
      </c>
      <c r="C205" s="12">
        <v>51.920999999999999</v>
      </c>
      <c r="D205" s="12">
        <v>1095.7760000000001</v>
      </c>
      <c r="E205" s="12">
        <v>543.39</v>
      </c>
      <c r="F205" s="12">
        <v>308.07600000000002</v>
      </c>
      <c r="G205" s="12">
        <v>1639.1659999999999</v>
      </c>
      <c r="H205" s="12">
        <v>992.89300000000003</v>
      </c>
      <c r="I205" s="12">
        <v>646.27300000000002</v>
      </c>
      <c r="J205" s="12">
        <v>841.37</v>
      </c>
      <c r="K205" s="5">
        <v>3.2209343665251404E-2</v>
      </c>
      <c r="L205" s="5">
        <v>2.8654132091227212E-2</v>
      </c>
      <c r="M205" s="8">
        <v>7.6499999999999999E-2</v>
      </c>
      <c r="N205" s="12">
        <v>23208.368333333299</v>
      </c>
      <c r="O205" s="3">
        <f t="shared" si="33"/>
        <v>13</v>
      </c>
      <c r="P205" s="13">
        <v>2008</v>
      </c>
      <c r="Q205" s="14">
        <v>118.69</v>
      </c>
      <c r="R205" s="14">
        <v>168.78</v>
      </c>
      <c r="S205" s="4">
        <f t="shared" si="34"/>
        <v>16.320661437867813</v>
      </c>
      <c r="T205" s="8">
        <f t="shared" si="35"/>
        <v>8.033911365630314E-2</v>
      </c>
      <c r="U205" s="8">
        <f t="shared" si="36"/>
        <v>3.1675254367159886E-2</v>
      </c>
      <c r="V205" s="9">
        <f t="shared" si="37"/>
        <v>1.5363368112237399</v>
      </c>
      <c r="W205">
        <f t="shared" si="38"/>
        <v>1.302371132795322</v>
      </c>
      <c r="X205">
        <f t="shared" si="39"/>
        <v>6.8785169491425657</v>
      </c>
      <c r="Y205" s="8">
        <f t="shared" si="40"/>
        <v>0.1879467973347422</v>
      </c>
      <c r="Z205" s="8">
        <f t="shared" si="41"/>
        <v>4.2908598538236253E-2</v>
      </c>
      <c r="AA205" s="10">
        <f t="shared" si="42"/>
        <v>4.4290656334748595E-2</v>
      </c>
      <c r="AB205" s="12">
        <v>2159.8850000000002</v>
      </c>
      <c r="AC205" s="12">
        <v>2493.2759999999998</v>
      </c>
      <c r="AD205" s="8">
        <f t="shared" si="43"/>
        <v>-0.13371604266836068</v>
      </c>
    </row>
    <row r="206" spans="1:30" x14ac:dyDescent="0.3">
      <c r="A206" t="s">
        <v>45</v>
      </c>
      <c r="B206" s="11">
        <v>2020</v>
      </c>
      <c r="C206" s="12">
        <v>1400.296</v>
      </c>
      <c r="D206" s="12">
        <v>4653.09</v>
      </c>
      <c r="E206" s="12">
        <v>5448.1809999999996</v>
      </c>
      <c r="F206" s="12">
        <v>4455.4690000000001</v>
      </c>
      <c r="G206" s="12">
        <v>10101.271000000001</v>
      </c>
      <c r="H206" s="12">
        <v>5894.3109999999997</v>
      </c>
      <c r="I206" s="12">
        <v>4206.96</v>
      </c>
      <c r="J206" s="12">
        <v>4254.59</v>
      </c>
      <c r="K206" s="5">
        <v>3.2209343665251404E-2</v>
      </c>
      <c r="L206" s="5">
        <v>2.8654132091227212E-2</v>
      </c>
      <c r="M206" s="8">
        <v>7.6499999999999999E-2</v>
      </c>
      <c r="N206" s="12">
        <v>23208.368333333299</v>
      </c>
      <c r="O206" s="3">
        <f t="shared" si="33"/>
        <v>25</v>
      </c>
      <c r="P206" s="13">
        <v>1996</v>
      </c>
      <c r="Q206" s="14">
        <v>118.69</v>
      </c>
      <c r="R206" s="14">
        <v>168.78</v>
      </c>
      <c r="S206" s="4">
        <f t="shared" si="34"/>
        <v>16.320661437867813</v>
      </c>
      <c r="T206" s="8">
        <f t="shared" si="35"/>
        <v>0.33285222583528251</v>
      </c>
      <c r="U206" s="8">
        <f t="shared" si="36"/>
        <v>0.13862572343618937</v>
      </c>
      <c r="V206" s="9">
        <f t="shared" si="37"/>
        <v>1.4010855819879438</v>
      </c>
      <c r="W206">
        <f t="shared" si="38"/>
        <v>1.0936635492491638</v>
      </c>
      <c r="X206">
        <f t="shared" si="39"/>
        <v>8.6969906307543923</v>
      </c>
      <c r="Y206" s="8">
        <f t="shared" si="40"/>
        <v>0.44108003834368958</v>
      </c>
      <c r="Z206" s="8">
        <f t="shared" si="41"/>
        <v>4.2908598538236253E-2</v>
      </c>
      <c r="AA206" s="10">
        <f t="shared" si="42"/>
        <v>4.4290656334748595E-2</v>
      </c>
      <c r="AB206" s="12">
        <v>10189.066999999999</v>
      </c>
      <c r="AC206" s="12">
        <v>7299.9309999999996</v>
      </c>
      <c r="AD206" s="8">
        <f t="shared" si="43"/>
        <v>0.39577579568902771</v>
      </c>
    </row>
    <row r="207" spans="1:30" x14ac:dyDescent="0.3">
      <c r="A207" t="s">
        <v>46</v>
      </c>
      <c r="B207" s="11">
        <v>2020</v>
      </c>
      <c r="C207" s="12">
        <v>18.263999999999999</v>
      </c>
      <c r="D207" s="12">
        <v>930.82500000000005</v>
      </c>
      <c r="E207" s="12">
        <v>478.82299999999998</v>
      </c>
      <c r="F207" s="12">
        <v>380.72199999999998</v>
      </c>
      <c r="G207" s="12">
        <v>1409.6489999999999</v>
      </c>
      <c r="H207" s="12">
        <v>486.46100000000001</v>
      </c>
      <c r="I207" s="12">
        <v>923.18799999999999</v>
      </c>
      <c r="J207" s="12">
        <v>432.76</v>
      </c>
      <c r="K207" s="5">
        <v>3.2209343665251404E-2</v>
      </c>
      <c r="L207" s="5">
        <v>2.8654132091227212E-2</v>
      </c>
      <c r="M207" s="8">
        <v>7.6499999999999999E-2</v>
      </c>
      <c r="N207" s="12">
        <v>23208.368333333299</v>
      </c>
      <c r="O207" s="3">
        <f t="shared" si="33"/>
        <v>48</v>
      </c>
      <c r="P207" s="13">
        <v>1973</v>
      </c>
      <c r="Q207" s="14">
        <v>118.69</v>
      </c>
      <c r="R207" s="14">
        <v>168.78</v>
      </c>
      <c r="S207" s="4">
        <f t="shared" si="34"/>
        <v>16.320661437867813</v>
      </c>
      <c r="T207" s="8">
        <f t="shared" si="35"/>
        <v>1.9783619371135673E-2</v>
      </c>
      <c r="U207" s="8">
        <f t="shared" si="36"/>
        <v>1.2956416810142099E-2</v>
      </c>
      <c r="V207" s="9">
        <f t="shared" si="37"/>
        <v>0.52693600870028645</v>
      </c>
      <c r="W207">
        <f t="shared" si="38"/>
        <v>2.1509035030964045</v>
      </c>
      <c r="X207">
        <f t="shared" si="39"/>
        <v>6.7276701104705205</v>
      </c>
      <c r="Y207" s="8">
        <f t="shared" si="40"/>
        <v>0.27008283622376916</v>
      </c>
      <c r="Z207" s="8">
        <f t="shared" si="41"/>
        <v>4.2908598538236253E-2</v>
      </c>
      <c r="AA207" s="10">
        <f t="shared" si="42"/>
        <v>4.4290656334748595E-2</v>
      </c>
      <c r="AB207" s="12">
        <v>946.476</v>
      </c>
      <c r="AC207" s="12">
        <v>830.51499999999999</v>
      </c>
      <c r="AD207" s="8">
        <f t="shared" si="43"/>
        <v>0.13962541314726407</v>
      </c>
    </row>
    <row r="208" spans="1:30" x14ac:dyDescent="0.3">
      <c r="A208" t="s">
        <v>47</v>
      </c>
      <c r="B208" s="11">
        <v>2020</v>
      </c>
      <c r="C208" s="12">
        <v>256.31700000000001</v>
      </c>
      <c r="D208" s="12">
        <v>1311.509</v>
      </c>
      <c r="E208" s="12">
        <v>1119.2</v>
      </c>
      <c r="F208" s="12">
        <v>1063.6010000000001</v>
      </c>
      <c r="G208" s="12">
        <v>2430.71</v>
      </c>
      <c r="H208" s="12">
        <v>743.41700000000003</v>
      </c>
      <c r="I208" s="12">
        <v>1687.2929999999999</v>
      </c>
      <c r="J208" s="12">
        <v>742.18</v>
      </c>
      <c r="K208" s="5">
        <v>3.2209343665251404E-2</v>
      </c>
      <c r="L208" s="5">
        <v>2.8654132091227212E-2</v>
      </c>
      <c r="M208" s="8">
        <v>7.6499999999999999E-2</v>
      </c>
      <c r="N208" s="12">
        <v>23208.368333333299</v>
      </c>
      <c r="O208" s="3">
        <f t="shared" si="33"/>
        <v>46</v>
      </c>
      <c r="P208" s="13">
        <v>1975</v>
      </c>
      <c r="Q208" s="14">
        <v>118.69</v>
      </c>
      <c r="R208" s="14">
        <v>168.78</v>
      </c>
      <c r="S208" s="4">
        <f t="shared" si="34"/>
        <v>16.320661437867813</v>
      </c>
      <c r="T208" s="8">
        <f t="shared" si="35"/>
        <v>0.15191018987217988</v>
      </c>
      <c r="U208" s="8">
        <f t="shared" si="36"/>
        <v>0.10544943658437247</v>
      </c>
      <c r="V208" s="9">
        <f t="shared" si="37"/>
        <v>0.44059745402843492</v>
      </c>
      <c r="W208">
        <f t="shared" si="38"/>
        <v>1.767103667573904</v>
      </c>
      <c r="X208">
        <f t="shared" si="39"/>
        <v>7.2725127689862479</v>
      </c>
      <c r="Y208" s="8">
        <f t="shared" si="40"/>
        <v>0.43756803567681873</v>
      </c>
      <c r="Z208" s="8">
        <f t="shared" si="41"/>
        <v>4.2908598538236253E-2</v>
      </c>
      <c r="AA208" s="10">
        <f t="shared" si="42"/>
        <v>4.4290656334748595E-2</v>
      </c>
      <c r="AB208" s="12">
        <v>3818.7649999999999</v>
      </c>
      <c r="AC208" s="12">
        <v>4036.96</v>
      </c>
      <c r="AD208" s="8">
        <f t="shared" si="43"/>
        <v>-5.4049334152431572E-2</v>
      </c>
    </row>
    <row r="209" spans="1:30" x14ac:dyDescent="0.3">
      <c r="A209" t="s">
        <v>48</v>
      </c>
      <c r="B209" s="11">
        <v>2020</v>
      </c>
      <c r="C209" s="12">
        <v>42.057000000000002</v>
      </c>
      <c r="D209" s="12">
        <v>1087.29</v>
      </c>
      <c r="E209" s="12">
        <v>265.74299999999999</v>
      </c>
      <c r="F209" s="12">
        <v>206.17099999999999</v>
      </c>
      <c r="G209" s="12">
        <v>1353.0329999999999</v>
      </c>
      <c r="H209" s="12">
        <v>408.70600000000002</v>
      </c>
      <c r="I209" s="12">
        <v>944.327</v>
      </c>
      <c r="J209" s="12">
        <v>153.16999999999999</v>
      </c>
      <c r="K209" s="5">
        <v>3.2209343665251404E-2</v>
      </c>
      <c r="L209" s="5">
        <v>2.8654132091227212E-2</v>
      </c>
      <c r="M209" s="8">
        <v>7.6499999999999999E-2</v>
      </c>
      <c r="N209" s="12">
        <v>23208.368333333299</v>
      </c>
      <c r="O209" s="3">
        <f t="shared" si="33"/>
        <v>28</v>
      </c>
      <c r="P209" s="13">
        <v>1993</v>
      </c>
      <c r="Q209" s="14">
        <v>118.69</v>
      </c>
      <c r="R209" s="14">
        <v>168.78</v>
      </c>
      <c r="S209" s="4">
        <f t="shared" si="34"/>
        <v>16.320661437867813</v>
      </c>
      <c r="T209" s="8">
        <f t="shared" si="35"/>
        <v>4.4536479418675945E-2</v>
      </c>
      <c r="U209" s="8">
        <f t="shared" si="36"/>
        <v>3.1083499072084721E-2</v>
      </c>
      <c r="V209" s="9">
        <f t="shared" si="37"/>
        <v>0.43280134953252425</v>
      </c>
      <c r="W209">
        <f t="shared" si="38"/>
        <v>7.0985832734869758</v>
      </c>
      <c r="X209">
        <f t="shared" si="39"/>
        <v>6.6866781123755237</v>
      </c>
      <c r="Y209" s="8">
        <f t="shared" si="40"/>
        <v>0.15237691911431578</v>
      </c>
      <c r="Z209" s="8">
        <f t="shared" si="41"/>
        <v>4.2908598538236253E-2</v>
      </c>
      <c r="AA209" s="10">
        <f t="shared" si="42"/>
        <v>4.4290656334748595E-2</v>
      </c>
      <c r="AB209" s="12">
        <v>855.77499999999998</v>
      </c>
      <c r="AC209" s="12">
        <v>1007.852</v>
      </c>
      <c r="AD209" s="8">
        <f t="shared" si="43"/>
        <v>-0.15089219448887337</v>
      </c>
    </row>
    <row r="210" spans="1:30" x14ac:dyDescent="0.3">
      <c r="A210" t="s">
        <v>49</v>
      </c>
      <c r="B210" s="11">
        <v>2020</v>
      </c>
      <c r="C210" s="12">
        <v>225.96299999999999</v>
      </c>
      <c r="D210" s="12">
        <v>1221.0060000000001</v>
      </c>
      <c r="E210" s="12">
        <v>490.15499999999997</v>
      </c>
      <c r="F210" s="12">
        <v>307.81799999999998</v>
      </c>
      <c r="G210" s="12">
        <v>1711.162</v>
      </c>
      <c r="H210" s="12">
        <v>630.01400000000001</v>
      </c>
      <c r="I210" s="12">
        <v>1081.1469999999999</v>
      </c>
      <c r="J210" s="12">
        <v>619.65</v>
      </c>
      <c r="K210" s="5">
        <v>3.2209343665251404E-2</v>
      </c>
      <c r="L210" s="5">
        <v>2.8654132091227212E-2</v>
      </c>
      <c r="M210" s="8">
        <v>7.6499999999999999E-2</v>
      </c>
      <c r="N210" s="12">
        <v>23208.368333333299</v>
      </c>
      <c r="O210" s="3">
        <f t="shared" si="33"/>
        <v>25</v>
      </c>
      <c r="P210" s="13">
        <v>1996</v>
      </c>
      <c r="Q210" s="14">
        <v>118.69</v>
      </c>
      <c r="R210" s="14">
        <v>168.78</v>
      </c>
      <c r="S210" s="4">
        <f t="shared" si="34"/>
        <v>16.320661437867813</v>
      </c>
      <c r="T210" s="8">
        <f t="shared" si="35"/>
        <v>0.20900303104018234</v>
      </c>
      <c r="U210" s="8">
        <f t="shared" si="36"/>
        <v>0.13205237142947307</v>
      </c>
      <c r="V210" s="9">
        <f t="shared" si="37"/>
        <v>0.58272741819567553</v>
      </c>
      <c r="W210">
        <f t="shared" si="38"/>
        <v>1.9704768821108694</v>
      </c>
      <c r="X210">
        <f t="shared" si="39"/>
        <v>6.9215020451412794</v>
      </c>
      <c r="Y210" s="8">
        <f t="shared" si="40"/>
        <v>0.1798882864392734</v>
      </c>
      <c r="Z210" s="8">
        <f t="shared" si="41"/>
        <v>4.2908598538236253E-2</v>
      </c>
      <c r="AA210" s="10">
        <f t="shared" si="42"/>
        <v>4.4290656334748595E-2</v>
      </c>
      <c r="AB210" s="12">
        <v>4433.2340000000004</v>
      </c>
      <c r="AC210" s="12">
        <v>3730.0909999999999</v>
      </c>
      <c r="AD210" s="8">
        <f t="shared" si="43"/>
        <v>0.18850558873764756</v>
      </c>
    </row>
    <row r="211" spans="1:30" x14ac:dyDescent="0.3">
      <c r="A211" t="s">
        <v>50</v>
      </c>
      <c r="B211" s="11">
        <v>2020</v>
      </c>
      <c r="C211" s="12">
        <v>79.977000000000004</v>
      </c>
      <c r="D211" s="12">
        <v>296.18099999999998</v>
      </c>
      <c r="E211" s="12">
        <v>102.681</v>
      </c>
      <c r="F211" s="12">
        <v>98.167000000000002</v>
      </c>
      <c r="G211" s="12">
        <v>398.86200000000002</v>
      </c>
      <c r="H211" s="12">
        <v>128.327</v>
      </c>
      <c r="I211" s="12">
        <v>270.53399999999999</v>
      </c>
      <c r="J211" s="12">
        <v>123.93</v>
      </c>
      <c r="K211" s="5">
        <v>3.2209343665251404E-2</v>
      </c>
      <c r="L211" s="5">
        <v>2.8654132091227212E-2</v>
      </c>
      <c r="M211" s="8">
        <v>7.6499999999999999E-2</v>
      </c>
      <c r="N211" s="12">
        <v>23208.368333333299</v>
      </c>
      <c r="O211" s="3">
        <f t="shared" si="33"/>
        <v>30</v>
      </c>
      <c r="P211" s="13">
        <v>1991</v>
      </c>
      <c r="Q211" s="14">
        <v>118.69</v>
      </c>
      <c r="R211" s="14">
        <v>168.78</v>
      </c>
      <c r="S211" s="4">
        <f t="shared" si="34"/>
        <v>16.320661437867813</v>
      </c>
      <c r="T211" s="8">
        <f t="shared" si="35"/>
        <v>0.2956264277318193</v>
      </c>
      <c r="U211" s="8">
        <f t="shared" si="36"/>
        <v>0.20051295936940597</v>
      </c>
      <c r="V211" s="9">
        <f t="shared" si="37"/>
        <v>0.47434703216601243</v>
      </c>
      <c r="W211">
        <f t="shared" si="38"/>
        <v>2.3899055918663761</v>
      </c>
      <c r="X211">
        <f t="shared" si="39"/>
        <v>5.4651895866615039</v>
      </c>
      <c r="Y211" s="8">
        <f t="shared" si="40"/>
        <v>0.24611770487035614</v>
      </c>
      <c r="Z211" s="8">
        <f t="shared" si="41"/>
        <v>4.2908598538236253E-2</v>
      </c>
      <c r="AA211" s="10">
        <f t="shared" si="42"/>
        <v>4.4290656334748595E-2</v>
      </c>
      <c r="AB211" s="12">
        <v>402.97500000000002</v>
      </c>
      <c r="AC211" s="12">
        <v>345.63400000000001</v>
      </c>
      <c r="AD211" s="8">
        <f t="shared" si="43"/>
        <v>0.16590092409890234</v>
      </c>
    </row>
    <row r="212" spans="1:30" x14ac:dyDescent="0.3">
      <c r="A212" t="s">
        <v>51</v>
      </c>
      <c r="B212" s="11">
        <v>2020</v>
      </c>
      <c r="C212" s="12">
        <v>309.27699999999999</v>
      </c>
      <c r="D212" s="12">
        <v>2160.5329999999999</v>
      </c>
      <c r="E212" s="12">
        <v>548.029</v>
      </c>
      <c r="F212" s="12">
        <v>185.46199999999999</v>
      </c>
      <c r="G212" s="12">
        <v>2708.5619999999999</v>
      </c>
      <c r="H212" s="12">
        <v>1418.5740000000001</v>
      </c>
      <c r="I212" s="12">
        <v>1289.9880000000001</v>
      </c>
      <c r="J212" s="12">
        <v>1415.97</v>
      </c>
      <c r="K212" s="5">
        <v>3.2209343665251404E-2</v>
      </c>
      <c r="L212" s="5">
        <v>2.8654132091227212E-2</v>
      </c>
      <c r="M212" s="8">
        <v>7.6499999999999999E-2</v>
      </c>
      <c r="N212" s="12">
        <v>23208.368333333299</v>
      </c>
      <c r="O212" s="3">
        <f t="shared" si="33"/>
        <v>39</v>
      </c>
      <c r="P212" s="13">
        <v>1982</v>
      </c>
      <c r="Q212" s="14">
        <v>118.69</v>
      </c>
      <c r="R212" s="14">
        <v>168.78</v>
      </c>
      <c r="S212" s="4">
        <f t="shared" si="34"/>
        <v>16.320661437867813</v>
      </c>
      <c r="T212" s="8">
        <f t="shared" si="35"/>
        <v>0.23975184265279986</v>
      </c>
      <c r="U212" s="8">
        <f t="shared" si="36"/>
        <v>0.11418494389273717</v>
      </c>
      <c r="V212" s="9">
        <f t="shared" si="37"/>
        <v>1.0996799970232281</v>
      </c>
      <c r="W212">
        <f t="shared" si="38"/>
        <v>1.5258324682020099</v>
      </c>
      <c r="X212">
        <f t="shared" si="39"/>
        <v>7.3807472399932532</v>
      </c>
      <c r="Y212" s="8">
        <f t="shared" si="40"/>
        <v>6.847249573759065E-2</v>
      </c>
      <c r="Z212" s="8">
        <f t="shared" si="41"/>
        <v>4.2908598538236253E-2</v>
      </c>
      <c r="AA212" s="10">
        <f t="shared" si="42"/>
        <v>4.4290656334748595E-2</v>
      </c>
      <c r="AB212" s="12">
        <v>3456.7449999999999</v>
      </c>
      <c r="AC212" s="12">
        <v>2538.355</v>
      </c>
      <c r="AD212" s="8">
        <f t="shared" si="43"/>
        <v>0.36180518485397034</v>
      </c>
    </row>
    <row r="213" spans="1:30" x14ac:dyDescent="0.3">
      <c r="A213" t="s">
        <v>52</v>
      </c>
      <c r="B213" s="11">
        <v>2020</v>
      </c>
      <c r="C213" s="12">
        <v>46.414000000000001</v>
      </c>
      <c r="D213" s="12">
        <v>1011.79</v>
      </c>
      <c r="E213" s="12">
        <v>211.001</v>
      </c>
      <c r="F213" s="12">
        <v>160.91200000000001</v>
      </c>
      <c r="G213" s="12">
        <v>1222.79</v>
      </c>
      <c r="H213" s="12">
        <v>564.36199999999997</v>
      </c>
      <c r="I213" s="12">
        <v>658.428</v>
      </c>
      <c r="J213" s="12">
        <v>547.99</v>
      </c>
      <c r="K213" s="5">
        <v>3.2209343665251404E-2</v>
      </c>
      <c r="L213" s="5">
        <v>2.8654132091227212E-2</v>
      </c>
      <c r="M213" s="8">
        <v>7.6499999999999999E-2</v>
      </c>
      <c r="N213" s="12">
        <v>23208.368333333299</v>
      </c>
      <c r="O213" s="3">
        <f t="shared" si="33"/>
        <v>45</v>
      </c>
      <c r="P213" s="13">
        <v>1976</v>
      </c>
      <c r="Q213" s="14">
        <v>118.69</v>
      </c>
      <c r="R213" s="14">
        <v>168.78</v>
      </c>
      <c r="S213" s="4">
        <f t="shared" si="34"/>
        <v>16.320661437867813</v>
      </c>
      <c r="T213" s="8">
        <f t="shared" si="35"/>
        <v>7.0492141889470075E-2</v>
      </c>
      <c r="U213" s="8">
        <f t="shared" si="36"/>
        <v>3.7957457944536678E-2</v>
      </c>
      <c r="V213" s="9">
        <f t="shared" si="37"/>
        <v>0.85713548026511621</v>
      </c>
      <c r="W213">
        <f t="shared" si="38"/>
        <v>1.8463658095950655</v>
      </c>
      <c r="X213">
        <f t="shared" si="39"/>
        <v>6.58546450628927</v>
      </c>
      <c r="Y213" s="8">
        <f t="shared" si="40"/>
        <v>0.13159414126710228</v>
      </c>
      <c r="Z213" s="8">
        <f t="shared" si="41"/>
        <v>4.2908598538236253E-2</v>
      </c>
      <c r="AA213" s="10">
        <f t="shared" si="42"/>
        <v>4.4290656334748595E-2</v>
      </c>
      <c r="AB213" s="12">
        <v>1474.9829999999999</v>
      </c>
      <c r="AC213" s="12">
        <v>1749.298</v>
      </c>
      <c r="AD213" s="8">
        <f t="shared" si="43"/>
        <v>-0.15681433352121826</v>
      </c>
    </row>
    <row r="214" spans="1:30" x14ac:dyDescent="0.3">
      <c r="A214" t="s">
        <v>53</v>
      </c>
      <c r="B214" s="11">
        <v>2020</v>
      </c>
      <c r="C214" s="12">
        <v>-2383.34</v>
      </c>
      <c r="D214" s="12">
        <v>8930.375</v>
      </c>
      <c r="E214" s="12">
        <v>28335.444</v>
      </c>
      <c r="F214" s="12">
        <v>12626.27</v>
      </c>
      <c r="G214" s="12">
        <v>37265.82</v>
      </c>
      <c r="H214" s="12">
        <v>27238.024000000001</v>
      </c>
      <c r="I214" s="12">
        <v>10027.795</v>
      </c>
      <c r="J214" s="12">
        <v>15428.98</v>
      </c>
      <c r="K214" s="5">
        <v>3.2209343665251404E-2</v>
      </c>
      <c r="L214" s="5">
        <v>2.8654132091227212E-2</v>
      </c>
      <c r="M214" s="8">
        <v>7.6499999999999999E-2</v>
      </c>
      <c r="N214" s="12">
        <v>23208.368333333299</v>
      </c>
      <c r="O214" s="3">
        <f t="shared" si="33"/>
        <v>28</v>
      </c>
      <c r="P214" s="13">
        <v>1993</v>
      </c>
      <c r="Q214" s="14">
        <v>118.69</v>
      </c>
      <c r="R214" s="14">
        <v>168.78</v>
      </c>
      <c r="S214" s="4">
        <f t="shared" si="34"/>
        <v>16.320661437867813</v>
      </c>
      <c r="T214" s="8">
        <f t="shared" si="35"/>
        <v>-0.23767338682133013</v>
      </c>
      <c r="U214" s="8">
        <f t="shared" si="36"/>
        <v>-6.3955120268385346E-2</v>
      </c>
      <c r="V214" s="9">
        <f t="shared" si="37"/>
        <v>2.7162525759651053</v>
      </c>
      <c r="W214">
        <f t="shared" si="38"/>
        <v>0.57880527423070094</v>
      </c>
      <c r="X214">
        <f t="shared" si="39"/>
        <v>10.002405925893889</v>
      </c>
      <c r="Y214" s="8">
        <f t="shared" si="40"/>
        <v>0.33881637382459318</v>
      </c>
      <c r="Z214" s="8">
        <f t="shared" si="41"/>
        <v>4.2908598538236253E-2</v>
      </c>
      <c r="AA214" s="10">
        <f t="shared" si="42"/>
        <v>4.4290656334748595E-2</v>
      </c>
      <c r="AB214" s="12">
        <v>3189.9650000000001</v>
      </c>
      <c r="AC214" s="12">
        <v>2091.8330000000001</v>
      </c>
      <c r="AD214" s="8">
        <f t="shared" si="43"/>
        <v>0.52496160066315045</v>
      </c>
    </row>
    <row r="215" spans="1:30" x14ac:dyDescent="0.3">
      <c r="A215" t="s">
        <v>54</v>
      </c>
      <c r="B215" s="11">
        <v>2020</v>
      </c>
      <c r="C215" s="12">
        <v>125.352</v>
      </c>
      <c r="D215" s="12">
        <v>919.05600000000004</v>
      </c>
      <c r="E215" s="12">
        <v>313.31400000000002</v>
      </c>
      <c r="F215" s="12">
        <v>248.54599999999999</v>
      </c>
      <c r="G215" s="12">
        <v>1232.3699999999999</v>
      </c>
      <c r="H215" s="12">
        <v>697.06899999999996</v>
      </c>
      <c r="I215" s="12">
        <v>535.30100000000004</v>
      </c>
      <c r="J215" s="12">
        <v>693.39</v>
      </c>
      <c r="K215" s="5">
        <v>3.2209343665251404E-2</v>
      </c>
      <c r="L215" s="5">
        <v>2.8654132091227212E-2</v>
      </c>
      <c r="M215" s="8">
        <v>7.6499999999999999E-2</v>
      </c>
      <c r="N215" s="12">
        <v>23208.368333333299</v>
      </c>
      <c r="O215" s="3">
        <f t="shared" si="33"/>
        <v>29</v>
      </c>
      <c r="P215" s="13">
        <v>1992</v>
      </c>
      <c r="Q215" s="14">
        <v>118.69</v>
      </c>
      <c r="R215" s="14">
        <v>168.78</v>
      </c>
      <c r="S215" s="4">
        <f t="shared" si="34"/>
        <v>16.320661437867813</v>
      </c>
      <c r="T215" s="8">
        <f t="shared" si="35"/>
        <v>0.23417105516335668</v>
      </c>
      <c r="U215" s="8">
        <f t="shared" si="36"/>
        <v>0.10171620536040314</v>
      </c>
      <c r="V215" s="9">
        <f t="shared" si="37"/>
        <v>1.3022000706144765</v>
      </c>
      <c r="W215">
        <f t="shared" si="38"/>
        <v>1.3254532081512569</v>
      </c>
      <c r="X215">
        <f t="shared" si="39"/>
        <v>6.5932685179386326</v>
      </c>
      <c r="Y215" s="8">
        <f t="shared" si="40"/>
        <v>0.20168131324196467</v>
      </c>
      <c r="Z215" s="8">
        <f t="shared" si="41"/>
        <v>4.2908598538236253E-2</v>
      </c>
      <c r="AA215" s="10">
        <f t="shared" si="42"/>
        <v>4.4290656334748595E-2</v>
      </c>
      <c r="AB215" s="12">
        <v>5569.5519999999997</v>
      </c>
      <c r="AC215" s="12">
        <v>5152.924</v>
      </c>
      <c r="AD215" s="8">
        <f t="shared" si="43"/>
        <v>8.0852735262542136E-2</v>
      </c>
    </row>
    <row r="216" spans="1:30" x14ac:dyDescent="0.3">
      <c r="A216" t="s">
        <v>55</v>
      </c>
      <c r="B216" s="11">
        <v>2020</v>
      </c>
      <c r="C216" s="12">
        <v>286.38799999999998</v>
      </c>
      <c r="D216" s="12">
        <v>653.53099999999995</v>
      </c>
      <c r="E216" s="12">
        <v>3293.1320000000001</v>
      </c>
      <c r="F216" s="12">
        <v>26.216999999999999</v>
      </c>
      <c r="G216" s="12">
        <v>3946.663</v>
      </c>
      <c r="H216" s="12">
        <v>204.559</v>
      </c>
      <c r="I216" s="12">
        <v>3742.1030000000001</v>
      </c>
      <c r="J216" s="12">
        <v>149.88</v>
      </c>
      <c r="K216" s="5">
        <v>3.2209343665251404E-2</v>
      </c>
      <c r="L216" s="5">
        <v>2.8654132091227212E-2</v>
      </c>
      <c r="M216" s="8">
        <v>7.6499999999999999E-2</v>
      </c>
      <c r="N216" s="12">
        <v>23208.368333333299</v>
      </c>
      <c r="O216" s="3">
        <f t="shared" si="33"/>
        <v>13</v>
      </c>
      <c r="P216" s="13">
        <v>2008</v>
      </c>
      <c r="Q216" s="14">
        <v>118.69</v>
      </c>
      <c r="R216" s="14">
        <v>168.78</v>
      </c>
      <c r="S216" s="4">
        <f t="shared" si="34"/>
        <v>16.320661437867813</v>
      </c>
      <c r="T216" s="8">
        <f t="shared" si="35"/>
        <v>7.6531298042838466E-2</v>
      </c>
      <c r="U216" s="8">
        <f t="shared" si="36"/>
        <v>7.256459444345767E-2</v>
      </c>
      <c r="V216" s="9">
        <f t="shared" si="37"/>
        <v>5.466418214570791E-2</v>
      </c>
      <c r="W216">
        <f t="shared" si="38"/>
        <v>4.3603616226314381</v>
      </c>
      <c r="X216">
        <f t="shared" si="39"/>
        <v>7.7571997849736727</v>
      </c>
      <c r="Y216" s="8">
        <f t="shared" si="40"/>
        <v>6.6428271174914094E-3</v>
      </c>
      <c r="Z216" s="8">
        <f t="shared" si="41"/>
        <v>4.2908598538236253E-2</v>
      </c>
      <c r="AA216" s="10">
        <f t="shared" si="42"/>
        <v>4.4290656334748595E-2</v>
      </c>
      <c r="AB216" s="12">
        <v>607.59100000000001</v>
      </c>
      <c r="AC216" s="12">
        <v>592.39599999999996</v>
      </c>
      <c r="AD216" s="8">
        <f t="shared" si="43"/>
        <v>2.5650071911356678E-2</v>
      </c>
    </row>
    <row r="217" spans="1:30" x14ac:dyDescent="0.3">
      <c r="A217" t="s">
        <v>56</v>
      </c>
      <c r="B217" s="11">
        <v>2020</v>
      </c>
      <c r="C217" s="12">
        <v>20.896000000000001</v>
      </c>
      <c r="D217" s="12">
        <v>6229.9319999999998</v>
      </c>
      <c r="E217" s="12">
        <v>18439.935000000001</v>
      </c>
      <c r="F217" s="12">
        <v>9817.4009999999998</v>
      </c>
      <c r="G217" s="12">
        <v>24669.866999999998</v>
      </c>
      <c r="H217" s="12">
        <v>15989.847</v>
      </c>
      <c r="I217" s="12">
        <v>8680.02</v>
      </c>
      <c r="J217" s="12">
        <v>10978.68</v>
      </c>
      <c r="K217" s="5">
        <v>3.2209343665251404E-2</v>
      </c>
      <c r="L217" s="5">
        <v>2.8654132091227212E-2</v>
      </c>
      <c r="M217" s="8">
        <v>7.6499999999999999E-2</v>
      </c>
      <c r="N217" s="12">
        <v>23208.368333333299</v>
      </c>
      <c r="O217" s="3">
        <f t="shared" si="33"/>
        <v>11</v>
      </c>
      <c r="P217" s="13">
        <v>2010</v>
      </c>
      <c r="Q217" s="14">
        <v>118.69</v>
      </c>
      <c r="R217" s="14">
        <v>168.78</v>
      </c>
      <c r="S217" s="4">
        <f t="shared" si="34"/>
        <v>16.320661437867813</v>
      </c>
      <c r="T217" s="8">
        <f t="shared" si="35"/>
        <v>2.4073677249591592E-3</v>
      </c>
      <c r="U217" s="8">
        <f t="shared" si="36"/>
        <v>8.4702523933347519E-4</v>
      </c>
      <c r="V217" s="9">
        <f t="shared" si="37"/>
        <v>1.8421440273179093</v>
      </c>
      <c r="W217">
        <f t="shared" si="38"/>
        <v>0.56745728994742539</v>
      </c>
      <c r="X217">
        <f t="shared" si="39"/>
        <v>9.5899119126037853</v>
      </c>
      <c r="Y217" s="8">
        <f t="shared" si="40"/>
        <v>0.39795111177534925</v>
      </c>
      <c r="Z217" s="8">
        <f t="shared" si="41"/>
        <v>4.2908598538236253E-2</v>
      </c>
      <c r="AA217" s="10">
        <f t="shared" si="42"/>
        <v>4.4290656334748595E-2</v>
      </c>
      <c r="AB217" s="12">
        <v>2374.9119999999998</v>
      </c>
      <c r="AC217" s="12">
        <v>1810.7750000000001</v>
      </c>
      <c r="AD217" s="8">
        <f t="shared" si="43"/>
        <v>0.31154450442490078</v>
      </c>
    </row>
    <row r="218" spans="1:30" x14ac:dyDescent="0.3">
      <c r="A218" t="s">
        <v>57</v>
      </c>
      <c r="B218" s="11">
        <v>2020</v>
      </c>
      <c r="C218" s="12">
        <v>12.005000000000001</v>
      </c>
      <c r="D218" s="12">
        <v>127.342</v>
      </c>
      <c r="E218" s="12">
        <v>132.40799999999999</v>
      </c>
      <c r="F218" s="12">
        <v>10.105</v>
      </c>
      <c r="G218" s="12">
        <v>259.75</v>
      </c>
      <c r="H218" s="12">
        <v>13.781000000000001</v>
      </c>
      <c r="I218" s="12">
        <v>245.96899999999999</v>
      </c>
      <c r="J218" s="12">
        <v>13.78</v>
      </c>
      <c r="K218" s="5">
        <v>3.2209343665251404E-2</v>
      </c>
      <c r="L218" s="5">
        <v>2.8654132091227212E-2</v>
      </c>
      <c r="M218" s="8">
        <v>7.6499999999999999E-2</v>
      </c>
      <c r="N218" s="12">
        <v>23208.368333333299</v>
      </c>
      <c r="O218" s="3">
        <f t="shared" si="33"/>
        <v>6</v>
      </c>
      <c r="P218" s="13">
        <v>2015</v>
      </c>
      <c r="Q218" s="14">
        <v>118.69</v>
      </c>
      <c r="R218" s="14">
        <v>168.78</v>
      </c>
      <c r="S218" s="4">
        <f t="shared" si="34"/>
        <v>16.320661437867813</v>
      </c>
      <c r="T218" s="8">
        <f t="shared" si="35"/>
        <v>4.880696347913762E-2</v>
      </c>
      <c r="U218" s="8">
        <f t="shared" si="36"/>
        <v>4.6217516843118388E-2</v>
      </c>
      <c r="V218" s="9">
        <f t="shared" si="37"/>
        <v>5.6027385564847605E-2</v>
      </c>
      <c r="W218">
        <f t="shared" si="38"/>
        <v>9.2410740203193029</v>
      </c>
      <c r="X218">
        <f t="shared" si="39"/>
        <v>5.0362937242376073</v>
      </c>
      <c r="Y218" s="8">
        <f t="shared" si="40"/>
        <v>3.8902791145332051E-2</v>
      </c>
      <c r="Z218" s="8">
        <f t="shared" si="41"/>
        <v>4.2908598538236253E-2</v>
      </c>
      <c r="AA218" s="10">
        <f t="shared" si="42"/>
        <v>4.4290656334748595E-2</v>
      </c>
      <c r="AB218" s="12">
        <v>242.99299999999999</v>
      </c>
      <c r="AC218" s="12">
        <v>464.52600000000001</v>
      </c>
      <c r="AD218" s="8">
        <f t="shared" si="43"/>
        <v>-0.47690118529425696</v>
      </c>
    </row>
    <row r="219" spans="1:30" x14ac:dyDescent="0.3">
      <c r="A219" t="s">
        <v>58</v>
      </c>
      <c r="B219" s="11">
        <v>2020</v>
      </c>
      <c r="C219" s="12">
        <v>62.238999999999997</v>
      </c>
      <c r="D219" s="12">
        <v>963.18700000000001</v>
      </c>
      <c r="E219" s="12">
        <v>788.05</v>
      </c>
      <c r="F219" s="12">
        <v>737.82600000000002</v>
      </c>
      <c r="G219" s="12">
        <v>1751.2370000000001</v>
      </c>
      <c r="H219" s="12">
        <v>1273.248</v>
      </c>
      <c r="I219" s="12">
        <v>477.99</v>
      </c>
      <c r="J219" s="12">
        <v>946.95</v>
      </c>
      <c r="K219" s="5">
        <v>3.2209343665251404E-2</v>
      </c>
      <c r="L219" s="5">
        <v>2.8654132091227212E-2</v>
      </c>
      <c r="M219" s="8">
        <v>7.6499999999999999E-2</v>
      </c>
      <c r="N219" s="12">
        <v>23208.368333333299</v>
      </c>
      <c r="O219" s="3">
        <f t="shared" si="33"/>
        <v>59</v>
      </c>
      <c r="P219" s="13">
        <v>1962</v>
      </c>
      <c r="Q219" s="14">
        <v>118.69</v>
      </c>
      <c r="R219" s="14">
        <v>168.78</v>
      </c>
      <c r="S219" s="4">
        <f t="shared" si="34"/>
        <v>16.320661437867813</v>
      </c>
      <c r="T219" s="8">
        <f t="shared" si="35"/>
        <v>0.13020983702587918</v>
      </c>
      <c r="U219" s="8">
        <f t="shared" si="36"/>
        <v>3.5540021139343216E-2</v>
      </c>
      <c r="V219" s="9">
        <f t="shared" si="37"/>
        <v>2.6637544718508757</v>
      </c>
      <c r="W219">
        <f t="shared" si="38"/>
        <v>1.0171466286498758</v>
      </c>
      <c r="X219">
        <f t="shared" si="39"/>
        <v>6.9446517686128413</v>
      </c>
      <c r="Y219" s="8">
        <f t="shared" si="40"/>
        <v>0.42131704617935778</v>
      </c>
      <c r="Z219" s="8">
        <f t="shared" si="41"/>
        <v>4.2908598538236253E-2</v>
      </c>
      <c r="AA219" s="10">
        <f t="shared" si="42"/>
        <v>4.4290656334748595E-2</v>
      </c>
      <c r="AB219" s="12">
        <v>3257.2139999999999</v>
      </c>
      <c r="AC219" s="12">
        <v>4254.527</v>
      </c>
      <c r="AD219" s="8">
        <f t="shared" si="43"/>
        <v>-0.23441219200160207</v>
      </c>
    </row>
    <row r="220" spans="1:30" x14ac:dyDescent="0.3">
      <c r="A220" t="s">
        <v>59</v>
      </c>
      <c r="B220" s="11">
        <v>2020</v>
      </c>
      <c r="C220" s="12">
        <v>23.123999999999999</v>
      </c>
      <c r="D220" s="12">
        <v>283.39600000000002</v>
      </c>
      <c r="E220" s="12">
        <v>76.757000000000005</v>
      </c>
      <c r="F220" s="12">
        <v>43.686999999999998</v>
      </c>
      <c r="G220" s="12">
        <v>360.154</v>
      </c>
      <c r="H220" s="12">
        <v>173.82499999999999</v>
      </c>
      <c r="I220" s="12">
        <v>186.32900000000001</v>
      </c>
      <c r="J220" s="12">
        <v>172.24</v>
      </c>
      <c r="K220" s="5">
        <v>3.2209343665251404E-2</v>
      </c>
      <c r="L220" s="5">
        <v>2.8654132091227212E-2</v>
      </c>
      <c r="M220" s="8">
        <v>7.6499999999999999E-2</v>
      </c>
      <c r="N220" s="12">
        <v>23208.368333333299</v>
      </c>
      <c r="O220" s="3">
        <f t="shared" si="33"/>
        <v>23</v>
      </c>
      <c r="P220" s="13">
        <v>1998</v>
      </c>
      <c r="Q220" s="14">
        <v>118.69</v>
      </c>
      <c r="R220" s="14">
        <v>168.78</v>
      </c>
      <c r="S220" s="4">
        <f t="shared" si="34"/>
        <v>16.320661437867813</v>
      </c>
      <c r="T220" s="8">
        <f t="shared" si="35"/>
        <v>0.12410306500866745</v>
      </c>
      <c r="U220" s="8">
        <f t="shared" si="36"/>
        <v>6.4205867490018151E-2</v>
      </c>
      <c r="V220" s="9">
        <f t="shared" si="37"/>
        <v>0.93289289375244855</v>
      </c>
      <c r="W220">
        <f t="shared" si="38"/>
        <v>1.6453553181607059</v>
      </c>
      <c r="X220">
        <f t="shared" si="39"/>
        <v>5.3631058120153758</v>
      </c>
      <c r="Y220" s="8">
        <f t="shared" si="40"/>
        <v>0.12130088795348656</v>
      </c>
      <c r="Z220" s="8">
        <f t="shared" si="41"/>
        <v>4.2908598538236253E-2</v>
      </c>
      <c r="AA220" s="10">
        <f t="shared" si="42"/>
        <v>4.4290656334748595E-2</v>
      </c>
      <c r="AB220" s="12">
        <v>781.423</v>
      </c>
      <c r="AC220" s="12">
        <v>823.49</v>
      </c>
      <c r="AD220" s="8">
        <f t="shared" si="43"/>
        <v>-5.1083801867660816E-2</v>
      </c>
    </row>
    <row r="221" spans="1:30" x14ac:dyDescent="0.3">
      <c r="A221" t="s">
        <v>60</v>
      </c>
      <c r="B221" s="11">
        <v>2020</v>
      </c>
      <c r="C221" s="12">
        <v>107.133</v>
      </c>
      <c r="D221" s="12">
        <v>5426.5020000000004</v>
      </c>
      <c r="E221" s="12">
        <v>2287.134</v>
      </c>
      <c r="F221" s="12">
        <v>1175.1769999999999</v>
      </c>
      <c r="G221" s="12">
        <v>7713.6360000000004</v>
      </c>
      <c r="H221" s="12">
        <v>4714.9520000000002</v>
      </c>
      <c r="I221" s="12">
        <v>2998.6840000000002</v>
      </c>
      <c r="J221" s="12">
        <v>4265.93</v>
      </c>
      <c r="K221" s="5">
        <v>3.2209343665251404E-2</v>
      </c>
      <c r="L221" s="5">
        <v>2.8654132091227212E-2</v>
      </c>
      <c r="M221" s="8">
        <v>7.6499999999999999E-2</v>
      </c>
      <c r="N221" s="12">
        <v>23208.368333333299</v>
      </c>
      <c r="O221" s="3">
        <f t="shared" si="33"/>
        <v>18</v>
      </c>
      <c r="P221" s="13">
        <v>2003</v>
      </c>
      <c r="Q221" s="14">
        <v>118.69</v>
      </c>
      <c r="R221" s="14">
        <v>168.78</v>
      </c>
      <c r="S221" s="4">
        <f t="shared" si="34"/>
        <v>16.320661437867813</v>
      </c>
      <c r="T221" s="8">
        <f t="shared" si="35"/>
        <v>3.5726672100161269E-2</v>
      </c>
      <c r="U221" s="8">
        <f t="shared" si="36"/>
        <v>1.3888780855098684E-2</v>
      </c>
      <c r="V221" s="9">
        <f t="shared" si="37"/>
        <v>1.572340399988795</v>
      </c>
      <c r="W221">
        <f t="shared" si="38"/>
        <v>1.2720560346747367</v>
      </c>
      <c r="X221">
        <f t="shared" si="39"/>
        <v>8.4273190449802566</v>
      </c>
      <c r="Y221" s="8">
        <f t="shared" si="40"/>
        <v>0.15235059056455344</v>
      </c>
      <c r="Z221" s="8">
        <f t="shared" si="41"/>
        <v>4.2908598538236253E-2</v>
      </c>
      <c r="AA221" s="10">
        <f t="shared" si="42"/>
        <v>4.4290656334748595E-2</v>
      </c>
      <c r="AB221" s="12">
        <v>6373.7820000000002</v>
      </c>
      <c r="AC221" s="12">
        <v>7744.4089999999997</v>
      </c>
      <c r="AD221" s="8">
        <f t="shared" si="43"/>
        <v>-0.17698277557396563</v>
      </c>
    </row>
    <row r="222" spans="1:30" x14ac:dyDescent="0.3">
      <c r="A222" t="s">
        <v>61</v>
      </c>
      <c r="B222" s="11">
        <v>2020</v>
      </c>
      <c r="C222" s="12">
        <v>330.238</v>
      </c>
      <c r="D222" s="12">
        <v>5477.4970000000003</v>
      </c>
      <c r="E222" s="12">
        <v>6871.6580000000004</v>
      </c>
      <c r="F222" s="12">
        <v>2676.57</v>
      </c>
      <c r="G222" s="12">
        <v>12349.155000000001</v>
      </c>
      <c r="H222" s="12">
        <v>4649.768</v>
      </c>
      <c r="I222" s="12">
        <v>7699.3869999999997</v>
      </c>
      <c r="J222" s="12">
        <v>3805.34</v>
      </c>
      <c r="K222" s="5">
        <v>3.2209343665251404E-2</v>
      </c>
      <c r="L222" s="5">
        <v>2.8654132091227212E-2</v>
      </c>
      <c r="M222" s="8">
        <v>7.6499999999999999E-2</v>
      </c>
      <c r="N222" s="12">
        <v>23208.368333333299</v>
      </c>
      <c r="O222" s="3">
        <f t="shared" si="33"/>
        <v>28</v>
      </c>
      <c r="P222" s="13">
        <v>1993</v>
      </c>
      <c r="Q222" s="14">
        <v>118.69</v>
      </c>
      <c r="R222" s="14">
        <v>168.78</v>
      </c>
      <c r="S222" s="4">
        <f t="shared" si="34"/>
        <v>16.320661437867813</v>
      </c>
      <c r="T222" s="8">
        <f t="shared" si="35"/>
        <v>4.2891466554415308E-2</v>
      </c>
      <c r="U222" s="8">
        <f t="shared" si="36"/>
        <v>2.6741748726937187E-2</v>
      </c>
      <c r="V222" s="9">
        <f t="shared" si="37"/>
        <v>0.60391405185893376</v>
      </c>
      <c r="W222">
        <f t="shared" si="38"/>
        <v>1.439423809699002</v>
      </c>
      <c r="X222">
        <f t="shared" si="39"/>
        <v>8.8979170129209351</v>
      </c>
      <c r="Y222" s="8">
        <f t="shared" si="40"/>
        <v>0.21674114544679374</v>
      </c>
      <c r="Z222" s="8">
        <f t="shared" si="41"/>
        <v>4.2908598538236253E-2</v>
      </c>
      <c r="AA222" s="10">
        <f t="shared" si="42"/>
        <v>4.4290656334748595E-2</v>
      </c>
      <c r="AB222" s="12">
        <v>8465.7649999999994</v>
      </c>
      <c r="AC222" s="12">
        <v>7330.2039999999997</v>
      </c>
      <c r="AD222" s="8">
        <f t="shared" si="43"/>
        <v>0.15491533387065348</v>
      </c>
    </row>
    <row r="223" spans="1:30" x14ac:dyDescent="0.3">
      <c r="A223" t="s">
        <v>62</v>
      </c>
      <c r="B223" s="11">
        <v>2020</v>
      </c>
      <c r="C223" s="12">
        <v>0.182</v>
      </c>
      <c r="D223" s="12">
        <v>775.12900000000002</v>
      </c>
      <c r="E223" s="12">
        <v>330.16300000000001</v>
      </c>
      <c r="F223" s="12">
        <v>305.51499999999999</v>
      </c>
      <c r="G223" s="12">
        <v>1105.2919999999999</v>
      </c>
      <c r="H223" s="12">
        <v>505.36599999999999</v>
      </c>
      <c r="I223" s="12">
        <v>599.92700000000002</v>
      </c>
      <c r="J223" s="12">
        <v>497.07</v>
      </c>
      <c r="K223" s="5">
        <v>3.2209343665251404E-2</v>
      </c>
      <c r="L223" s="5">
        <v>2.8654132091227212E-2</v>
      </c>
      <c r="M223" s="8">
        <v>7.6499999999999999E-2</v>
      </c>
      <c r="N223" s="12">
        <v>23208.368333333299</v>
      </c>
      <c r="O223" s="3">
        <f t="shared" si="33"/>
        <v>20</v>
      </c>
      <c r="P223" s="13">
        <v>2001</v>
      </c>
      <c r="Q223" s="14">
        <v>118.69</v>
      </c>
      <c r="R223" s="14">
        <v>168.78</v>
      </c>
      <c r="S223" s="4">
        <f t="shared" si="34"/>
        <v>16.320661437867813</v>
      </c>
      <c r="T223" s="8">
        <f t="shared" si="35"/>
        <v>3.0337024337961119E-4</v>
      </c>
      <c r="U223" s="8">
        <f t="shared" si="36"/>
        <v>1.6466236976292239E-4</v>
      </c>
      <c r="V223" s="9">
        <f t="shared" si="37"/>
        <v>0.8423791561306625</v>
      </c>
      <c r="W223">
        <f t="shared" si="38"/>
        <v>1.5593960609169735</v>
      </c>
      <c r="X223">
        <f t="shared" si="39"/>
        <v>6.4844389266950104</v>
      </c>
      <c r="Y223" s="8">
        <f t="shared" si="40"/>
        <v>0.27641112031933646</v>
      </c>
      <c r="Z223" s="8">
        <f t="shared" si="41"/>
        <v>4.2908598538236253E-2</v>
      </c>
      <c r="AA223" s="10">
        <f t="shared" si="42"/>
        <v>4.4290656334748595E-2</v>
      </c>
      <c r="AB223" s="12">
        <v>416.928</v>
      </c>
      <c r="AC223" s="12">
        <v>544.95000000000005</v>
      </c>
      <c r="AD223" s="8">
        <f t="shared" si="43"/>
        <v>-0.23492430498210851</v>
      </c>
    </row>
    <row r="224" spans="1:30" x14ac:dyDescent="0.3">
      <c r="A224" t="s">
        <v>63</v>
      </c>
      <c r="B224" s="11">
        <v>2020</v>
      </c>
      <c r="C224" s="12">
        <v>24.253</v>
      </c>
      <c r="D224" s="12">
        <v>128.10400000000001</v>
      </c>
      <c r="E224" s="12">
        <v>79.441000000000003</v>
      </c>
      <c r="F224" s="12">
        <v>61.052</v>
      </c>
      <c r="G224" s="12">
        <v>207.54499999999999</v>
      </c>
      <c r="H224" s="12">
        <v>48.981999999999999</v>
      </c>
      <c r="I224" s="12">
        <v>158.56299999999999</v>
      </c>
      <c r="J224" s="12">
        <v>46.43</v>
      </c>
      <c r="K224" s="5">
        <v>3.2209343665251404E-2</v>
      </c>
      <c r="L224" s="5">
        <v>2.8654132091227212E-2</v>
      </c>
      <c r="M224" s="8">
        <v>7.6499999999999999E-2</v>
      </c>
      <c r="N224" s="12">
        <v>23208.368333333299</v>
      </c>
      <c r="O224" s="3">
        <f t="shared" si="33"/>
        <v>36</v>
      </c>
      <c r="P224" s="13">
        <v>1985</v>
      </c>
      <c r="Q224" s="14">
        <v>118.69</v>
      </c>
      <c r="R224" s="14">
        <v>168.78</v>
      </c>
      <c r="S224" s="4">
        <f t="shared" si="34"/>
        <v>16.320661437867813</v>
      </c>
      <c r="T224" s="8">
        <f t="shared" si="35"/>
        <v>0.15295497688615883</v>
      </c>
      <c r="U224" s="8">
        <f t="shared" si="36"/>
        <v>0.11685658531884652</v>
      </c>
      <c r="V224" s="9">
        <f t="shared" si="37"/>
        <v>0.30891191513783167</v>
      </c>
      <c r="W224">
        <f t="shared" si="38"/>
        <v>2.7590781822097785</v>
      </c>
      <c r="X224">
        <f t="shared" si="39"/>
        <v>4.8119222778865529</v>
      </c>
      <c r="Y224" s="8">
        <f t="shared" si="40"/>
        <v>0.29416271170107688</v>
      </c>
      <c r="Z224" s="8">
        <f t="shared" si="41"/>
        <v>4.2908598538236253E-2</v>
      </c>
      <c r="AA224" s="10">
        <f t="shared" si="42"/>
        <v>4.4290656334748595E-2</v>
      </c>
      <c r="AB224" s="12">
        <v>408.07100000000003</v>
      </c>
      <c r="AC224" s="12">
        <v>471.88799999999998</v>
      </c>
      <c r="AD224" s="8">
        <f t="shared" si="43"/>
        <v>-0.1352375987522462</v>
      </c>
    </row>
    <row r="225" spans="1:30" x14ac:dyDescent="0.3">
      <c r="A225" t="s">
        <v>64</v>
      </c>
      <c r="B225" s="11">
        <v>2020</v>
      </c>
      <c r="C225" s="12">
        <v>230.108</v>
      </c>
      <c r="D225" s="12">
        <v>557.21500000000003</v>
      </c>
      <c r="E225" s="12">
        <v>460.45400000000001</v>
      </c>
      <c r="F225" s="12">
        <v>400.68400000000003</v>
      </c>
      <c r="G225" s="12">
        <v>1017.669</v>
      </c>
      <c r="H225" s="12">
        <v>380.17500000000001</v>
      </c>
      <c r="I225" s="12">
        <v>637.49400000000003</v>
      </c>
      <c r="J225" s="12">
        <v>372.27</v>
      </c>
      <c r="K225" s="5">
        <v>3.2209343665251404E-2</v>
      </c>
      <c r="L225" s="5">
        <v>2.8654132091227212E-2</v>
      </c>
      <c r="M225" s="8">
        <v>7.6499999999999999E-2</v>
      </c>
      <c r="N225" s="12">
        <v>23208.368333333299</v>
      </c>
      <c r="O225" s="3">
        <f t="shared" si="33"/>
        <v>49</v>
      </c>
      <c r="P225" s="13">
        <v>1972</v>
      </c>
      <c r="Q225" s="14">
        <v>118.69</v>
      </c>
      <c r="R225" s="14">
        <v>168.78</v>
      </c>
      <c r="S225" s="4">
        <f t="shared" si="34"/>
        <v>16.320661437867813</v>
      </c>
      <c r="T225" s="8">
        <f t="shared" si="35"/>
        <v>0.36095712273370417</v>
      </c>
      <c r="U225" s="8">
        <f t="shared" si="36"/>
        <v>0.22611281271218836</v>
      </c>
      <c r="V225" s="9">
        <f t="shared" si="37"/>
        <v>0.59635855396286086</v>
      </c>
      <c r="W225">
        <f t="shared" si="38"/>
        <v>1.4968033953850701</v>
      </c>
      <c r="X225">
        <f t="shared" si="39"/>
        <v>6.4018440911491385</v>
      </c>
      <c r="Y225" s="8">
        <f t="shared" si="40"/>
        <v>0.39372723351109251</v>
      </c>
      <c r="Z225" s="8">
        <f t="shared" si="41"/>
        <v>4.2908598538236253E-2</v>
      </c>
      <c r="AA225" s="10">
        <f t="shared" si="42"/>
        <v>4.4290656334748595E-2</v>
      </c>
      <c r="AB225" s="12">
        <v>2991.9009999999998</v>
      </c>
      <c r="AC225" s="12">
        <v>2567.7359999999999</v>
      </c>
      <c r="AD225" s="8">
        <f t="shared" si="43"/>
        <v>0.16519026878152582</v>
      </c>
    </row>
    <row r="226" spans="1:30" x14ac:dyDescent="0.3">
      <c r="A226" t="s">
        <v>65</v>
      </c>
      <c r="B226" s="11">
        <v>2020</v>
      </c>
      <c r="C226" s="12">
        <v>18.042000000000002</v>
      </c>
      <c r="D226" s="12">
        <v>735.89700000000005</v>
      </c>
      <c r="E226" s="12">
        <v>1586.5150000000001</v>
      </c>
      <c r="F226" s="12">
        <v>1174.0260000000001</v>
      </c>
      <c r="G226" s="12">
        <v>2322.4119999999998</v>
      </c>
      <c r="H226" s="12">
        <v>806.80700000000002</v>
      </c>
      <c r="I226" s="12">
        <v>1515.605</v>
      </c>
      <c r="J226" s="12">
        <v>731.74</v>
      </c>
      <c r="K226" s="5">
        <v>3.2209343665251404E-2</v>
      </c>
      <c r="L226" s="5">
        <v>2.8654132091227212E-2</v>
      </c>
      <c r="M226" s="8">
        <v>7.6499999999999999E-2</v>
      </c>
      <c r="N226" s="12">
        <v>23208.368333333299</v>
      </c>
      <c r="O226" s="3">
        <f t="shared" si="33"/>
        <v>41</v>
      </c>
      <c r="P226" s="13">
        <v>1980</v>
      </c>
      <c r="Q226" s="14">
        <v>118.69</v>
      </c>
      <c r="R226" s="14">
        <v>168.78</v>
      </c>
      <c r="S226" s="4">
        <f t="shared" si="34"/>
        <v>16.320661437867813</v>
      </c>
      <c r="T226" s="8">
        <f t="shared" si="35"/>
        <v>1.1904157085784225E-2</v>
      </c>
      <c r="U226" s="8">
        <f t="shared" si="36"/>
        <v>7.7686474234545822E-3</v>
      </c>
      <c r="V226" s="9">
        <f t="shared" si="37"/>
        <v>0.53233329264551121</v>
      </c>
      <c r="W226">
        <f t="shared" si="38"/>
        <v>1.005680979582912</v>
      </c>
      <c r="X226">
        <f t="shared" si="39"/>
        <v>7.2269356740238919</v>
      </c>
      <c r="Y226" s="8">
        <f t="shared" si="40"/>
        <v>0.50552012304449001</v>
      </c>
      <c r="Z226" s="8">
        <f t="shared" si="41"/>
        <v>4.2908598538236253E-2</v>
      </c>
      <c r="AA226" s="10">
        <f t="shared" si="42"/>
        <v>4.4290656334748595E-2</v>
      </c>
      <c r="AB226" s="12">
        <v>1470.8620000000001</v>
      </c>
      <c r="AC226" s="12">
        <v>1717.77</v>
      </c>
      <c r="AD226" s="8">
        <f t="shared" si="43"/>
        <v>-0.1437375201569476</v>
      </c>
    </row>
    <row r="227" spans="1:30" x14ac:dyDescent="0.3">
      <c r="A227" t="s">
        <v>66</v>
      </c>
      <c r="B227" s="11">
        <v>2020</v>
      </c>
      <c r="C227" s="12">
        <v>280.73500000000001</v>
      </c>
      <c r="D227" s="12">
        <v>1035.836</v>
      </c>
      <c r="E227" s="12">
        <v>186.76</v>
      </c>
      <c r="F227" s="12">
        <v>151.32599999999999</v>
      </c>
      <c r="G227" s="12">
        <v>1222.596</v>
      </c>
      <c r="H227" s="12">
        <v>310.68599999999998</v>
      </c>
      <c r="I227" s="12">
        <v>911.91</v>
      </c>
      <c r="J227" s="12">
        <v>250.6</v>
      </c>
      <c r="K227" s="5">
        <v>3.2209343665251404E-2</v>
      </c>
      <c r="L227" s="5">
        <v>2.8654132091227212E-2</v>
      </c>
      <c r="M227" s="8">
        <v>7.6499999999999999E-2</v>
      </c>
      <c r="N227" s="12">
        <v>23208.368333333299</v>
      </c>
      <c r="O227" s="3">
        <f t="shared" si="33"/>
        <v>63</v>
      </c>
      <c r="P227" s="13">
        <v>1958</v>
      </c>
      <c r="Q227" s="14">
        <v>118.69</v>
      </c>
      <c r="R227" s="14">
        <v>168.78</v>
      </c>
      <c r="S227" s="4">
        <f t="shared" si="34"/>
        <v>16.320661437867813</v>
      </c>
      <c r="T227" s="8">
        <f t="shared" si="35"/>
        <v>0.30785384522595433</v>
      </c>
      <c r="U227" s="8">
        <f t="shared" si="36"/>
        <v>0.22962205012939679</v>
      </c>
      <c r="V227" s="9">
        <f t="shared" si="37"/>
        <v>0.34069809520676381</v>
      </c>
      <c r="W227">
        <f t="shared" si="38"/>
        <v>4.1334237829209899</v>
      </c>
      <c r="X227">
        <f t="shared" si="39"/>
        <v>6.5853058401315288</v>
      </c>
      <c r="Y227" s="8">
        <f t="shared" si="40"/>
        <v>0.12377432937781573</v>
      </c>
      <c r="Z227" s="8">
        <f t="shared" si="41"/>
        <v>4.2908598538236253E-2</v>
      </c>
      <c r="AA227" s="10">
        <f t="shared" si="42"/>
        <v>4.4290656334748595E-2</v>
      </c>
      <c r="AB227" s="12">
        <v>2825.5540000000001</v>
      </c>
      <c r="AC227" s="12">
        <v>2562.4070000000002</v>
      </c>
      <c r="AD227" s="8">
        <f t="shared" si="43"/>
        <v>0.10269523928087923</v>
      </c>
    </row>
    <row r="228" spans="1:30" x14ac:dyDescent="0.3">
      <c r="A228" t="s">
        <v>67</v>
      </c>
      <c r="B228" s="11">
        <v>2020</v>
      </c>
      <c r="C228" s="12">
        <v>231.79499999999999</v>
      </c>
      <c r="D228" s="12">
        <v>2001.2429999999999</v>
      </c>
      <c r="E228" s="12">
        <v>626.51300000000003</v>
      </c>
      <c r="F228" s="12">
        <v>554.58399999999995</v>
      </c>
      <c r="G228" s="12">
        <v>2627.7550000000001</v>
      </c>
      <c r="H228" s="12">
        <v>1185.5550000000001</v>
      </c>
      <c r="I228" s="12">
        <v>1442.2</v>
      </c>
      <c r="J228" s="12">
        <v>1185.56</v>
      </c>
      <c r="K228" s="5">
        <v>3.2209343665251404E-2</v>
      </c>
      <c r="L228" s="5">
        <v>2.8654132091227212E-2</v>
      </c>
      <c r="M228" s="8">
        <v>7.6499999999999999E-2</v>
      </c>
      <c r="N228" s="12">
        <v>23208.368333333299</v>
      </c>
      <c r="O228" s="3">
        <f t="shared" si="33"/>
        <v>33</v>
      </c>
      <c r="P228" s="13">
        <v>1988</v>
      </c>
      <c r="Q228" s="14">
        <v>118.69</v>
      </c>
      <c r="R228" s="14">
        <v>168.78</v>
      </c>
      <c r="S228" s="4">
        <f t="shared" si="34"/>
        <v>16.320661437867813</v>
      </c>
      <c r="T228" s="8">
        <f t="shared" si="35"/>
        <v>0.16072320066564968</v>
      </c>
      <c r="U228" s="8">
        <f t="shared" si="36"/>
        <v>8.821027835547833E-2</v>
      </c>
      <c r="V228" s="9">
        <f t="shared" si="37"/>
        <v>0.82204617944806546</v>
      </c>
      <c r="W228">
        <f t="shared" si="38"/>
        <v>1.688014946523162</v>
      </c>
      <c r="X228">
        <f t="shared" si="39"/>
        <v>7.3504592427284523</v>
      </c>
      <c r="Y228" s="8">
        <f t="shared" si="40"/>
        <v>0.21104859471297741</v>
      </c>
      <c r="Z228" s="8">
        <f t="shared" si="41"/>
        <v>4.2908598538236253E-2</v>
      </c>
      <c r="AA228" s="10">
        <f t="shared" si="42"/>
        <v>4.4290656334748595E-2</v>
      </c>
      <c r="AB228" s="12">
        <v>3817.9250000000002</v>
      </c>
      <c r="AC228" s="12">
        <v>4411.8720000000003</v>
      </c>
      <c r="AD228" s="8">
        <f t="shared" si="43"/>
        <v>-0.13462471259365641</v>
      </c>
    </row>
    <row r="229" spans="1:30" x14ac:dyDescent="0.3">
      <c r="A229" t="s">
        <v>68</v>
      </c>
      <c r="B229" s="11">
        <v>2020</v>
      </c>
      <c r="C229" s="12">
        <v>1395.0129999999999</v>
      </c>
      <c r="D229" s="12">
        <v>29760.685000000001</v>
      </c>
      <c r="E229" s="12">
        <v>85975.876999999993</v>
      </c>
      <c r="F229" s="12">
        <v>49582.186999999998</v>
      </c>
      <c r="G229" s="12">
        <v>115736.56200000001</v>
      </c>
      <c r="H229" s="12">
        <v>90706.282999999996</v>
      </c>
      <c r="I229" s="12">
        <v>25030.278999999999</v>
      </c>
      <c r="J229" s="12">
        <v>38874.660000000003</v>
      </c>
      <c r="K229" s="5">
        <v>3.2209343665251404E-2</v>
      </c>
      <c r="L229" s="5">
        <v>2.8654132091227212E-2</v>
      </c>
      <c r="M229" s="8">
        <v>7.6499999999999999E-2</v>
      </c>
      <c r="N229" s="12">
        <v>23208.368333333299</v>
      </c>
      <c r="O229" s="3">
        <f t="shared" si="33"/>
        <v>17</v>
      </c>
      <c r="P229" s="13">
        <v>2004</v>
      </c>
      <c r="Q229" s="14">
        <v>118.69</v>
      </c>
      <c r="R229" s="14">
        <v>168.78</v>
      </c>
      <c r="S229" s="4">
        <f t="shared" si="34"/>
        <v>16.320661437867813</v>
      </c>
      <c r="T229" s="8">
        <f t="shared" si="35"/>
        <v>5.5733018397437759E-2</v>
      </c>
      <c r="U229" s="8">
        <f t="shared" si="36"/>
        <v>1.2053347497915135E-2</v>
      </c>
      <c r="V229" s="9">
        <f t="shared" si="37"/>
        <v>3.6238622430057612</v>
      </c>
      <c r="W229">
        <f t="shared" si="38"/>
        <v>0.76555486273063222</v>
      </c>
      <c r="X229">
        <f t="shared" si="39"/>
        <v>11.135645964434804</v>
      </c>
      <c r="Y229" s="8">
        <f t="shared" si="40"/>
        <v>0.42840556297153526</v>
      </c>
      <c r="Z229" s="8">
        <f t="shared" si="41"/>
        <v>4.2908598538236253E-2</v>
      </c>
      <c r="AA229" s="10">
        <f t="shared" si="42"/>
        <v>4.4290656334748595E-2</v>
      </c>
      <c r="AB229" s="12">
        <v>78868.319000000003</v>
      </c>
      <c r="AC229" s="12">
        <v>38818.747000000003</v>
      </c>
      <c r="AD229" s="8">
        <f t="shared" si="43"/>
        <v>1.0317069739525595</v>
      </c>
    </row>
    <row r="230" spans="1:30" x14ac:dyDescent="0.3">
      <c r="A230" t="s">
        <v>69</v>
      </c>
      <c r="B230" s="11">
        <v>2020</v>
      </c>
      <c r="C230" s="12">
        <v>61.314999999999998</v>
      </c>
      <c r="D230" s="12">
        <v>972.42</v>
      </c>
      <c r="E230" s="12">
        <v>560.95899999999995</v>
      </c>
      <c r="F230" s="12">
        <v>350.70600000000002</v>
      </c>
      <c r="G230" s="12">
        <v>1533.3789999999999</v>
      </c>
      <c r="H230" s="12">
        <v>782.47299999999996</v>
      </c>
      <c r="I230" s="12">
        <v>750.90599999999995</v>
      </c>
      <c r="J230" s="12">
        <v>594.80999999999995</v>
      </c>
      <c r="K230" s="5">
        <v>3.2209343665251404E-2</v>
      </c>
      <c r="L230" s="5">
        <v>2.8654132091227212E-2</v>
      </c>
      <c r="M230" s="8">
        <v>7.6499999999999999E-2</v>
      </c>
      <c r="N230" s="12">
        <v>23208.368333333299</v>
      </c>
      <c r="O230" s="3">
        <f t="shared" si="33"/>
        <v>26</v>
      </c>
      <c r="P230" s="13">
        <v>1995</v>
      </c>
      <c r="Q230" s="14">
        <v>118.69</v>
      </c>
      <c r="R230" s="14">
        <v>168.78</v>
      </c>
      <c r="S230" s="4">
        <f t="shared" si="34"/>
        <v>16.320661437867813</v>
      </c>
      <c r="T230" s="8">
        <f t="shared" si="35"/>
        <v>8.1654694462422725E-2</v>
      </c>
      <c r="U230" s="8">
        <f t="shared" si="36"/>
        <v>3.9986852565477946E-2</v>
      </c>
      <c r="V230" s="9">
        <f t="shared" si="37"/>
        <v>1.0420385507640104</v>
      </c>
      <c r="W230">
        <f t="shared" si="38"/>
        <v>1.6348413779189994</v>
      </c>
      <c r="X230">
        <f t="shared" si="39"/>
        <v>6.8118031702325501</v>
      </c>
      <c r="Y230" s="8">
        <f t="shared" si="40"/>
        <v>0.22871449263358898</v>
      </c>
      <c r="Z230" s="8">
        <f t="shared" si="41"/>
        <v>4.2908598538236253E-2</v>
      </c>
      <c r="AA230" s="10">
        <f t="shared" si="42"/>
        <v>4.4290656334748595E-2</v>
      </c>
      <c r="AB230" s="12">
        <v>1216.0550000000001</v>
      </c>
      <c r="AC230" s="12">
        <v>1069.7439999999999</v>
      </c>
      <c r="AD230" s="8">
        <f t="shared" si="43"/>
        <v>0.13677197535111218</v>
      </c>
    </row>
    <row r="231" spans="1:30" x14ac:dyDescent="0.3">
      <c r="A231" t="s">
        <v>70</v>
      </c>
      <c r="B231" s="11">
        <v>2020</v>
      </c>
      <c r="C231" s="12">
        <v>72.956000000000003</v>
      </c>
      <c r="D231" s="12">
        <v>368.11799999999999</v>
      </c>
      <c r="E231" s="12">
        <v>514.63</v>
      </c>
      <c r="F231" s="12">
        <v>357.07100000000003</v>
      </c>
      <c r="G231" s="12">
        <v>882.74900000000002</v>
      </c>
      <c r="H231" s="12">
        <v>520.87699999999995</v>
      </c>
      <c r="I231" s="12">
        <v>361.87099999999998</v>
      </c>
      <c r="J231" s="12">
        <v>405.91</v>
      </c>
      <c r="K231" s="5">
        <v>3.2209343665251404E-2</v>
      </c>
      <c r="L231" s="5">
        <v>2.8654132091227212E-2</v>
      </c>
      <c r="M231" s="8">
        <v>7.6499999999999999E-2</v>
      </c>
      <c r="N231" s="12">
        <v>23208.368333333299</v>
      </c>
      <c r="O231" s="3">
        <f t="shared" si="33"/>
        <v>28</v>
      </c>
      <c r="P231" s="13">
        <v>1993</v>
      </c>
      <c r="Q231" s="14">
        <v>118.69</v>
      </c>
      <c r="R231" s="14">
        <v>168.78</v>
      </c>
      <c r="S231" s="4">
        <f t="shared" si="34"/>
        <v>16.320661437867813</v>
      </c>
      <c r="T231" s="8">
        <f t="shared" si="35"/>
        <v>0.20160775524979899</v>
      </c>
      <c r="U231" s="8">
        <f t="shared" si="36"/>
        <v>8.2646369466292238E-2</v>
      </c>
      <c r="V231" s="9">
        <f t="shared" si="37"/>
        <v>1.4393996755749976</v>
      </c>
      <c r="W231">
        <f t="shared" si="38"/>
        <v>0.90689561725505652</v>
      </c>
      <c r="X231">
        <f t="shared" si="39"/>
        <v>6.2596149962425622</v>
      </c>
      <c r="Y231" s="8">
        <f t="shared" si="40"/>
        <v>0.40449890059348698</v>
      </c>
      <c r="Z231" s="8">
        <f t="shared" si="41"/>
        <v>4.2908598538236253E-2</v>
      </c>
      <c r="AA231" s="10">
        <f t="shared" si="42"/>
        <v>4.4290656334748595E-2</v>
      </c>
      <c r="AB231" s="12">
        <v>887.13400000000001</v>
      </c>
      <c r="AC231" s="12">
        <v>224.50899999999999</v>
      </c>
      <c r="AD231" s="8">
        <f t="shared" si="43"/>
        <v>2.9514406994819811</v>
      </c>
    </row>
    <row r="232" spans="1:30" x14ac:dyDescent="0.3">
      <c r="A232" t="s">
        <v>71</v>
      </c>
      <c r="B232" s="11">
        <v>2020</v>
      </c>
      <c r="C232" s="12">
        <v>194.815</v>
      </c>
      <c r="D232" s="12">
        <v>866.66</v>
      </c>
      <c r="E232" s="12">
        <v>934.89200000000005</v>
      </c>
      <c r="F232" s="12">
        <v>775.07100000000003</v>
      </c>
      <c r="G232" s="12">
        <v>1801.5519999999999</v>
      </c>
      <c r="H232" s="12">
        <v>600.10900000000004</v>
      </c>
      <c r="I232" s="12">
        <v>1201.443</v>
      </c>
      <c r="J232" s="12">
        <v>534.53</v>
      </c>
      <c r="K232" s="5">
        <v>3.2209343665251404E-2</v>
      </c>
      <c r="L232" s="5">
        <v>2.8654132091227212E-2</v>
      </c>
      <c r="M232" s="8">
        <v>7.6499999999999999E-2</v>
      </c>
      <c r="N232" s="12">
        <v>23208.368333333299</v>
      </c>
      <c r="O232" s="3">
        <f t="shared" si="33"/>
        <v>53</v>
      </c>
      <c r="P232" s="13">
        <v>1968</v>
      </c>
      <c r="Q232" s="14">
        <v>118.69</v>
      </c>
      <c r="R232" s="14">
        <v>168.78</v>
      </c>
      <c r="S232" s="4">
        <f t="shared" si="34"/>
        <v>16.320661437867813</v>
      </c>
      <c r="T232" s="8">
        <f t="shared" si="35"/>
        <v>0.16215084693988813</v>
      </c>
      <c r="U232" s="8">
        <f t="shared" si="36"/>
        <v>0.10813731715765074</v>
      </c>
      <c r="V232" s="9">
        <f t="shared" si="37"/>
        <v>0.49949019637219583</v>
      </c>
      <c r="W232">
        <f t="shared" si="38"/>
        <v>1.6213495968420857</v>
      </c>
      <c r="X232">
        <f t="shared" si="39"/>
        <v>6.9729778888646976</v>
      </c>
      <c r="Y232" s="8">
        <f t="shared" si="40"/>
        <v>0.43022405126246704</v>
      </c>
      <c r="Z232" s="8">
        <f t="shared" si="41"/>
        <v>4.2908598538236253E-2</v>
      </c>
      <c r="AA232" s="10">
        <f t="shared" si="42"/>
        <v>4.4290656334748595E-2</v>
      </c>
      <c r="AB232" s="12">
        <v>1790.7639999999999</v>
      </c>
      <c r="AC232" s="12">
        <v>1652.5129999999999</v>
      </c>
      <c r="AD232" s="8">
        <f t="shared" si="43"/>
        <v>8.3661066509007787E-2</v>
      </c>
    </row>
    <row r="233" spans="1:30" x14ac:dyDescent="0.3">
      <c r="A233" t="s">
        <v>72</v>
      </c>
      <c r="B233" s="11">
        <v>2020</v>
      </c>
      <c r="C233" s="12">
        <v>333.22300000000001</v>
      </c>
      <c r="D233" s="12">
        <v>6169.0529999999999</v>
      </c>
      <c r="E233" s="12">
        <v>5167.2420000000002</v>
      </c>
      <c r="F233" s="12">
        <v>3521.3049999999998</v>
      </c>
      <c r="G233" s="12">
        <v>11336.295</v>
      </c>
      <c r="H233" s="12">
        <v>5163.1419999999998</v>
      </c>
      <c r="I233" s="12">
        <v>6173.1540000000005</v>
      </c>
      <c r="J233" s="12">
        <v>3639.46</v>
      </c>
      <c r="K233" s="5">
        <v>3.2209343665251404E-2</v>
      </c>
      <c r="L233" s="5">
        <v>2.8654132091227212E-2</v>
      </c>
      <c r="M233" s="8">
        <v>7.6499999999999999E-2</v>
      </c>
      <c r="N233" s="12">
        <v>23208.368333333299</v>
      </c>
      <c r="O233" s="3">
        <f t="shared" si="33"/>
        <v>23</v>
      </c>
      <c r="P233" s="13">
        <v>1998</v>
      </c>
      <c r="Q233" s="14">
        <v>118.69</v>
      </c>
      <c r="R233" s="14">
        <v>168.78</v>
      </c>
      <c r="S233" s="4">
        <f t="shared" si="34"/>
        <v>16.320661437867813</v>
      </c>
      <c r="T233" s="8">
        <f t="shared" si="35"/>
        <v>5.3979375858758748E-2</v>
      </c>
      <c r="U233" s="8">
        <f t="shared" si="36"/>
        <v>2.9394347977006598E-2</v>
      </c>
      <c r="V233" s="9">
        <f t="shared" si="37"/>
        <v>0.83638639178611118</v>
      </c>
      <c r="W233">
        <f t="shared" si="38"/>
        <v>1.6950462431239799</v>
      </c>
      <c r="X233">
        <f t="shared" si="39"/>
        <v>8.812338898578826</v>
      </c>
      <c r="Y233" s="8">
        <f t="shared" si="40"/>
        <v>0.31062220946085117</v>
      </c>
      <c r="Z233" s="8">
        <f t="shared" si="41"/>
        <v>4.2908598538236253E-2</v>
      </c>
      <c r="AA233" s="10">
        <f t="shared" si="42"/>
        <v>4.4290656334748595E-2</v>
      </c>
      <c r="AB233" s="12">
        <v>8541.86</v>
      </c>
      <c r="AC233" s="12">
        <v>7985.8549999999996</v>
      </c>
      <c r="AD233" s="8">
        <f t="shared" si="43"/>
        <v>6.9623728454874412E-2</v>
      </c>
    </row>
    <row r="234" spans="1:30" x14ac:dyDescent="0.3">
      <c r="A234" t="s">
        <v>73</v>
      </c>
      <c r="B234" s="11">
        <v>2020</v>
      </c>
      <c r="C234" s="12">
        <v>1069.31</v>
      </c>
      <c r="D234" s="12">
        <v>7143.9290000000001</v>
      </c>
      <c r="E234" s="12">
        <v>1339.2170000000001</v>
      </c>
      <c r="F234" s="12">
        <v>931.61699999999996</v>
      </c>
      <c r="G234" s="12">
        <v>8483.1460000000006</v>
      </c>
      <c r="H234" s="12">
        <v>3241.2840000000001</v>
      </c>
      <c r="I234" s="12">
        <v>5241.8620000000001</v>
      </c>
      <c r="J234" s="12">
        <v>3231.91</v>
      </c>
      <c r="K234" s="5">
        <v>3.2209343665251404E-2</v>
      </c>
      <c r="L234" s="5">
        <v>2.8654132091227212E-2</v>
      </c>
      <c r="M234" s="8">
        <v>7.6499999999999999E-2</v>
      </c>
      <c r="N234" s="12">
        <v>23208.368333333299</v>
      </c>
      <c r="O234" s="3">
        <f t="shared" si="33"/>
        <v>33</v>
      </c>
      <c r="P234" s="13">
        <v>1988</v>
      </c>
      <c r="Q234" s="14">
        <v>118.69</v>
      </c>
      <c r="R234" s="14">
        <v>168.78</v>
      </c>
      <c r="S234" s="4">
        <f t="shared" si="34"/>
        <v>16.320661437867813</v>
      </c>
      <c r="T234" s="8">
        <f t="shared" si="35"/>
        <v>0.20399430584017664</v>
      </c>
      <c r="U234" s="8">
        <f t="shared" si="36"/>
        <v>0.12605111358451215</v>
      </c>
      <c r="V234" s="9">
        <f t="shared" si="37"/>
        <v>0.61834592364316343</v>
      </c>
      <c r="W234">
        <f t="shared" si="38"/>
        <v>2.2104356247544024</v>
      </c>
      <c r="X234">
        <f t="shared" si="39"/>
        <v>8.5224107448102728</v>
      </c>
      <c r="Y234" s="8">
        <f t="shared" si="40"/>
        <v>0.10981975319062054</v>
      </c>
      <c r="Z234" s="8">
        <f t="shared" si="41"/>
        <v>4.2908598538236253E-2</v>
      </c>
      <c r="AA234" s="10">
        <f t="shared" si="42"/>
        <v>4.4290656334748595E-2</v>
      </c>
      <c r="AB234" s="12">
        <v>17681.913</v>
      </c>
      <c r="AC234" s="12">
        <v>17144.251</v>
      </c>
      <c r="AD234" s="8">
        <f t="shared" si="43"/>
        <v>3.1361066750597633E-2</v>
      </c>
    </row>
    <row r="235" spans="1:30" x14ac:dyDescent="0.3">
      <c r="A235" t="s">
        <v>74</v>
      </c>
      <c r="B235" s="11">
        <v>2020</v>
      </c>
      <c r="C235" s="12">
        <v>336.08199999999999</v>
      </c>
      <c r="D235" s="12">
        <v>3731.0619999999999</v>
      </c>
      <c r="E235" s="12">
        <v>294.95</v>
      </c>
      <c r="F235" s="12">
        <v>290.53500000000003</v>
      </c>
      <c r="G235" s="12">
        <v>4026.0120000000002</v>
      </c>
      <c r="H235" s="12">
        <v>2946.7040000000002</v>
      </c>
      <c r="I235" s="12">
        <v>1079.308</v>
      </c>
      <c r="J235" s="12">
        <v>2945.87</v>
      </c>
      <c r="K235" s="5">
        <v>3.2209343665251404E-2</v>
      </c>
      <c r="L235" s="5">
        <v>2.8654132091227212E-2</v>
      </c>
      <c r="M235" s="8">
        <v>7.6499999999999999E-2</v>
      </c>
      <c r="N235" s="12">
        <v>23208.368333333299</v>
      </c>
      <c r="O235" s="3">
        <f t="shared" si="33"/>
        <v>17</v>
      </c>
      <c r="P235" s="13">
        <v>2004</v>
      </c>
      <c r="Q235" s="14">
        <v>118.69</v>
      </c>
      <c r="R235" s="14">
        <v>168.78</v>
      </c>
      <c r="S235" s="4">
        <f t="shared" si="34"/>
        <v>16.320661437867813</v>
      </c>
      <c r="T235" s="8">
        <f t="shared" si="35"/>
        <v>0.31138655508900148</v>
      </c>
      <c r="U235" s="8">
        <f t="shared" si="36"/>
        <v>8.3477644875375429E-2</v>
      </c>
      <c r="V235" s="9">
        <f t="shared" si="37"/>
        <v>2.7301789665229945</v>
      </c>
      <c r="W235">
        <f t="shared" si="38"/>
        <v>1.266539935570816</v>
      </c>
      <c r="X235">
        <f t="shared" si="39"/>
        <v>7.7771056810794974</v>
      </c>
      <c r="Y235" s="8">
        <f t="shared" si="40"/>
        <v>7.2164464487438199E-2</v>
      </c>
      <c r="Z235" s="8">
        <f t="shared" si="41"/>
        <v>4.2908598538236253E-2</v>
      </c>
      <c r="AA235" s="10">
        <f t="shared" si="42"/>
        <v>4.4290656334748595E-2</v>
      </c>
      <c r="AB235" s="12">
        <v>4931.4030000000002</v>
      </c>
      <c r="AC235" s="12">
        <v>4266.942</v>
      </c>
      <c r="AD235" s="8">
        <f t="shared" si="43"/>
        <v>0.15572299787529342</v>
      </c>
    </row>
    <row r="236" spans="1:30" x14ac:dyDescent="0.3">
      <c r="A236" t="s">
        <v>75</v>
      </c>
      <c r="B236" s="11">
        <v>2020</v>
      </c>
      <c r="C236" s="12">
        <v>4936.8459999999995</v>
      </c>
      <c r="D236" s="12">
        <v>19513.381000000001</v>
      </c>
      <c r="E236" s="12">
        <v>7861.5910000000003</v>
      </c>
      <c r="F236" s="12">
        <v>4874.5039999999999</v>
      </c>
      <c r="G236" s="12">
        <v>27374.973000000002</v>
      </c>
      <c r="H236" s="12">
        <v>6159.6959999999999</v>
      </c>
      <c r="I236" s="12">
        <v>21215.276000000002</v>
      </c>
      <c r="J236" s="12">
        <v>5173.04</v>
      </c>
      <c r="K236" s="5">
        <v>3.2209343665251404E-2</v>
      </c>
      <c r="L236" s="5">
        <v>2.8654132091227212E-2</v>
      </c>
      <c r="M236" s="8">
        <v>7.6499999999999999E-2</v>
      </c>
      <c r="N236" s="12">
        <v>23208.368333333299</v>
      </c>
      <c r="O236" s="3">
        <f t="shared" si="33"/>
        <v>18</v>
      </c>
      <c r="P236" s="13">
        <v>2003</v>
      </c>
      <c r="Q236" s="14">
        <v>118.69</v>
      </c>
      <c r="R236" s="14">
        <v>168.78</v>
      </c>
      <c r="S236" s="4">
        <f t="shared" si="34"/>
        <v>16.320661437867813</v>
      </c>
      <c r="T236" s="8">
        <f t="shared" si="35"/>
        <v>0.23270241688111901</v>
      </c>
      <c r="U236" s="8">
        <f t="shared" si="36"/>
        <v>0.18034158426384564</v>
      </c>
      <c r="V236" s="9">
        <f t="shared" si="37"/>
        <v>0.29034248717763556</v>
      </c>
      <c r="W236">
        <f t="shared" si="38"/>
        <v>3.7721303140899742</v>
      </c>
      <c r="X236">
        <f t="shared" si="39"/>
        <v>9.6939585750752162</v>
      </c>
      <c r="Y236" s="8">
        <f t="shared" si="40"/>
        <v>0.17806424868437312</v>
      </c>
      <c r="Z236" s="8">
        <f t="shared" si="41"/>
        <v>4.2908598538236253E-2</v>
      </c>
      <c r="AA236" s="10">
        <f t="shared" si="42"/>
        <v>4.4290656334748595E-2</v>
      </c>
      <c r="AB236" s="12">
        <v>28135.623</v>
      </c>
      <c r="AC236" s="12">
        <v>38133.79</v>
      </c>
      <c r="AD236" s="8">
        <f t="shared" si="43"/>
        <v>-0.2621865542344467</v>
      </c>
    </row>
    <row r="237" spans="1:30" x14ac:dyDescent="0.3">
      <c r="A237" t="s">
        <v>76</v>
      </c>
      <c r="B237" s="11">
        <v>2020</v>
      </c>
      <c r="C237" s="12">
        <v>563.87800000000004</v>
      </c>
      <c r="D237" s="12">
        <v>10248.236999999999</v>
      </c>
      <c r="E237" s="12">
        <v>8048.4110000000001</v>
      </c>
      <c r="F237" s="12">
        <v>4127.3620000000001</v>
      </c>
      <c r="G237" s="12">
        <v>18296.648000000001</v>
      </c>
      <c r="H237" s="12">
        <v>10376.315000000001</v>
      </c>
      <c r="I237" s="12">
        <v>7920.3329999999996</v>
      </c>
      <c r="J237" s="12">
        <v>8740.48</v>
      </c>
      <c r="K237" s="5">
        <v>3.2209343665251404E-2</v>
      </c>
      <c r="L237" s="5">
        <v>2.8654132091227212E-2</v>
      </c>
      <c r="M237" s="8">
        <v>7.6499999999999999E-2</v>
      </c>
      <c r="N237" s="12">
        <v>23208.368333333299</v>
      </c>
      <c r="O237" s="3">
        <f t="shared" si="33"/>
        <v>26</v>
      </c>
      <c r="P237" s="13">
        <v>1995</v>
      </c>
      <c r="Q237" s="14">
        <v>118.69</v>
      </c>
      <c r="R237" s="14">
        <v>168.78</v>
      </c>
      <c r="S237" s="4">
        <f t="shared" si="34"/>
        <v>16.320661437867813</v>
      </c>
      <c r="T237" s="8">
        <f t="shared" si="35"/>
        <v>7.1193723799239259E-2</v>
      </c>
      <c r="U237" s="8">
        <f t="shared" si="36"/>
        <v>3.0818650498167753E-2</v>
      </c>
      <c r="V237" s="9">
        <f t="shared" si="37"/>
        <v>1.3100856996795465</v>
      </c>
      <c r="W237">
        <f t="shared" si="38"/>
        <v>1.1725027687266603</v>
      </c>
      <c r="X237">
        <f t="shared" si="39"/>
        <v>9.2910472469113135</v>
      </c>
      <c r="Y237" s="8">
        <f t="shared" si="40"/>
        <v>0.22558022649831816</v>
      </c>
      <c r="Z237" s="8">
        <f t="shared" si="41"/>
        <v>4.2908598538236253E-2</v>
      </c>
      <c r="AA237" s="10">
        <f t="shared" si="42"/>
        <v>4.4290656334748595E-2</v>
      </c>
      <c r="AB237" s="12">
        <v>14250.472</v>
      </c>
      <c r="AC237" s="12">
        <v>11377.826999999999</v>
      </c>
      <c r="AD237" s="8">
        <f t="shared" si="43"/>
        <v>0.2524774721921858</v>
      </c>
    </row>
    <row r="238" spans="1:30" x14ac:dyDescent="0.3">
      <c r="A238" t="s">
        <v>77</v>
      </c>
      <c r="B238" s="11">
        <v>2020</v>
      </c>
      <c r="C238" s="12">
        <v>158.81299999999999</v>
      </c>
      <c r="D238" s="12">
        <v>331.75099999999998</v>
      </c>
      <c r="E238" s="12">
        <v>472.31900000000002</v>
      </c>
      <c r="F238" s="12">
        <v>382.11</v>
      </c>
      <c r="G238" s="12">
        <v>804.07</v>
      </c>
      <c r="H238" s="12">
        <v>308.83100000000002</v>
      </c>
      <c r="I238" s="12">
        <v>495.238</v>
      </c>
      <c r="J238" s="12">
        <v>283.77999999999997</v>
      </c>
      <c r="K238" s="5">
        <v>3.2209343665251404E-2</v>
      </c>
      <c r="L238" s="5">
        <v>2.8654132091227212E-2</v>
      </c>
      <c r="M238" s="8">
        <v>7.6499999999999999E-2</v>
      </c>
      <c r="N238" s="12">
        <v>23208.368333333299</v>
      </c>
      <c r="O238" s="3">
        <f t="shared" si="33"/>
        <v>13</v>
      </c>
      <c r="P238" s="13">
        <v>2008</v>
      </c>
      <c r="Q238" s="14">
        <v>118.69</v>
      </c>
      <c r="R238" s="14">
        <v>168.78</v>
      </c>
      <c r="S238" s="4">
        <f t="shared" si="34"/>
        <v>16.320661437867813</v>
      </c>
      <c r="T238" s="8">
        <f t="shared" si="35"/>
        <v>0.32068015782310727</v>
      </c>
      <c r="U238" s="8">
        <f t="shared" si="36"/>
        <v>0.19751141069807351</v>
      </c>
      <c r="V238" s="9">
        <f t="shared" si="37"/>
        <v>0.62360117761561107</v>
      </c>
      <c r="W238">
        <f t="shared" si="38"/>
        <v>1.1690429205722743</v>
      </c>
      <c r="X238">
        <f t="shared" si="39"/>
        <v>6.1662604243239452</v>
      </c>
      <c r="Y238" s="8">
        <f t="shared" si="40"/>
        <v>0.47521981916997275</v>
      </c>
      <c r="Z238" s="8">
        <f t="shared" si="41"/>
        <v>4.2908598538236253E-2</v>
      </c>
      <c r="AA238" s="10">
        <f t="shared" si="42"/>
        <v>4.4290656334748595E-2</v>
      </c>
      <c r="AB238" s="12">
        <v>1207.165</v>
      </c>
      <c r="AC238" s="12">
        <v>1525.7380000000001</v>
      </c>
      <c r="AD238" s="8">
        <f t="shared" si="43"/>
        <v>-0.2087992827077782</v>
      </c>
    </row>
    <row r="239" spans="1:30" x14ac:dyDescent="0.3">
      <c r="A239" t="s">
        <v>78</v>
      </c>
      <c r="B239" s="11">
        <v>2020</v>
      </c>
      <c r="C239" s="12">
        <v>73.516000000000005</v>
      </c>
      <c r="D239" s="12">
        <v>1049.7539999999999</v>
      </c>
      <c r="E239" s="12">
        <v>355.589</v>
      </c>
      <c r="F239" s="12">
        <v>62.219000000000001</v>
      </c>
      <c r="G239" s="12">
        <v>1405.3430000000001</v>
      </c>
      <c r="H239" s="12">
        <v>977.14200000000005</v>
      </c>
      <c r="I239" s="12">
        <v>428.202</v>
      </c>
      <c r="J239" s="12">
        <v>694.15</v>
      </c>
      <c r="K239" s="5">
        <v>3.2209343665251404E-2</v>
      </c>
      <c r="L239" s="5">
        <v>2.8654132091227212E-2</v>
      </c>
      <c r="M239" s="8">
        <v>7.6499999999999999E-2</v>
      </c>
      <c r="N239" s="12">
        <v>23208.368333333299</v>
      </c>
      <c r="O239" s="3">
        <f t="shared" si="33"/>
        <v>61</v>
      </c>
      <c r="P239" s="13">
        <v>1960</v>
      </c>
      <c r="Q239" s="14">
        <v>118.69</v>
      </c>
      <c r="R239" s="14">
        <v>168.78</v>
      </c>
      <c r="S239" s="4">
        <f t="shared" si="34"/>
        <v>16.320661437867813</v>
      </c>
      <c r="T239" s="8">
        <f t="shared" si="35"/>
        <v>0.17168532608441811</v>
      </c>
      <c r="U239" s="8">
        <f t="shared" si="36"/>
        <v>5.2311784382887312E-2</v>
      </c>
      <c r="V239" s="9">
        <f t="shared" si="37"/>
        <v>2.2819650538764416</v>
      </c>
      <c r="W239">
        <f t="shared" si="38"/>
        <v>1.5122869696751422</v>
      </c>
      <c r="X239">
        <f t="shared" si="39"/>
        <v>6.7246107743455772</v>
      </c>
      <c r="Y239" s="8">
        <f t="shared" si="40"/>
        <v>4.4273177437821228E-2</v>
      </c>
      <c r="Z239" s="8">
        <f t="shared" si="41"/>
        <v>4.2908598538236253E-2</v>
      </c>
      <c r="AA239" s="10">
        <f t="shared" si="42"/>
        <v>4.4290656334748595E-2</v>
      </c>
      <c r="AB239" s="12">
        <v>1383.921</v>
      </c>
      <c r="AC239" s="12">
        <v>929.14700000000005</v>
      </c>
      <c r="AD239" s="8">
        <f t="shared" si="43"/>
        <v>0.48945322968270893</v>
      </c>
    </row>
    <row r="240" spans="1:30" x14ac:dyDescent="0.3">
      <c r="A240" t="s">
        <v>79</v>
      </c>
      <c r="B240" s="11">
        <v>2020</v>
      </c>
      <c r="C240" s="12">
        <v>40.08</v>
      </c>
      <c r="D240" s="12">
        <v>294.57799999999997</v>
      </c>
      <c r="E240" s="12">
        <v>187.833</v>
      </c>
      <c r="F240" s="12">
        <v>80.757000000000005</v>
      </c>
      <c r="G240" s="12">
        <v>482.411</v>
      </c>
      <c r="H240" s="12">
        <v>139.821</v>
      </c>
      <c r="I240" s="12">
        <v>342.59</v>
      </c>
      <c r="J240" s="12">
        <v>139.82</v>
      </c>
      <c r="K240" s="5">
        <v>3.2209343665251404E-2</v>
      </c>
      <c r="L240" s="5">
        <v>2.8654132091227212E-2</v>
      </c>
      <c r="M240" s="8">
        <v>7.6499999999999999E-2</v>
      </c>
      <c r="N240" s="12">
        <v>23208.368333333299</v>
      </c>
      <c r="O240" s="3">
        <f t="shared" si="33"/>
        <v>45</v>
      </c>
      <c r="P240" s="13">
        <v>1976</v>
      </c>
      <c r="Q240" s="14">
        <v>118.69</v>
      </c>
      <c r="R240" s="14">
        <v>168.78</v>
      </c>
      <c r="S240" s="4">
        <f t="shared" si="34"/>
        <v>16.320661437867813</v>
      </c>
      <c r="T240" s="8">
        <f t="shared" si="35"/>
        <v>0.11699115560874515</v>
      </c>
      <c r="U240" s="8">
        <f t="shared" si="36"/>
        <v>8.3082682608812811E-2</v>
      </c>
      <c r="V240" s="9">
        <f t="shared" si="37"/>
        <v>0.40812925070784323</v>
      </c>
      <c r="W240">
        <f t="shared" si="38"/>
        <v>2.1068373623229868</v>
      </c>
      <c r="X240">
        <f t="shared" si="39"/>
        <v>5.65537054206467</v>
      </c>
      <c r="Y240" s="8">
        <f t="shared" si="40"/>
        <v>0.16740289918762219</v>
      </c>
      <c r="Z240" s="8">
        <f t="shared" si="41"/>
        <v>4.2908598538236253E-2</v>
      </c>
      <c r="AA240" s="10">
        <f t="shared" si="42"/>
        <v>4.4290656334748595E-2</v>
      </c>
      <c r="AB240" s="12">
        <v>468.279</v>
      </c>
      <c r="AC240" s="12">
        <v>669.67899999999997</v>
      </c>
      <c r="AD240" s="8">
        <f t="shared" si="43"/>
        <v>-0.30074110133362397</v>
      </c>
    </row>
    <row r="241" spans="1:30" x14ac:dyDescent="0.3">
      <c r="A241" t="s">
        <v>80</v>
      </c>
      <c r="B241" s="11">
        <v>2020</v>
      </c>
      <c r="C241" s="12">
        <v>144.36099999999999</v>
      </c>
      <c r="D241" s="12">
        <v>633.37199999999996</v>
      </c>
      <c r="E241" s="12">
        <v>1070.0170000000001</v>
      </c>
      <c r="F241" s="12">
        <v>913.92200000000003</v>
      </c>
      <c r="G241" s="12">
        <v>1703.3889999999999</v>
      </c>
      <c r="H241" s="12">
        <v>620.59699999999998</v>
      </c>
      <c r="I241" s="12">
        <v>1082.7919999999999</v>
      </c>
      <c r="J241" s="12">
        <v>568.58000000000004</v>
      </c>
      <c r="K241" s="5">
        <v>3.2209343665251404E-2</v>
      </c>
      <c r="L241" s="5">
        <v>2.8654132091227212E-2</v>
      </c>
      <c r="M241" s="8">
        <v>7.6499999999999999E-2</v>
      </c>
      <c r="N241" s="12">
        <v>23208.368333333299</v>
      </c>
      <c r="O241" s="3">
        <f t="shared" si="33"/>
        <v>21</v>
      </c>
      <c r="P241" s="13">
        <v>2000</v>
      </c>
      <c r="Q241" s="14">
        <v>118.69</v>
      </c>
      <c r="R241" s="14">
        <v>168.78</v>
      </c>
      <c r="S241" s="4">
        <f t="shared" si="34"/>
        <v>16.320661437867813</v>
      </c>
      <c r="T241" s="8">
        <f t="shared" si="35"/>
        <v>0.13332292813393523</v>
      </c>
      <c r="U241" s="8">
        <f t="shared" si="36"/>
        <v>8.4749285101641494E-2</v>
      </c>
      <c r="V241" s="9">
        <f t="shared" si="37"/>
        <v>0.57314516546114125</v>
      </c>
      <c r="W241">
        <f t="shared" si="38"/>
        <v>1.1139540609940553</v>
      </c>
      <c r="X241">
        <f t="shared" si="39"/>
        <v>6.9169491692715113</v>
      </c>
      <c r="Y241" s="8">
        <f t="shared" si="40"/>
        <v>0.53653158497559872</v>
      </c>
      <c r="Z241" s="8">
        <f t="shared" si="41"/>
        <v>4.2908598538236253E-2</v>
      </c>
      <c r="AA241" s="10">
        <f t="shared" si="42"/>
        <v>4.4290656334748595E-2</v>
      </c>
      <c r="AB241" s="12">
        <v>1767.404</v>
      </c>
      <c r="AC241" s="12">
        <v>2231.826</v>
      </c>
      <c r="AD241" s="8">
        <f t="shared" si="43"/>
        <v>-0.20809059487612386</v>
      </c>
    </row>
    <row r="242" spans="1:30" x14ac:dyDescent="0.3">
      <c r="A242" t="s">
        <v>81</v>
      </c>
      <c r="B242" s="11">
        <v>2020</v>
      </c>
      <c r="C242" s="12">
        <v>224.88300000000001</v>
      </c>
      <c r="D242" s="12">
        <v>1987.5340000000001</v>
      </c>
      <c r="E242" s="12">
        <v>2273.0479999999998</v>
      </c>
      <c r="F242" s="12">
        <v>513.35</v>
      </c>
      <c r="G242" s="12">
        <v>4260.5820000000003</v>
      </c>
      <c r="H242" s="12">
        <v>2517.451</v>
      </c>
      <c r="I242" s="12">
        <v>1743.1310000000001</v>
      </c>
      <c r="J242" s="12">
        <v>2066.4299999999998</v>
      </c>
      <c r="K242" s="5">
        <v>3.2209343665251404E-2</v>
      </c>
      <c r="L242" s="5">
        <v>2.8654132091227212E-2</v>
      </c>
      <c r="M242" s="8">
        <v>7.6499999999999999E-2</v>
      </c>
      <c r="N242" s="12">
        <v>23208.368333333299</v>
      </c>
      <c r="O242" s="3">
        <f t="shared" si="33"/>
        <v>39</v>
      </c>
      <c r="P242" s="13">
        <v>1982</v>
      </c>
      <c r="Q242" s="14">
        <v>118.69</v>
      </c>
      <c r="R242" s="14">
        <v>168.78</v>
      </c>
      <c r="S242" s="4">
        <f t="shared" si="34"/>
        <v>16.320661437867813</v>
      </c>
      <c r="T242" s="8">
        <f t="shared" si="35"/>
        <v>0.12901095786834152</v>
      </c>
      <c r="U242" s="8">
        <f t="shared" si="36"/>
        <v>5.2782225526935053E-2</v>
      </c>
      <c r="V242" s="9">
        <f t="shared" si="37"/>
        <v>1.4442121676454609</v>
      </c>
      <c r="W242">
        <f t="shared" si="38"/>
        <v>0.96182014391970705</v>
      </c>
      <c r="X242">
        <f t="shared" si="39"/>
        <v>7.8337351439083731</v>
      </c>
      <c r="Y242" s="8">
        <f t="shared" si="40"/>
        <v>0.12048823376712384</v>
      </c>
      <c r="Z242" s="8">
        <f t="shared" si="41"/>
        <v>4.2908598538236253E-2</v>
      </c>
      <c r="AA242" s="10">
        <f t="shared" si="42"/>
        <v>4.4290656334748595E-2</v>
      </c>
      <c r="AB242" s="12">
        <v>16084.55</v>
      </c>
      <c r="AC242" s="12">
        <v>18274.374</v>
      </c>
      <c r="AD242" s="8">
        <f t="shared" si="43"/>
        <v>-0.11983031539137814</v>
      </c>
    </row>
    <row r="243" spans="1:30" x14ac:dyDescent="0.3">
      <c r="A243" t="s">
        <v>82</v>
      </c>
      <c r="B243" s="11">
        <v>2020</v>
      </c>
      <c r="C243" s="12">
        <v>276.22800000000001</v>
      </c>
      <c r="D243" s="12">
        <v>1783.9010000000001</v>
      </c>
      <c r="E243" s="12">
        <v>1192.5219999999999</v>
      </c>
      <c r="F243" s="12">
        <v>986.31399999999996</v>
      </c>
      <c r="G243" s="12">
        <v>2976.4229999999998</v>
      </c>
      <c r="H243" s="12">
        <v>1337.6880000000001</v>
      </c>
      <c r="I243" s="12">
        <v>1638.7349999999999</v>
      </c>
      <c r="J243" s="12">
        <v>1256.93</v>
      </c>
      <c r="K243" s="5">
        <v>3.2209343665251404E-2</v>
      </c>
      <c r="L243" s="5">
        <v>2.8654132091227212E-2</v>
      </c>
      <c r="M243" s="8">
        <v>7.6499999999999999E-2</v>
      </c>
      <c r="N243" s="12">
        <v>23208.368333333299</v>
      </c>
      <c r="O243" s="3">
        <f t="shared" si="33"/>
        <v>45</v>
      </c>
      <c r="P243" s="13">
        <v>1976</v>
      </c>
      <c r="Q243" s="14">
        <v>118.69</v>
      </c>
      <c r="R243" s="14">
        <v>168.78</v>
      </c>
      <c r="S243" s="4">
        <f t="shared" si="34"/>
        <v>16.320661437867813</v>
      </c>
      <c r="T243" s="8">
        <f t="shared" si="35"/>
        <v>0.16856172596545507</v>
      </c>
      <c r="U243" s="8">
        <f t="shared" si="36"/>
        <v>9.2805357303044636E-2</v>
      </c>
      <c r="V243" s="9">
        <f t="shared" si="37"/>
        <v>0.81629305531400753</v>
      </c>
      <c r="W243">
        <f t="shared" si="38"/>
        <v>1.4192524643377118</v>
      </c>
      <c r="X243">
        <f t="shared" si="39"/>
        <v>7.4750516172075079</v>
      </c>
      <c r="Y243" s="8">
        <f t="shared" si="40"/>
        <v>0.33137561428600709</v>
      </c>
      <c r="Z243" s="8">
        <f t="shared" si="41"/>
        <v>4.2908598538236253E-2</v>
      </c>
      <c r="AA243" s="10">
        <f t="shared" si="42"/>
        <v>4.4290656334748595E-2</v>
      </c>
      <c r="AB243" s="12">
        <v>3470.4659999999999</v>
      </c>
      <c r="AC243" s="12">
        <v>3645.0529999999999</v>
      </c>
      <c r="AD243" s="8">
        <f t="shared" si="43"/>
        <v>-4.789697159410302E-2</v>
      </c>
    </row>
    <row r="244" spans="1:30" x14ac:dyDescent="0.3">
      <c r="A244" t="s">
        <v>83</v>
      </c>
      <c r="B244" s="11">
        <v>2020</v>
      </c>
      <c r="C244" s="12">
        <v>239.845</v>
      </c>
      <c r="D244" s="12">
        <v>1701.752</v>
      </c>
      <c r="E244" s="12">
        <v>612.84699999999998</v>
      </c>
      <c r="F244" s="12">
        <v>463.58800000000002</v>
      </c>
      <c r="G244" s="12">
        <v>2314.5990000000002</v>
      </c>
      <c r="H244" s="12">
        <v>566.34</v>
      </c>
      <c r="I244" s="12">
        <v>1748.26</v>
      </c>
      <c r="J244" s="12">
        <v>499.56</v>
      </c>
      <c r="K244" s="5">
        <v>3.2209343665251404E-2</v>
      </c>
      <c r="L244" s="5">
        <v>2.8654132091227212E-2</v>
      </c>
      <c r="M244" s="8">
        <v>7.6499999999999999E-2</v>
      </c>
      <c r="N244" s="12">
        <v>23208.368333333299</v>
      </c>
      <c r="O244" s="3">
        <f t="shared" si="33"/>
        <v>40</v>
      </c>
      <c r="P244" s="13">
        <v>1981</v>
      </c>
      <c r="Q244" s="14">
        <v>118.69</v>
      </c>
      <c r="R244" s="14">
        <v>168.78</v>
      </c>
      <c r="S244" s="4">
        <f t="shared" si="34"/>
        <v>16.320661437867813</v>
      </c>
      <c r="T244" s="8">
        <f t="shared" si="35"/>
        <v>0.1371906924599316</v>
      </c>
      <c r="U244" s="8">
        <f t="shared" si="36"/>
        <v>0.10362270095165511</v>
      </c>
      <c r="V244" s="9">
        <f t="shared" si="37"/>
        <v>0.32394495097983139</v>
      </c>
      <c r="W244">
        <f t="shared" si="38"/>
        <v>3.4065017215149331</v>
      </c>
      <c r="X244">
        <f t="shared" si="39"/>
        <v>7.2235658276320613</v>
      </c>
      <c r="Y244" s="8">
        <f t="shared" si="40"/>
        <v>0.20028868931508223</v>
      </c>
      <c r="Z244" s="8">
        <f t="shared" si="41"/>
        <v>4.2908598538236253E-2</v>
      </c>
      <c r="AA244" s="10">
        <f t="shared" si="42"/>
        <v>4.4290656334748595E-2</v>
      </c>
      <c r="AB244" s="12">
        <v>2738.4009999999998</v>
      </c>
      <c r="AC244" s="12">
        <v>3298.7109999999998</v>
      </c>
      <c r="AD244" s="8">
        <f t="shared" si="43"/>
        <v>-0.16985725636468305</v>
      </c>
    </row>
    <row r="245" spans="1:30" x14ac:dyDescent="0.3">
      <c r="A245" t="s">
        <v>84</v>
      </c>
      <c r="B245" s="11">
        <v>2020</v>
      </c>
      <c r="C245" s="12">
        <v>1.8089999999999999</v>
      </c>
      <c r="D245" s="12">
        <v>1320.6479999999999</v>
      </c>
      <c r="E245" s="12">
        <v>385.88</v>
      </c>
      <c r="F245" s="12">
        <v>311.17500000000001</v>
      </c>
      <c r="G245" s="12">
        <v>1706.528</v>
      </c>
      <c r="H245" s="12">
        <v>1289.2329999999999</v>
      </c>
      <c r="I245" s="12">
        <v>417.29500000000002</v>
      </c>
      <c r="J245" s="12">
        <v>1218.33</v>
      </c>
      <c r="K245" s="5">
        <v>3.2209343665251404E-2</v>
      </c>
      <c r="L245" s="5">
        <v>2.8654132091227212E-2</v>
      </c>
      <c r="M245" s="8">
        <v>7.6499999999999999E-2</v>
      </c>
      <c r="N245" s="12">
        <v>23208.368333333299</v>
      </c>
      <c r="O245" s="3">
        <f t="shared" si="33"/>
        <v>45</v>
      </c>
      <c r="P245" s="13">
        <v>1976</v>
      </c>
      <c r="Q245" s="14">
        <v>118.69</v>
      </c>
      <c r="R245" s="14">
        <v>168.78</v>
      </c>
      <c r="S245" s="4">
        <f t="shared" si="34"/>
        <v>16.320661437867813</v>
      </c>
      <c r="T245" s="8">
        <f t="shared" si="35"/>
        <v>4.3350627254100816E-3</v>
      </c>
      <c r="U245" s="8">
        <f t="shared" si="36"/>
        <v>1.0600470663241388E-3</v>
      </c>
      <c r="V245" s="9">
        <f t="shared" si="37"/>
        <v>3.0895002336476591</v>
      </c>
      <c r="W245">
        <f t="shared" si="38"/>
        <v>1.0839821723178449</v>
      </c>
      <c r="X245">
        <f t="shared" si="39"/>
        <v>6.9187902703227548</v>
      </c>
      <c r="Y245" s="8">
        <f t="shared" si="40"/>
        <v>0.18234391700575672</v>
      </c>
      <c r="Z245" s="8">
        <f t="shared" si="41"/>
        <v>4.2908598538236253E-2</v>
      </c>
      <c r="AA245" s="10">
        <f t="shared" si="42"/>
        <v>4.4290656334748595E-2</v>
      </c>
      <c r="AB245" s="12">
        <v>1779.915</v>
      </c>
      <c r="AC245" s="12">
        <v>1352.799</v>
      </c>
      <c r="AD245" s="8">
        <f t="shared" si="43"/>
        <v>0.31572761363661561</v>
      </c>
    </row>
    <row r="246" spans="1:30" x14ac:dyDescent="0.3">
      <c r="A246" t="s">
        <v>85</v>
      </c>
      <c r="B246" s="11">
        <v>2020</v>
      </c>
      <c r="C246" s="12">
        <v>75.527000000000001</v>
      </c>
      <c r="D246" s="12">
        <v>1013.96</v>
      </c>
      <c r="E246" s="12">
        <v>600.04200000000003</v>
      </c>
      <c r="F246" s="12">
        <v>482.72</v>
      </c>
      <c r="G246" s="12">
        <v>1614.002</v>
      </c>
      <c r="H246" s="12">
        <v>1021.4109999999999</v>
      </c>
      <c r="I246" s="12">
        <v>592.59100000000001</v>
      </c>
      <c r="J246" s="12">
        <v>957.35</v>
      </c>
      <c r="K246" s="5">
        <v>3.2209343665251404E-2</v>
      </c>
      <c r="L246" s="5">
        <v>2.8654132091227212E-2</v>
      </c>
      <c r="M246" s="8">
        <v>7.6499999999999999E-2</v>
      </c>
      <c r="N246" s="12">
        <v>23208.368333333299</v>
      </c>
      <c r="O246" s="3">
        <f t="shared" si="33"/>
        <v>61</v>
      </c>
      <c r="P246" s="13">
        <v>1960</v>
      </c>
      <c r="Q246" s="14">
        <v>118.69</v>
      </c>
      <c r="R246" s="14">
        <v>168.78</v>
      </c>
      <c r="S246" s="4">
        <f t="shared" si="34"/>
        <v>16.320661437867813</v>
      </c>
      <c r="T246" s="8">
        <f t="shared" si="35"/>
        <v>0.12745215502766663</v>
      </c>
      <c r="U246" s="8">
        <f t="shared" si="36"/>
        <v>4.6794861468573153E-2</v>
      </c>
      <c r="V246" s="9">
        <f t="shared" si="37"/>
        <v>1.7236356947709295</v>
      </c>
      <c r="W246">
        <f t="shared" si="38"/>
        <v>1.0591319789000888</v>
      </c>
      <c r="X246">
        <f t="shared" si="39"/>
        <v>6.8630461822447701</v>
      </c>
      <c r="Y246" s="8">
        <f t="shared" si="40"/>
        <v>0.2990826529335156</v>
      </c>
      <c r="Z246" s="8">
        <f t="shared" si="41"/>
        <v>4.2908598538236253E-2</v>
      </c>
      <c r="AA246" s="10">
        <f t="shared" si="42"/>
        <v>4.4290656334748595E-2</v>
      </c>
      <c r="AB246" s="12">
        <v>1861.903</v>
      </c>
      <c r="AC246" s="12">
        <v>2159.4659999999999</v>
      </c>
      <c r="AD246" s="8">
        <f t="shared" si="43"/>
        <v>-0.13779471406356936</v>
      </c>
    </row>
    <row r="247" spans="1:30" x14ac:dyDescent="0.3">
      <c r="A247" t="s">
        <v>86</v>
      </c>
      <c r="B247" s="11">
        <v>2020</v>
      </c>
      <c r="C247" s="12">
        <v>720.84400000000005</v>
      </c>
      <c r="D247" s="12">
        <v>1619.3820000000001</v>
      </c>
      <c r="E247" s="12">
        <v>512.39700000000005</v>
      </c>
      <c r="F247" s="12">
        <v>465.66699999999997</v>
      </c>
      <c r="G247" s="12">
        <v>2131.779</v>
      </c>
      <c r="H247" s="12">
        <v>633.34299999999996</v>
      </c>
      <c r="I247" s="12">
        <v>1498.4369999999999</v>
      </c>
      <c r="J247" s="12">
        <v>628.12</v>
      </c>
      <c r="K247" s="5">
        <v>3.2209343665251404E-2</v>
      </c>
      <c r="L247" s="5">
        <v>2.8654132091227212E-2</v>
      </c>
      <c r="M247" s="8">
        <v>7.6499999999999999E-2</v>
      </c>
      <c r="N247" s="12">
        <v>23208.368333333299</v>
      </c>
      <c r="O247" s="3">
        <f t="shared" si="33"/>
        <v>52</v>
      </c>
      <c r="P247" s="13">
        <v>1969</v>
      </c>
      <c r="Q247" s="14">
        <v>118.69</v>
      </c>
      <c r="R247" s="14">
        <v>168.78</v>
      </c>
      <c r="S247" s="4">
        <f t="shared" si="34"/>
        <v>16.320661437867813</v>
      </c>
      <c r="T247" s="8">
        <f t="shared" si="35"/>
        <v>0.48106393528723601</v>
      </c>
      <c r="U247" s="8">
        <f t="shared" si="36"/>
        <v>0.3381419931428164</v>
      </c>
      <c r="V247" s="9">
        <f t="shared" si="37"/>
        <v>0.42266908785621282</v>
      </c>
      <c r="W247">
        <f t="shared" si="38"/>
        <v>2.5781411195313</v>
      </c>
      <c r="X247">
        <f t="shared" si="39"/>
        <v>7.1412862156345032</v>
      </c>
      <c r="Y247" s="8">
        <f t="shared" si="40"/>
        <v>0.21844056067725592</v>
      </c>
      <c r="Z247" s="8">
        <f t="shared" si="41"/>
        <v>4.2908598538236253E-2</v>
      </c>
      <c r="AA247" s="10">
        <f t="shared" si="42"/>
        <v>4.4290656334748595E-2</v>
      </c>
      <c r="AB247" s="12">
        <v>2902.4549999999999</v>
      </c>
      <c r="AC247" s="12">
        <v>3102.8290000000002</v>
      </c>
      <c r="AD247" s="8">
        <f t="shared" si="43"/>
        <v>-6.4577841705102099E-2</v>
      </c>
    </row>
    <row r="248" spans="1:30" x14ac:dyDescent="0.3">
      <c r="A248" t="s">
        <v>87</v>
      </c>
      <c r="B248" s="11">
        <v>2020</v>
      </c>
      <c r="C248" s="12">
        <v>719.29899999999998</v>
      </c>
      <c r="D248" s="12">
        <v>4735.4809999999998</v>
      </c>
      <c r="E248" s="12">
        <v>2466.3820000000001</v>
      </c>
      <c r="F248" s="12">
        <v>1808.481</v>
      </c>
      <c r="G248" s="12">
        <v>7201.8620000000001</v>
      </c>
      <c r="H248" s="12">
        <v>2026.1310000000001</v>
      </c>
      <c r="I248" s="12">
        <v>5175.7309999999998</v>
      </c>
      <c r="J248" s="12">
        <v>1941</v>
      </c>
      <c r="K248" s="5">
        <v>3.2209343665251404E-2</v>
      </c>
      <c r="L248" s="5">
        <v>2.8654132091227212E-2</v>
      </c>
      <c r="M248" s="8">
        <v>7.6499999999999999E-2</v>
      </c>
      <c r="N248" s="12">
        <v>23208.368333333299</v>
      </c>
      <c r="O248" s="3">
        <f t="shared" si="33"/>
        <v>24</v>
      </c>
      <c r="P248" s="13">
        <v>1997</v>
      </c>
      <c r="Q248" s="14">
        <v>118.69</v>
      </c>
      <c r="R248" s="14">
        <v>168.78</v>
      </c>
      <c r="S248" s="4">
        <f t="shared" si="34"/>
        <v>16.320661437867813</v>
      </c>
      <c r="T248" s="8">
        <f t="shared" si="35"/>
        <v>0.13897534473874318</v>
      </c>
      <c r="U248" s="8">
        <f t="shared" si="36"/>
        <v>9.9876809636174638E-2</v>
      </c>
      <c r="V248" s="9">
        <f t="shared" si="37"/>
        <v>0.39146760138809383</v>
      </c>
      <c r="W248">
        <f t="shared" si="38"/>
        <v>2.4397120041215867</v>
      </c>
      <c r="X248">
        <f t="shared" si="39"/>
        <v>8.3586689769394393</v>
      </c>
      <c r="Y248" s="8">
        <f t="shared" si="40"/>
        <v>0.25111297606091315</v>
      </c>
      <c r="Z248" s="8">
        <f t="shared" si="41"/>
        <v>4.2908598538236253E-2</v>
      </c>
      <c r="AA248" s="10">
        <f t="shared" si="42"/>
        <v>4.4290656334748595E-2</v>
      </c>
      <c r="AB248" s="12">
        <v>7165.4059999999999</v>
      </c>
      <c r="AC248" s="12">
        <v>7895.0169999999998</v>
      </c>
      <c r="AD248" s="8">
        <f t="shared" si="43"/>
        <v>-9.2414113864479314E-2</v>
      </c>
    </row>
    <row r="249" spans="1:30" x14ac:dyDescent="0.3">
      <c r="A249" t="s">
        <v>88</v>
      </c>
      <c r="B249" s="11">
        <v>2020</v>
      </c>
      <c r="C249" s="12">
        <v>11235.732</v>
      </c>
      <c r="D249" s="12">
        <v>29665.725999999999</v>
      </c>
      <c r="E249" s="12">
        <v>18766.755000000001</v>
      </c>
      <c r="F249" s="12">
        <v>13853.808000000001</v>
      </c>
      <c r="G249" s="12">
        <v>48432.481</v>
      </c>
      <c r="H249" s="12">
        <v>14785.358</v>
      </c>
      <c r="I249" s="12">
        <v>33647.122000000003</v>
      </c>
      <c r="J249" s="12">
        <v>14212.65</v>
      </c>
      <c r="K249" s="5">
        <v>3.2209343665251404E-2</v>
      </c>
      <c r="L249" s="5">
        <v>2.8654132091227212E-2</v>
      </c>
      <c r="M249" s="8">
        <v>7.6499999999999999E-2</v>
      </c>
      <c r="N249" s="12">
        <v>23208.368333333299</v>
      </c>
      <c r="O249" s="3">
        <f t="shared" si="33"/>
        <v>45</v>
      </c>
      <c r="P249" s="13">
        <v>1976</v>
      </c>
      <c r="Q249" s="14">
        <v>118.69</v>
      </c>
      <c r="R249" s="14">
        <v>168.78</v>
      </c>
      <c r="S249" s="4">
        <f t="shared" si="34"/>
        <v>16.320661437867813</v>
      </c>
      <c r="T249" s="8">
        <f t="shared" si="35"/>
        <v>0.33392847091052835</v>
      </c>
      <c r="U249" s="8">
        <f t="shared" si="36"/>
        <v>0.2319875374544616</v>
      </c>
      <c r="V249" s="9">
        <f t="shared" si="37"/>
        <v>0.43942415045185734</v>
      </c>
      <c r="W249">
        <f t="shared" si="38"/>
        <v>2.0872761940946973</v>
      </c>
      <c r="X249">
        <f t="shared" si="39"/>
        <v>10.264500056920735</v>
      </c>
      <c r="Y249" s="8">
        <f t="shared" si="40"/>
        <v>0.28604373994386123</v>
      </c>
      <c r="Z249" s="8">
        <f t="shared" si="41"/>
        <v>4.2908598538236253E-2</v>
      </c>
      <c r="AA249" s="10">
        <f t="shared" si="42"/>
        <v>4.4290656334748595E-2</v>
      </c>
      <c r="AB249" s="12">
        <v>59722.908000000003</v>
      </c>
      <c r="AC249" s="12">
        <v>56400.23</v>
      </c>
      <c r="AD249" s="8">
        <f t="shared" si="43"/>
        <v>5.8912490250483014E-2</v>
      </c>
    </row>
    <row r="250" spans="1:30" x14ac:dyDescent="0.3">
      <c r="A250" t="s">
        <v>27</v>
      </c>
      <c r="B250">
        <v>2019</v>
      </c>
      <c r="C250">
        <v>8.3089999999999993</v>
      </c>
      <c r="D250">
        <v>185.709</v>
      </c>
      <c r="E250">
        <v>41.798999999999999</v>
      </c>
      <c r="F250">
        <v>30.504999999999999</v>
      </c>
      <c r="G250">
        <v>227.50800000000001</v>
      </c>
      <c r="H250">
        <v>16.093</v>
      </c>
      <c r="I250">
        <v>211.41499999999999</v>
      </c>
      <c r="J250">
        <v>15.02</v>
      </c>
      <c r="K250" s="5">
        <v>2.7958236745225001E-2</v>
      </c>
      <c r="L250" s="5">
        <v>7.3592627010500566E-2</v>
      </c>
      <c r="M250" s="8">
        <v>7.7100000000000002E-2</v>
      </c>
      <c r="N250">
        <v>23050.241666666701</v>
      </c>
      <c r="O250" s="3">
        <f t="shared" si="33"/>
        <v>41</v>
      </c>
      <c r="P250" s="15">
        <v>1979</v>
      </c>
      <c r="Q250" s="15">
        <v>117.24</v>
      </c>
      <c r="R250" s="15">
        <v>163.52000000000001</v>
      </c>
      <c r="S250" s="4">
        <f t="shared" si="34"/>
        <v>16.526481977739749</v>
      </c>
      <c r="T250" s="8">
        <f t="shared" si="35"/>
        <v>3.9301847078021895E-2</v>
      </c>
      <c r="U250" s="8">
        <f t="shared" si="36"/>
        <v>3.6521792640258802E-2</v>
      </c>
      <c r="V250" s="9">
        <f t="shared" si="37"/>
        <v>7.612042664900788E-2</v>
      </c>
      <c r="W250">
        <f t="shared" si="38"/>
        <v>12.36411451398136</v>
      </c>
      <c r="X250">
        <f t="shared" si="39"/>
        <v>4.9354202815806536</v>
      </c>
      <c r="Y250" s="8">
        <f t="shared" si="40"/>
        <v>0.13408319707438859</v>
      </c>
      <c r="Z250" s="8">
        <f t="shared" si="41"/>
        <v>4.7805213770522714E-2</v>
      </c>
      <c r="AA250" s="10">
        <f t="shared" si="42"/>
        <v>4.9141763254774998E-2</v>
      </c>
      <c r="AB250" s="12">
        <v>225.54300000000001</v>
      </c>
      <c r="AC250" s="12">
        <v>219.917</v>
      </c>
      <c r="AD250" s="8">
        <f t="shared" si="43"/>
        <v>2.5582378806549764E-2</v>
      </c>
    </row>
    <row r="251" spans="1:30" x14ac:dyDescent="0.3">
      <c r="A251" t="s">
        <v>28</v>
      </c>
      <c r="B251">
        <v>2019</v>
      </c>
      <c r="C251">
        <v>21.146999999999998</v>
      </c>
      <c r="D251">
        <v>149.167</v>
      </c>
      <c r="E251">
        <v>451.71300000000002</v>
      </c>
      <c r="F251">
        <v>342.94299999999998</v>
      </c>
      <c r="G251">
        <v>600.88</v>
      </c>
      <c r="H251">
        <v>189.98500000000001</v>
      </c>
      <c r="I251">
        <v>410.89499999999998</v>
      </c>
      <c r="J251">
        <v>71.34</v>
      </c>
      <c r="K251" s="5">
        <v>2.7958236745225001E-2</v>
      </c>
      <c r="L251" s="5">
        <v>7.3592627010500566E-2</v>
      </c>
      <c r="M251" s="8">
        <v>7.7100000000000002E-2</v>
      </c>
      <c r="N251">
        <v>23050.241666666701</v>
      </c>
      <c r="O251" s="3">
        <f t="shared" si="33"/>
        <v>25</v>
      </c>
      <c r="P251" s="15">
        <v>1995</v>
      </c>
      <c r="Q251" s="15">
        <v>117.24</v>
      </c>
      <c r="R251" s="15">
        <v>163.52000000000001</v>
      </c>
      <c r="S251" s="4">
        <f t="shared" si="34"/>
        <v>16.526481977739749</v>
      </c>
      <c r="T251" s="8">
        <f t="shared" si="35"/>
        <v>5.1465702916803559E-2</v>
      </c>
      <c r="U251" s="8">
        <f t="shared" si="36"/>
        <v>3.5193383038210624E-2</v>
      </c>
      <c r="V251" s="9">
        <f t="shared" si="37"/>
        <v>0.46236873167110826</v>
      </c>
      <c r="W251">
        <f t="shared" si="38"/>
        <v>2.0909307541351274</v>
      </c>
      <c r="X251">
        <f t="shared" si="39"/>
        <v>5.9066301263505077</v>
      </c>
      <c r="Y251" s="8">
        <f t="shared" si="40"/>
        <v>0.57073458926907206</v>
      </c>
      <c r="Z251" s="8">
        <f t="shared" si="41"/>
        <v>4.7805213770522714E-2</v>
      </c>
      <c r="AA251" s="10">
        <f t="shared" si="42"/>
        <v>4.9141763254774998E-2</v>
      </c>
      <c r="AB251" s="12">
        <v>296.39600000000002</v>
      </c>
      <c r="AC251" s="12">
        <v>295.58499999999998</v>
      </c>
      <c r="AD251" s="8">
        <f t="shared" si="43"/>
        <v>2.7437116227143985E-3</v>
      </c>
    </row>
    <row r="252" spans="1:30" x14ac:dyDescent="0.3">
      <c r="A252" t="s">
        <v>29</v>
      </c>
      <c r="B252">
        <v>2019</v>
      </c>
      <c r="C252">
        <v>33.021000000000001</v>
      </c>
      <c r="D252">
        <v>356.74</v>
      </c>
      <c r="E252">
        <v>306.61</v>
      </c>
      <c r="F252">
        <v>16.309999999999999</v>
      </c>
      <c r="G252">
        <v>663.35</v>
      </c>
      <c r="H252">
        <v>259.923</v>
      </c>
      <c r="I252">
        <v>403.428</v>
      </c>
      <c r="J252">
        <v>259.39999999999998</v>
      </c>
      <c r="K252" s="5">
        <v>2.7958236745225001E-2</v>
      </c>
      <c r="L252" s="5">
        <v>7.3592627010500566E-2</v>
      </c>
      <c r="M252" s="8">
        <v>7.7100000000000002E-2</v>
      </c>
      <c r="N252">
        <v>23050.241666666701</v>
      </c>
      <c r="O252" s="3">
        <f t="shared" si="33"/>
        <v>45</v>
      </c>
      <c r="P252" s="15">
        <v>1975</v>
      </c>
      <c r="Q252" s="15">
        <v>117.24</v>
      </c>
      <c r="R252" s="15">
        <v>163.52000000000001</v>
      </c>
      <c r="S252" s="4">
        <f t="shared" si="34"/>
        <v>16.526481977739749</v>
      </c>
      <c r="T252" s="8">
        <f t="shared" si="35"/>
        <v>8.1851036616199177E-2</v>
      </c>
      <c r="U252" s="8">
        <f t="shared" si="36"/>
        <v>4.9779151277606092E-2</v>
      </c>
      <c r="V252" s="9">
        <f t="shared" si="37"/>
        <v>0.6442859692435825</v>
      </c>
      <c r="W252">
        <f t="shared" si="38"/>
        <v>1.3752505782575175</v>
      </c>
      <c r="X252">
        <f t="shared" si="39"/>
        <v>6.0055376333356776</v>
      </c>
      <c r="Y252" s="8">
        <f t="shared" si="40"/>
        <v>2.4587321926584756E-2</v>
      </c>
      <c r="Z252" s="8">
        <f t="shared" si="41"/>
        <v>4.7805213770522714E-2</v>
      </c>
      <c r="AA252" s="10">
        <f t="shared" si="42"/>
        <v>4.9141763254774998E-2</v>
      </c>
      <c r="AB252" s="12">
        <v>790.96400000000006</v>
      </c>
      <c r="AC252" s="12">
        <v>472.41399999999999</v>
      </c>
      <c r="AD252" s="8">
        <f t="shared" si="43"/>
        <v>0.67430262439301136</v>
      </c>
    </row>
    <row r="253" spans="1:30" x14ac:dyDescent="0.3">
      <c r="A253" t="s">
        <v>30</v>
      </c>
      <c r="B253">
        <v>2019</v>
      </c>
      <c r="C253">
        <v>48.695</v>
      </c>
      <c r="D253">
        <v>258.52999999999997</v>
      </c>
      <c r="E253">
        <v>279.93099999999998</v>
      </c>
      <c r="F253">
        <v>54.286000000000001</v>
      </c>
      <c r="G253">
        <v>538.46199999999999</v>
      </c>
      <c r="H253">
        <v>125.32</v>
      </c>
      <c r="I253">
        <v>413.142</v>
      </c>
      <c r="J253">
        <v>120.18</v>
      </c>
      <c r="K253" s="5">
        <v>2.7958236745225001E-2</v>
      </c>
      <c r="L253" s="5">
        <v>7.3592627010500566E-2</v>
      </c>
      <c r="M253" s="8">
        <v>7.7100000000000002E-2</v>
      </c>
      <c r="N253">
        <v>23050.241666666701</v>
      </c>
      <c r="O253" s="3">
        <f t="shared" si="33"/>
        <v>43</v>
      </c>
      <c r="P253" s="15">
        <v>1977</v>
      </c>
      <c r="Q253" s="15">
        <v>117.24</v>
      </c>
      <c r="R253" s="15">
        <v>163.52000000000001</v>
      </c>
      <c r="S253" s="4">
        <f t="shared" si="34"/>
        <v>16.526481977739749</v>
      </c>
      <c r="T253" s="8">
        <f t="shared" si="35"/>
        <v>0.11786504398003592</v>
      </c>
      <c r="U253" s="8">
        <f t="shared" si="36"/>
        <v>9.043349391414808E-2</v>
      </c>
      <c r="V253" s="9">
        <f t="shared" si="37"/>
        <v>0.30333396265690732</v>
      </c>
      <c r="W253">
        <f t="shared" si="38"/>
        <v>2.1511898818439006</v>
      </c>
      <c r="X253">
        <f t="shared" si="39"/>
        <v>5.7969518066911547</v>
      </c>
      <c r="Y253" s="8">
        <f t="shared" si="40"/>
        <v>0.10081677072848223</v>
      </c>
      <c r="Z253" s="8">
        <f t="shared" si="41"/>
        <v>4.7805213770522714E-2</v>
      </c>
      <c r="AA253" s="10">
        <f t="shared" si="42"/>
        <v>4.9141763254774998E-2</v>
      </c>
      <c r="AB253" s="12">
        <v>361.15</v>
      </c>
      <c r="AC253" s="12">
        <v>397.68400000000003</v>
      </c>
      <c r="AD253" s="8">
        <f t="shared" si="43"/>
        <v>-9.186690940545772E-2</v>
      </c>
    </row>
    <row r="254" spans="1:30" x14ac:dyDescent="0.3">
      <c r="A254" t="s">
        <v>31</v>
      </c>
      <c r="B254">
        <v>2019</v>
      </c>
      <c r="C254">
        <v>141.71299999999999</v>
      </c>
      <c r="D254">
        <v>1100.644</v>
      </c>
      <c r="E254">
        <v>360.54399999999998</v>
      </c>
      <c r="F254">
        <v>344.91199999999998</v>
      </c>
      <c r="G254">
        <v>1461.1880000000001</v>
      </c>
      <c r="H254">
        <v>794.91200000000003</v>
      </c>
      <c r="I254">
        <v>666.27599999999995</v>
      </c>
      <c r="J254">
        <v>794.91</v>
      </c>
      <c r="K254" s="5">
        <v>2.7958236745225001E-2</v>
      </c>
      <c r="L254" s="5">
        <v>7.3592627010500566E-2</v>
      </c>
      <c r="M254" s="8">
        <v>7.7100000000000002E-2</v>
      </c>
      <c r="N254">
        <v>23050.241666666701</v>
      </c>
      <c r="O254" s="3">
        <f t="shared" si="33"/>
        <v>17</v>
      </c>
      <c r="P254" s="15">
        <v>2003</v>
      </c>
      <c r="Q254" s="15">
        <v>117.24</v>
      </c>
      <c r="R254" s="15">
        <v>163.52000000000001</v>
      </c>
      <c r="S254" s="4">
        <f t="shared" si="34"/>
        <v>16.526481977739749</v>
      </c>
      <c r="T254" s="8">
        <f t="shared" si="35"/>
        <v>0.21269413876531648</v>
      </c>
      <c r="U254" s="8">
        <f t="shared" si="36"/>
        <v>9.6984782245679538E-2</v>
      </c>
      <c r="V254" s="9">
        <f t="shared" si="37"/>
        <v>1.1930671373424828</v>
      </c>
      <c r="W254">
        <f t="shared" si="38"/>
        <v>1.3846146104590458</v>
      </c>
      <c r="X254">
        <f t="shared" si="39"/>
        <v>6.7952399614320154</v>
      </c>
      <c r="Y254" s="8">
        <f t="shared" si="40"/>
        <v>0.23604902312365003</v>
      </c>
      <c r="Z254" s="8">
        <f t="shared" si="41"/>
        <v>4.7805213770522714E-2</v>
      </c>
      <c r="AA254" s="10">
        <f t="shared" si="42"/>
        <v>4.9141763254774998E-2</v>
      </c>
      <c r="AB254" s="12">
        <v>1423.6659999999999</v>
      </c>
      <c r="AC254" s="12">
        <v>1693.5250000000001</v>
      </c>
      <c r="AD254" s="8">
        <f t="shared" si="43"/>
        <v>-0.15934751479901396</v>
      </c>
    </row>
    <row r="255" spans="1:30" x14ac:dyDescent="0.3">
      <c r="A255" t="s">
        <v>32</v>
      </c>
      <c r="B255">
        <v>2019</v>
      </c>
      <c r="C255">
        <v>8.282</v>
      </c>
      <c r="D255">
        <v>1360.9110000000001</v>
      </c>
      <c r="E255">
        <v>372.572</v>
      </c>
      <c r="F255">
        <v>331.05799999999999</v>
      </c>
      <c r="G255">
        <v>1733.4829999999999</v>
      </c>
      <c r="H255">
        <v>1330.375</v>
      </c>
      <c r="I255">
        <v>403.108</v>
      </c>
      <c r="J255">
        <v>1217.1400000000001</v>
      </c>
      <c r="K255" s="5">
        <v>2.7958236745225001E-2</v>
      </c>
      <c r="L255" s="5">
        <v>7.3592627010500566E-2</v>
      </c>
      <c r="M255" s="8">
        <v>7.7100000000000002E-2</v>
      </c>
      <c r="N255">
        <v>23050.241666666701</v>
      </c>
      <c r="O255" s="3">
        <f t="shared" si="33"/>
        <v>14</v>
      </c>
      <c r="P255" s="15">
        <v>2006</v>
      </c>
      <c r="Q255" s="15">
        <v>117.24</v>
      </c>
      <c r="R255" s="15">
        <v>163.52000000000001</v>
      </c>
      <c r="S255" s="4">
        <f t="shared" si="34"/>
        <v>16.526481977739749</v>
      </c>
      <c r="T255" s="8">
        <f t="shared" si="35"/>
        <v>2.0545362533117676E-2</v>
      </c>
      <c r="U255" s="8">
        <f t="shared" si="36"/>
        <v>4.7776643901324672E-3</v>
      </c>
      <c r="V255" s="9">
        <f t="shared" si="37"/>
        <v>3.30029421395755</v>
      </c>
      <c r="W255">
        <f t="shared" si="38"/>
        <v>1.1181219908966922</v>
      </c>
      <c r="X255">
        <f t="shared" si="39"/>
        <v>6.9661228373003921</v>
      </c>
      <c r="Y255" s="8">
        <f t="shared" si="40"/>
        <v>0.19097850974021666</v>
      </c>
      <c r="Z255" s="8">
        <f t="shared" si="41"/>
        <v>4.7805213770522714E-2</v>
      </c>
      <c r="AA255" s="10">
        <f t="shared" si="42"/>
        <v>4.9141763254774998E-2</v>
      </c>
      <c r="AB255" s="12">
        <v>1705.1420000000001</v>
      </c>
      <c r="AC255" s="12">
        <v>1839.443</v>
      </c>
      <c r="AD255" s="8">
        <f t="shared" si="43"/>
        <v>-7.3011775847362459E-2</v>
      </c>
    </row>
    <row r="256" spans="1:30" x14ac:dyDescent="0.3">
      <c r="A256" t="s">
        <v>33</v>
      </c>
      <c r="B256">
        <v>2019</v>
      </c>
      <c r="C256">
        <v>40.320999999999998</v>
      </c>
      <c r="D256">
        <v>591.01400000000001</v>
      </c>
      <c r="E256">
        <v>181.048</v>
      </c>
      <c r="F256">
        <v>121.99299999999999</v>
      </c>
      <c r="G256">
        <v>772.06200000000001</v>
      </c>
      <c r="H256">
        <v>330.69900000000001</v>
      </c>
      <c r="I256">
        <v>441.36399999999998</v>
      </c>
      <c r="J256">
        <v>325.51</v>
      </c>
      <c r="K256" s="5">
        <v>2.7958236745225001E-2</v>
      </c>
      <c r="L256" s="5">
        <v>7.3592627010500566E-2</v>
      </c>
      <c r="M256" s="8">
        <v>7.7100000000000002E-2</v>
      </c>
      <c r="N256">
        <v>23050.241666666701</v>
      </c>
      <c r="O256" s="3">
        <f t="shared" si="33"/>
        <v>44</v>
      </c>
      <c r="P256" s="15">
        <v>1976</v>
      </c>
      <c r="Q256" s="15">
        <v>117.24</v>
      </c>
      <c r="R256" s="15">
        <v>163.52000000000001</v>
      </c>
      <c r="S256" s="4">
        <f t="shared" si="34"/>
        <v>16.526481977739749</v>
      </c>
      <c r="T256" s="8">
        <f t="shared" si="35"/>
        <v>9.135543451663479E-2</v>
      </c>
      <c r="U256" s="8">
        <f t="shared" si="36"/>
        <v>5.2225080369193141E-2</v>
      </c>
      <c r="V256" s="9">
        <f t="shared" si="37"/>
        <v>0.74926591203632387</v>
      </c>
      <c r="W256">
        <f t="shared" si="38"/>
        <v>1.8156554330128107</v>
      </c>
      <c r="X256">
        <f t="shared" si="39"/>
        <v>6.1572997366536111</v>
      </c>
      <c r="Y256" s="8">
        <f t="shared" si="40"/>
        <v>0.15800933085684826</v>
      </c>
      <c r="Z256" s="8">
        <f t="shared" si="41"/>
        <v>4.7805213770522714E-2</v>
      </c>
      <c r="AA256" s="10">
        <f t="shared" si="42"/>
        <v>4.9141763254774998E-2</v>
      </c>
      <c r="AB256" s="12">
        <v>2120.4789999999998</v>
      </c>
      <c r="AC256" s="12">
        <v>2075.1779999999999</v>
      </c>
      <c r="AD256" s="8">
        <f t="shared" si="43"/>
        <v>2.1829934588743681E-2</v>
      </c>
    </row>
    <row r="257" spans="1:30" x14ac:dyDescent="0.3">
      <c r="A257" t="s">
        <v>34</v>
      </c>
      <c r="B257">
        <v>2019</v>
      </c>
      <c r="C257">
        <v>704.04399999999998</v>
      </c>
      <c r="D257">
        <v>2690.4870000000001</v>
      </c>
      <c r="E257">
        <v>1444.11</v>
      </c>
      <c r="F257">
        <v>552.76599999999996</v>
      </c>
      <c r="G257">
        <v>4134.598</v>
      </c>
      <c r="H257">
        <v>1748.538</v>
      </c>
      <c r="I257">
        <v>2386.06</v>
      </c>
      <c r="J257">
        <v>1728.26</v>
      </c>
      <c r="K257" s="5">
        <v>2.7958236745225001E-2</v>
      </c>
      <c r="L257" s="5">
        <v>7.3592627010500566E-2</v>
      </c>
      <c r="M257" s="8">
        <v>7.7100000000000002E-2</v>
      </c>
      <c r="N257">
        <v>23050.241666666701</v>
      </c>
      <c r="O257" s="3">
        <f t="shared" si="33"/>
        <v>27</v>
      </c>
      <c r="P257" s="15">
        <v>1993</v>
      </c>
      <c r="Q257" s="15">
        <v>117.24</v>
      </c>
      <c r="R257" s="15">
        <v>163.52000000000001</v>
      </c>
      <c r="S257" s="4">
        <f t="shared" si="34"/>
        <v>16.526481977739749</v>
      </c>
      <c r="T257" s="8">
        <f t="shared" si="35"/>
        <v>0.29506550547764937</v>
      </c>
      <c r="U257" s="8">
        <f t="shared" si="36"/>
        <v>0.17028112527505695</v>
      </c>
      <c r="V257" s="9">
        <f t="shared" si="37"/>
        <v>0.73281392756259278</v>
      </c>
      <c r="W257">
        <f t="shared" si="38"/>
        <v>1.5567605568606575</v>
      </c>
      <c r="X257">
        <f t="shared" si="39"/>
        <v>7.835380262841122</v>
      </c>
      <c r="Y257" s="8">
        <f t="shared" si="40"/>
        <v>0.13369280399206887</v>
      </c>
      <c r="Z257" s="8">
        <f t="shared" si="41"/>
        <v>4.7805213770522714E-2</v>
      </c>
      <c r="AA257" s="10">
        <f t="shared" si="42"/>
        <v>4.9141763254774998E-2</v>
      </c>
      <c r="AB257" s="12">
        <v>4519.1530000000002</v>
      </c>
      <c r="AC257" s="12">
        <v>4136.1989999999996</v>
      </c>
      <c r="AD257" s="8">
        <f t="shared" si="43"/>
        <v>9.2585970839410933E-2</v>
      </c>
    </row>
    <row r="258" spans="1:30" x14ac:dyDescent="0.3">
      <c r="A258" t="s">
        <v>35</v>
      </c>
      <c r="B258">
        <v>2019</v>
      </c>
      <c r="C258">
        <v>823.34799999999996</v>
      </c>
      <c r="D258">
        <v>7520.2830000000004</v>
      </c>
      <c r="E258">
        <v>8076.0290000000005</v>
      </c>
      <c r="F258">
        <v>5749.2380000000003</v>
      </c>
      <c r="G258">
        <v>15596.312</v>
      </c>
      <c r="H258">
        <v>9294.4390000000003</v>
      </c>
      <c r="I258">
        <v>6301.8720000000003</v>
      </c>
      <c r="J258">
        <v>6553.95</v>
      </c>
      <c r="K258" s="5">
        <v>2.7958236745225001E-2</v>
      </c>
      <c r="L258" s="5">
        <v>7.3592627010500566E-2</v>
      </c>
      <c r="M258" s="8">
        <v>7.7100000000000002E-2</v>
      </c>
      <c r="N258">
        <v>23050.241666666701</v>
      </c>
      <c r="O258" s="3">
        <f t="shared" si="33"/>
        <v>23</v>
      </c>
      <c r="P258" s="15">
        <v>1997</v>
      </c>
      <c r="Q258" s="15">
        <v>117.24</v>
      </c>
      <c r="R258" s="15">
        <v>163.52000000000001</v>
      </c>
      <c r="S258" s="4">
        <f t="shared" si="34"/>
        <v>16.526481977739749</v>
      </c>
      <c r="T258" s="8">
        <f t="shared" si="35"/>
        <v>0.13065133661870632</v>
      </c>
      <c r="U258" s="8">
        <f t="shared" si="36"/>
        <v>5.2791198329451214E-2</v>
      </c>
      <c r="V258" s="9">
        <f t="shared" si="37"/>
        <v>1.4748695308314737</v>
      </c>
      <c r="W258">
        <f t="shared" si="38"/>
        <v>1.1474428398141581</v>
      </c>
      <c r="X258">
        <f t="shared" si="39"/>
        <v>9.1630246340046604</v>
      </c>
      <c r="Y258" s="8">
        <f t="shared" si="40"/>
        <v>0.36862804488650908</v>
      </c>
      <c r="Z258" s="8">
        <f t="shared" si="41"/>
        <v>4.7805213770522714E-2</v>
      </c>
      <c r="AA258" s="10">
        <f t="shared" si="42"/>
        <v>4.9141763254774998E-2</v>
      </c>
      <c r="AB258" s="12">
        <v>14409.84</v>
      </c>
      <c r="AC258" s="12">
        <v>8960.6049999999996</v>
      </c>
      <c r="AD258" s="8">
        <f t="shared" si="43"/>
        <v>0.60813248658991226</v>
      </c>
    </row>
    <row r="259" spans="1:30" x14ac:dyDescent="0.3">
      <c r="A259" t="s">
        <v>36</v>
      </c>
      <c r="B259">
        <v>2019</v>
      </c>
      <c r="C259">
        <v>12.96</v>
      </c>
      <c r="D259">
        <v>6036.2910000000002</v>
      </c>
      <c r="E259">
        <v>301.44</v>
      </c>
      <c r="F259">
        <v>45.054000000000002</v>
      </c>
      <c r="G259">
        <v>6337.73</v>
      </c>
      <c r="H259">
        <v>6217.9690000000001</v>
      </c>
      <c r="I259">
        <v>119.762</v>
      </c>
      <c r="J259">
        <v>5966.52</v>
      </c>
      <c r="K259" s="5">
        <v>2.7958236745225001E-2</v>
      </c>
      <c r="L259" s="5">
        <v>7.3592627010500566E-2</v>
      </c>
      <c r="M259" s="8">
        <v>7.7100000000000002E-2</v>
      </c>
      <c r="N259">
        <v>23050.241666666701</v>
      </c>
      <c r="O259" s="3">
        <f t="shared" ref="O259:O311" si="44">B259-P259+1</f>
        <v>3</v>
      </c>
      <c r="P259" s="15">
        <v>2017</v>
      </c>
      <c r="Q259" s="15">
        <v>117.24</v>
      </c>
      <c r="R259" s="15">
        <v>163.52000000000001</v>
      </c>
      <c r="S259" s="4">
        <f t="shared" ref="S259:S311" si="45">N259*Q259/(1000*R259)</f>
        <v>16.526481977739749</v>
      </c>
      <c r="T259" s="8">
        <f t="shared" ref="T259:T311" si="46">C259/I259</f>
        <v>0.10821462567425394</v>
      </c>
      <c r="U259" s="8">
        <f t="shared" ref="U259:U311" si="47">C259/G259</f>
        <v>2.044896201005723E-3</v>
      </c>
      <c r="V259" s="9">
        <f t="shared" ref="V259:V311" si="48">H259/I259</f>
        <v>51.91938177385147</v>
      </c>
      <c r="W259">
        <f t="shared" ref="W259:W311" si="49">D259/J259</f>
        <v>1.0116937511313127</v>
      </c>
      <c r="X259">
        <f t="shared" ref="X259:X311" si="50">LN(100*G259/R259)</f>
        <v>8.26251081812687</v>
      </c>
      <c r="Y259" s="8">
        <f t="shared" ref="Y259:Y311" si="51">F259/G259</f>
        <v>7.1088544321073954E-3</v>
      </c>
      <c r="Z259" s="8">
        <f t="shared" ref="Z259:Z311" si="52">(M259+1)/(K259+1)-1</f>
        <v>4.7805213770522714E-2</v>
      </c>
      <c r="AA259" s="10">
        <f t="shared" ref="AA259:AA311" si="53">M259-K259</f>
        <v>4.9141763254774998E-2</v>
      </c>
      <c r="AB259" s="12">
        <v>17288.066999999999</v>
      </c>
      <c r="AC259" s="12">
        <v>9226.2880000000005</v>
      </c>
      <c r="AD259" s="8">
        <f t="shared" ref="AD259:AD311" si="54">(AB259-AC259)/AC259</f>
        <v>0.87378358447080762</v>
      </c>
    </row>
    <row r="260" spans="1:30" x14ac:dyDescent="0.3">
      <c r="A260" t="s">
        <v>37</v>
      </c>
      <c r="B260">
        <v>2019</v>
      </c>
      <c r="C260">
        <v>95.433999999999997</v>
      </c>
      <c r="D260">
        <v>841.53300000000002</v>
      </c>
      <c r="E260">
        <v>728.91600000000005</v>
      </c>
      <c r="F260">
        <v>192.505</v>
      </c>
      <c r="G260">
        <v>1570.4480000000001</v>
      </c>
      <c r="H260">
        <v>566.57100000000003</v>
      </c>
      <c r="I260">
        <v>1003.877</v>
      </c>
      <c r="J260">
        <v>548.16</v>
      </c>
      <c r="K260" s="5">
        <v>2.7958236745225001E-2</v>
      </c>
      <c r="L260" s="5">
        <v>7.3592627010500566E-2</v>
      </c>
      <c r="M260" s="8">
        <v>7.7100000000000002E-2</v>
      </c>
      <c r="N260">
        <v>23050.241666666701</v>
      </c>
      <c r="O260" s="3">
        <f t="shared" si="44"/>
        <v>21</v>
      </c>
      <c r="P260" s="15">
        <v>1999</v>
      </c>
      <c r="Q260" s="15">
        <v>117.24</v>
      </c>
      <c r="R260" s="15">
        <v>163.52000000000001</v>
      </c>
      <c r="S260" s="4">
        <f t="shared" si="45"/>
        <v>16.526481977739749</v>
      </c>
      <c r="T260" s="8">
        <f t="shared" si="46"/>
        <v>9.5065431322761657E-2</v>
      </c>
      <c r="U260" s="8">
        <f t="shared" si="47"/>
        <v>6.0768646908398109E-2</v>
      </c>
      <c r="V260" s="9">
        <f t="shared" si="48"/>
        <v>0.56438288754498811</v>
      </c>
      <c r="W260">
        <f t="shared" si="49"/>
        <v>1.5351959281961471</v>
      </c>
      <c r="X260">
        <f t="shared" si="50"/>
        <v>6.8673510869289176</v>
      </c>
      <c r="Y260" s="8">
        <f t="shared" si="51"/>
        <v>0.12257967153321854</v>
      </c>
      <c r="Z260" s="8">
        <f t="shared" si="52"/>
        <v>4.7805213770522714E-2</v>
      </c>
      <c r="AA260" s="10">
        <f t="shared" si="53"/>
        <v>4.9141763254774998E-2</v>
      </c>
      <c r="AB260" s="12">
        <v>1513.816</v>
      </c>
      <c r="AC260" s="12">
        <v>1434.075</v>
      </c>
      <c r="AD260" s="8">
        <f t="shared" si="54"/>
        <v>5.560448372644386E-2</v>
      </c>
    </row>
    <row r="261" spans="1:30" x14ac:dyDescent="0.3">
      <c r="A261" t="s">
        <v>38</v>
      </c>
      <c r="B261">
        <v>2019</v>
      </c>
      <c r="C261">
        <v>523.12800000000004</v>
      </c>
      <c r="D261">
        <v>4196.5190000000002</v>
      </c>
      <c r="E261">
        <v>3575.6570000000002</v>
      </c>
      <c r="F261">
        <v>2887.0369999999998</v>
      </c>
      <c r="G261">
        <v>7772.1760000000004</v>
      </c>
      <c r="H261">
        <v>2590.6129999999998</v>
      </c>
      <c r="I261">
        <v>5181.5630000000001</v>
      </c>
      <c r="J261">
        <v>2328.5100000000002</v>
      </c>
      <c r="K261" s="5">
        <v>2.7958236745225001E-2</v>
      </c>
      <c r="L261" s="5">
        <v>7.3592627010500566E-2</v>
      </c>
      <c r="M261" s="8">
        <v>7.7100000000000002E-2</v>
      </c>
      <c r="N261">
        <v>23050.241666666701</v>
      </c>
      <c r="O261" s="3">
        <f t="shared" si="44"/>
        <v>130</v>
      </c>
      <c r="P261" s="15">
        <v>1890</v>
      </c>
      <c r="Q261" s="15">
        <v>117.24</v>
      </c>
      <c r="R261" s="15">
        <v>163.52000000000001</v>
      </c>
      <c r="S261" s="4">
        <f t="shared" si="45"/>
        <v>16.526481977739749</v>
      </c>
      <c r="T261" s="8">
        <f t="shared" si="46"/>
        <v>0.10095949812826747</v>
      </c>
      <c r="U261" s="8">
        <f t="shared" si="47"/>
        <v>6.7307791280073942E-2</v>
      </c>
      <c r="V261" s="9">
        <f t="shared" si="48"/>
        <v>0.49996748085471504</v>
      </c>
      <c r="W261">
        <f t="shared" si="49"/>
        <v>1.8022336172058526</v>
      </c>
      <c r="X261">
        <f t="shared" si="50"/>
        <v>8.4665403346073997</v>
      </c>
      <c r="Y261" s="8">
        <f t="shared" si="51"/>
        <v>0.37145800609764879</v>
      </c>
      <c r="Z261" s="8">
        <f t="shared" si="52"/>
        <v>4.7805213770522714E-2</v>
      </c>
      <c r="AA261" s="10">
        <f t="shared" si="53"/>
        <v>4.9141763254774998E-2</v>
      </c>
      <c r="AB261" s="12">
        <v>9405.06</v>
      </c>
      <c r="AC261" s="12">
        <v>9177.75</v>
      </c>
      <c r="AD261" s="8">
        <f t="shared" si="54"/>
        <v>2.4767508376235949E-2</v>
      </c>
    </row>
    <row r="262" spans="1:30" x14ac:dyDescent="0.3">
      <c r="A262" t="s">
        <v>39</v>
      </c>
      <c r="B262">
        <v>2019</v>
      </c>
      <c r="C262">
        <v>19.815999999999999</v>
      </c>
      <c r="D262">
        <v>288.82</v>
      </c>
      <c r="E262">
        <v>119.79600000000001</v>
      </c>
      <c r="F262">
        <v>22.65</v>
      </c>
      <c r="G262">
        <v>408.61599999999999</v>
      </c>
      <c r="H262">
        <v>51.241</v>
      </c>
      <c r="I262">
        <v>357.375</v>
      </c>
      <c r="J262">
        <v>44.88</v>
      </c>
      <c r="K262" s="5">
        <v>2.7958236745225001E-2</v>
      </c>
      <c r="L262" s="5">
        <v>7.3592627010500566E-2</v>
      </c>
      <c r="M262" s="8">
        <v>7.7100000000000002E-2</v>
      </c>
      <c r="N262">
        <v>23050.241666666701</v>
      </c>
      <c r="O262" s="3">
        <f t="shared" si="44"/>
        <v>5</v>
      </c>
      <c r="P262" s="15">
        <v>2015</v>
      </c>
      <c r="Q262" s="15">
        <v>117.24</v>
      </c>
      <c r="R262" s="15">
        <v>163.52000000000001</v>
      </c>
      <c r="S262" s="4">
        <f t="shared" si="45"/>
        <v>16.526481977739749</v>
      </c>
      <c r="T262" s="8">
        <f t="shared" si="46"/>
        <v>5.5448758307100381E-2</v>
      </c>
      <c r="U262" s="8">
        <f t="shared" si="47"/>
        <v>4.8495408892456487E-2</v>
      </c>
      <c r="V262" s="9">
        <f t="shared" si="48"/>
        <v>0.14338160195872682</v>
      </c>
      <c r="W262">
        <f t="shared" si="49"/>
        <v>6.4353832442067729</v>
      </c>
      <c r="X262">
        <f t="shared" si="50"/>
        <v>5.5210107186904471</v>
      </c>
      <c r="Y262" s="8">
        <f t="shared" si="51"/>
        <v>5.5431015917144701E-2</v>
      </c>
      <c r="Z262" s="8">
        <f t="shared" si="52"/>
        <v>4.7805213770522714E-2</v>
      </c>
      <c r="AA262" s="10">
        <f t="shared" si="53"/>
        <v>4.9141763254774998E-2</v>
      </c>
      <c r="AB262" s="12">
        <v>422.70600000000002</v>
      </c>
      <c r="AC262" s="12">
        <v>406.22699999999998</v>
      </c>
      <c r="AD262" s="8">
        <f t="shared" si="54"/>
        <v>4.0565988966760072E-2</v>
      </c>
    </row>
    <row r="263" spans="1:30" x14ac:dyDescent="0.3">
      <c r="A263" t="s">
        <v>40</v>
      </c>
      <c r="B263">
        <v>2019</v>
      </c>
      <c r="C263">
        <v>140.547</v>
      </c>
      <c r="D263">
        <v>912.048</v>
      </c>
      <c r="E263">
        <v>112.32299999999999</v>
      </c>
      <c r="F263">
        <v>95.558000000000007</v>
      </c>
      <c r="G263">
        <v>1024.3710000000001</v>
      </c>
      <c r="H263">
        <v>331.40899999999999</v>
      </c>
      <c r="I263">
        <v>692.96299999999997</v>
      </c>
      <c r="J263">
        <v>331.41</v>
      </c>
      <c r="K263" s="5">
        <v>2.7958236745225001E-2</v>
      </c>
      <c r="L263" s="5">
        <v>7.3592627010500566E-2</v>
      </c>
      <c r="M263" s="8">
        <v>7.7100000000000002E-2</v>
      </c>
      <c r="N263">
        <v>23050.241666666701</v>
      </c>
      <c r="O263" s="3">
        <f t="shared" si="44"/>
        <v>28</v>
      </c>
      <c r="P263" s="15">
        <v>1992</v>
      </c>
      <c r="Q263" s="15">
        <v>117.24</v>
      </c>
      <c r="R263" s="15">
        <v>163.52000000000001</v>
      </c>
      <c r="S263" s="4">
        <f t="shared" si="45"/>
        <v>16.526481977739749</v>
      </c>
      <c r="T263" s="8">
        <f t="shared" si="46"/>
        <v>0.20282035260179837</v>
      </c>
      <c r="U263" s="8">
        <f t="shared" si="47"/>
        <v>0.13720322031763882</v>
      </c>
      <c r="V263" s="9">
        <f t="shared" si="48"/>
        <v>0.4782491994522074</v>
      </c>
      <c r="W263">
        <f t="shared" si="49"/>
        <v>2.75202317371232</v>
      </c>
      <c r="X263">
        <f t="shared" si="50"/>
        <v>6.44006892364321</v>
      </c>
      <c r="Y263" s="8">
        <f t="shared" si="51"/>
        <v>9.3284561940937413E-2</v>
      </c>
      <c r="Z263" s="8">
        <f t="shared" si="52"/>
        <v>4.7805213770522714E-2</v>
      </c>
      <c r="AA263" s="10">
        <f t="shared" si="53"/>
        <v>4.9141763254774998E-2</v>
      </c>
      <c r="AB263" s="12">
        <v>1928.712</v>
      </c>
      <c r="AC263" s="12">
        <v>2070.2060000000001</v>
      </c>
      <c r="AD263" s="8">
        <f t="shared" si="54"/>
        <v>-6.8347787611474475E-2</v>
      </c>
    </row>
    <row r="264" spans="1:30" x14ac:dyDescent="0.3">
      <c r="A264" t="s">
        <v>41</v>
      </c>
      <c r="B264">
        <v>2019</v>
      </c>
      <c r="C264">
        <v>77.75</v>
      </c>
      <c r="D264">
        <v>958.06299999999999</v>
      </c>
      <c r="E264">
        <v>465.733</v>
      </c>
      <c r="F264">
        <v>205.584</v>
      </c>
      <c r="G264">
        <v>1423.796</v>
      </c>
      <c r="H264">
        <v>1079.328</v>
      </c>
      <c r="I264">
        <v>344.46800000000002</v>
      </c>
      <c r="J264">
        <v>1036.6199999999999</v>
      </c>
      <c r="K264" s="5">
        <v>2.7958236745225001E-2</v>
      </c>
      <c r="L264" s="5">
        <v>7.3592627010500566E-2</v>
      </c>
      <c r="M264" s="8">
        <v>7.7100000000000002E-2</v>
      </c>
      <c r="N264">
        <v>23050.241666666701</v>
      </c>
      <c r="O264" s="3">
        <f t="shared" si="44"/>
        <v>43</v>
      </c>
      <c r="P264" s="15">
        <v>1977</v>
      </c>
      <c r="Q264" s="15">
        <v>117.24</v>
      </c>
      <c r="R264" s="15">
        <v>163.52000000000001</v>
      </c>
      <c r="S264" s="4">
        <f t="shared" si="45"/>
        <v>16.526481977739749</v>
      </c>
      <c r="T264" s="8">
        <f t="shared" si="46"/>
        <v>0.22571037077464379</v>
      </c>
      <c r="U264" s="8">
        <f t="shared" si="47"/>
        <v>5.4607542091704146E-2</v>
      </c>
      <c r="V264" s="9">
        <f t="shared" si="48"/>
        <v>3.133318624661797</v>
      </c>
      <c r="W264">
        <f t="shared" si="49"/>
        <v>0.92421813200594249</v>
      </c>
      <c r="X264">
        <f t="shared" si="50"/>
        <v>6.7693167022552378</v>
      </c>
      <c r="Y264" s="8">
        <f t="shared" si="51"/>
        <v>0.14439147181197307</v>
      </c>
      <c r="Z264" s="8">
        <f t="shared" si="52"/>
        <v>4.7805213770522714E-2</v>
      </c>
      <c r="AA264" s="10">
        <f t="shared" si="53"/>
        <v>4.9141763254774998E-2</v>
      </c>
      <c r="AB264" s="12">
        <v>958.16899999999998</v>
      </c>
      <c r="AC264" s="12">
        <v>1062.838</v>
      </c>
      <c r="AD264" s="8">
        <f t="shared" si="54"/>
        <v>-9.8480671560482388E-2</v>
      </c>
    </row>
    <row r="265" spans="1:30" x14ac:dyDescent="0.3">
      <c r="A265" t="s">
        <v>42</v>
      </c>
      <c r="B265">
        <v>2019</v>
      </c>
      <c r="C265">
        <v>52.45</v>
      </c>
      <c r="D265">
        <v>2172.1779999999999</v>
      </c>
      <c r="E265">
        <v>1643.8440000000001</v>
      </c>
      <c r="F265">
        <v>1576.5840000000001</v>
      </c>
      <c r="G265">
        <v>3816.0230000000001</v>
      </c>
      <c r="H265">
        <v>2575.078</v>
      </c>
      <c r="I265">
        <v>1240.944</v>
      </c>
      <c r="J265">
        <v>2157.65</v>
      </c>
      <c r="K265" s="5">
        <v>2.7958236745225001E-2</v>
      </c>
      <c r="L265" s="5">
        <v>7.3592627010500566E-2</v>
      </c>
      <c r="M265" s="8">
        <v>7.7100000000000002E-2</v>
      </c>
      <c r="N265">
        <v>23050.241666666701</v>
      </c>
      <c r="O265" s="3">
        <f t="shared" si="44"/>
        <v>44</v>
      </c>
      <c r="P265" s="15">
        <v>1976</v>
      </c>
      <c r="Q265" s="15">
        <v>117.24</v>
      </c>
      <c r="R265" s="15">
        <v>163.52000000000001</v>
      </c>
      <c r="S265" s="4">
        <f t="shared" si="45"/>
        <v>16.526481977739749</v>
      </c>
      <c r="T265" s="8">
        <f t="shared" si="46"/>
        <v>4.2266210239946367E-2</v>
      </c>
      <c r="U265" s="8">
        <f t="shared" si="47"/>
        <v>1.3744676067203998E-2</v>
      </c>
      <c r="V265" s="9">
        <f t="shared" si="48"/>
        <v>2.0750960559058265</v>
      </c>
      <c r="W265">
        <f t="shared" si="49"/>
        <v>1.0067332514541283</v>
      </c>
      <c r="X265">
        <f t="shared" si="50"/>
        <v>7.7551989387764335</v>
      </c>
      <c r="Y265" s="8">
        <f t="shared" si="51"/>
        <v>0.41314845324569582</v>
      </c>
      <c r="Z265" s="8">
        <f t="shared" si="52"/>
        <v>4.7805213770522714E-2</v>
      </c>
      <c r="AA265" s="10">
        <f t="shared" si="53"/>
        <v>4.9141763254774998E-2</v>
      </c>
      <c r="AB265" s="12">
        <v>4363.2619999999997</v>
      </c>
      <c r="AC265" s="12">
        <v>3999.3159999999998</v>
      </c>
      <c r="AD265" s="8">
        <f t="shared" si="54"/>
        <v>9.1002061352491254E-2</v>
      </c>
    </row>
    <row r="266" spans="1:30" x14ac:dyDescent="0.3">
      <c r="A266" t="s">
        <v>43</v>
      </c>
      <c r="B266">
        <v>2019</v>
      </c>
      <c r="C266">
        <v>43.930999999999997</v>
      </c>
      <c r="D266">
        <v>1191.9829999999999</v>
      </c>
      <c r="E266">
        <v>354.94400000000002</v>
      </c>
      <c r="F266">
        <v>131.72800000000001</v>
      </c>
      <c r="G266">
        <v>1546.9269999999999</v>
      </c>
      <c r="H266">
        <v>1014.423</v>
      </c>
      <c r="I266">
        <v>532.50400000000002</v>
      </c>
      <c r="J266">
        <v>1011.73</v>
      </c>
      <c r="K266" s="5">
        <v>2.7958236745225001E-2</v>
      </c>
      <c r="L266" s="5">
        <v>7.3592627010500566E-2</v>
      </c>
      <c r="M266" s="8">
        <v>7.7100000000000002E-2</v>
      </c>
      <c r="N266">
        <v>23050.241666666701</v>
      </c>
      <c r="O266" s="3">
        <f t="shared" si="44"/>
        <v>11</v>
      </c>
      <c r="P266" s="15">
        <v>2009</v>
      </c>
      <c r="Q266" s="15">
        <v>117.24</v>
      </c>
      <c r="R266" s="15">
        <v>163.52000000000001</v>
      </c>
      <c r="S266" s="4">
        <f t="shared" si="45"/>
        <v>16.526481977739749</v>
      </c>
      <c r="T266" s="8">
        <f t="shared" si="46"/>
        <v>8.2498910806303796E-2</v>
      </c>
      <c r="U266" s="8">
        <f t="shared" si="47"/>
        <v>2.8398883722373452E-2</v>
      </c>
      <c r="V266" s="9">
        <f t="shared" si="48"/>
        <v>1.9050054084100776</v>
      </c>
      <c r="W266">
        <f t="shared" si="49"/>
        <v>1.1781631462939717</v>
      </c>
      <c r="X266">
        <f t="shared" si="50"/>
        <v>6.8522605403264123</v>
      </c>
      <c r="Y266" s="8">
        <f t="shared" si="51"/>
        <v>8.515463237761059E-2</v>
      </c>
      <c r="Z266" s="8">
        <f t="shared" si="52"/>
        <v>4.7805213770522714E-2</v>
      </c>
      <c r="AA266" s="10">
        <f t="shared" si="53"/>
        <v>4.9141763254774998E-2</v>
      </c>
      <c r="AB266" s="12">
        <v>6479.1940000000004</v>
      </c>
      <c r="AC266" s="12">
        <v>3442.2620000000002</v>
      </c>
      <c r="AD266" s="8">
        <f t="shared" si="54"/>
        <v>0.88224893979598307</v>
      </c>
    </row>
    <row r="267" spans="1:30" x14ac:dyDescent="0.3">
      <c r="A267" t="s">
        <v>44</v>
      </c>
      <c r="B267">
        <v>2019</v>
      </c>
      <c r="C267">
        <v>62.271999999999998</v>
      </c>
      <c r="D267">
        <v>1101.385</v>
      </c>
      <c r="E267">
        <v>473.96600000000001</v>
      </c>
      <c r="F267">
        <v>327.97699999999998</v>
      </c>
      <c r="G267">
        <v>1575.3510000000001</v>
      </c>
      <c r="H267">
        <v>986.00199999999995</v>
      </c>
      <c r="I267">
        <v>589.34900000000005</v>
      </c>
      <c r="J267">
        <v>854.23</v>
      </c>
      <c r="K267" s="5">
        <v>2.7958236745225001E-2</v>
      </c>
      <c r="L267" s="5">
        <v>7.3592627010500566E-2</v>
      </c>
      <c r="M267" s="8">
        <v>7.7100000000000002E-2</v>
      </c>
      <c r="N267">
        <v>23050.241666666701</v>
      </c>
      <c r="O267" s="3">
        <f t="shared" si="44"/>
        <v>12</v>
      </c>
      <c r="P267" s="15">
        <v>2008</v>
      </c>
      <c r="Q267" s="15">
        <v>117.24</v>
      </c>
      <c r="R267" s="15">
        <v>163.52000000000001</v>
      </c>
      <c r="S267" s="4">
        <f t="shared" si="45"/>
        <v>16.526481977739749</v>
      </c>
      <c r="T267" s="8">
        <f t="shared" si="46"/>
        <v>0.10566234947374135</v>
      </c>
      <c r="U267" s="8">
        <f t="shared" si="47"/>
        <v>3.9528968464805615E-2</v>
      </c>
      <c r="V267" s="9">
        <f t="shared" si="48"/>
        <v>1.6730358412417767</v>
      </c>
      <c r="W267">
        <f t="shared" si="49"/>
        <v>1.2893307423059364</v>
      </c>
      <c r="X267">
        <f t="shared" si="50"/>
        <v>6.8704682625463782</v>
      </c>
      <c r="Y267" s="8">
        <f t="shared" si="51"/>
        <v>0.20819296778940055</v>
      </c>
      <c r="Z267" s="8">
        <f t="shared" si="52"/>
        <v>4.7805213770522714E-2</v>
      </c>
      <c r="AA267" s="10">
        <f t="shared" si="53"/>
        <v>4.9141763254774998E-2</v>
      </c>
      <c r="AB267" s="12">
        <v>2493.2759999999998</v>
      </c>
      <c r="AC267" s="12">
        <v>1586.8430000000001</v>
      </c>
      <c r="AD267" s="8">
        <f t="shared" si="54"/>
        <v>0.57121782054053216</v>
      </c>
    </row>
    <row r="268" spans="1:30" x14ac:dyDescent="0.3">
      <c r="A268" t="s">
        <v>45</v>
      </c>
      <c r="B268">
        <v>2019</v>
      </c>
      <c r="C268">
        <v>305.13</v>
      </c>
      <c r="D268">
        <v>4377.8630000000003</v>
      </c>
      <c r="E268">
        <v>5214.0619999999999</v>
      </c>
      <c r="F268">
        <v>4560.8770000000004</v>
      </c>
      <c r="G268">
        <v>9591.9249999999993</v>
      </c>
      <c r="H268">
        <v>6565.9669999999996</v>
      </c>
      <c r="I268">
        <v>3025.9569999999999</v>
      </c>
      <c r="J268">
        <v>4819.68</v>
      </c>
      <c r="K268" s="5">
        <v>2.7958236745225001E-2</v>
      </c>
      <c r="L268" s="5">
        <v>7.3592627010500566E-2</v>
      </c>
      <c r="M268" s="8">
        <v>7.7100000000000002E-2</v>
      </c>
      <c r="N268">
        <v>23050.241666666701</v>
      </c>
      <c r="O268" s="3">
        <f t="shared" si="44"/>
        <v>24</v>
      </c>
      <c r="P268" s="15">
        <v>1996</v>
      </c>
      <c r="Q268" s="15">
        <v>117.24</v>
      </c>
      <c r="R268" s="15">
        <v>163.52000000000001</v>
      </c>
      <c r="S268" s="4">
        <f t="shared" si="45"/>
        <v>16.526481977739749</v>
      </c>
      <c r="T268" s="8">
        <f t="shared" si="46"/>
        <v>0.10083752016304263</v>
      </c>
      <c r="U268" s="8">
        <f t="shared" si="47"/>
        <v>3.181113280180986E-2</v>
      </c>
      <c r="V268" s="9">
        <f t="shared" si="48"/>
        <v>2.1698811318204454</v>
      </c>
      <c r="W268">
        <f t="shared" si="49"/>
        <v>0.90833063605882547</v>
      </c>
      <c r="X268">
        <f t="shared" si="50"/>
        <v>8.676911756633686</v>
      </c>
      <c r="Y268" s="8">
        <f t="shared" si="51"/>
        <v>0.47549131170229131</v>
      </c>
      <c r="Z268" s="8">
        <f t="shared" si="52"/>
        <v>4.7805213770522714E-2</v>
      </c>
      <c r="AA268" s="10">
        <f t="shared" si="53"/>
        <v>4.9141763254774998E-2</v>
      </c>
      <c r="AB268" s="12">
        <v>7299.9309999999996</v>
      </c>
      <c r="AC268" s="12">
        <v>6795.5119999999997</v>
      </c>
      <c r="AD268" s="8">
        <f t="shared" si="54"/>
        <v>7.4228255354416253E-2</v>
      </c>
    </row>
    <row r="269" spans="1:30" x14ac:dyDescent="0.3">
      <c r="A269" t="s">
        <v>46</v>
      </c>
      <c r="B269">
        <v>2019</v>
      </c>
      <c r="C269">
        <v>29.561</v>
      </c>
      <c r="D269">
        <v>1145.8589999999999</v>
      </c>
      <c r="E269">
        <v>356.185</v>
      </c>
      <c r="F269">
        <v>119.465</v>
      </c>
      <c r="G269">
        <v>1502.0440000000001</v>
      </c>
      <c r="H269">
        <v>529.57799999999997</v>
      </c>
      <c r="I269">
        <v>972.46600000000001</v>
      </c>
      <c r="J269">
        <v>459.3</v>
      </c>
      <c r="K269" s="5">
        <v>2.7958236745225001E-2</v>
      </c>
      <c r="L269" s="5">
        <v>7.3592627010500566E-2</v>
      </c>
      <c r="M269" s="8">
        <v>7.7100000000000002E-2</v>
      </c>
      <c r="N269">
        <v>23050.241666666701</v>
      </c>
      <c r="O269" s="3">
        <f t="shared" si="44"/>
        <v>47</v>
      </c>
      <c r="P269" s="15">
        <v>1973</v>
      </c>
      <c r="Q269" s="15">
        <v>117.24</v>
      </c>
      <c r="R269" s="15">
        <v>163.52000000000001</v>
      </c>
      <c r="S269" s="4">
        <f t="shared" si="45"/>
        <v>16.526481977739749</v>
      </c>
      <c r="T269" s="8">
        <f t="shared" si="46"/>
        <v>3.0397977924163929E-2</v>
      </c>
      <c r="U269" s="8">
        <f t="shared" si="47"/>
        <v>1.968051535108159E-2</v>
      </c>
      <c r="V269" s="9">
        <f t="shared" si="48"/>
        <v>0.54457225239751306</v>
      </c>
      <c r="W269">
        <f t="shared" si="49"/>
        <v>2.4947942521227953</v>
      </c>
      <c r="X269">
        <f t="shared" si="50"/>
        <v>6.8228170051420642</v>
      </c>
      <c r="Y269" s="8">
        <f t="shared" si="51"/>
        <v>7.9534953703087261E-2</v>
      </c>
      <c r="Z269" s="8">
        <f t="shared" si="52"/>
        <v>4.7805213770522714E-2</v>
      </c>
      <c r="AA269" s="10">
        <f t="shared" si="53"/>
        <v>4.9141763254774998E-2</v>
      </c>
      <c r="AB269" s="12">
        <v>830.51499999999999</v>
      </c>
      <c r="AC269" s="12">
        <v>1190.421</v>
      </c>
      <c r="AD269" s="8">
        <f t="shared" si="54"/>
        <v>-0.30233505625320795</v>
      </c>
    </row>
    <row r="270" spans="1:30" x14ac:dyDescent="0.3">
      <c r="A270" t="s">
        <v>47</v>
      </c>
      <c r="B270">
        <v>2019</v>
      </c>
      <c r="C270">
        <v>250.52600000000001</v>
      </c>
      <c r="D270">
        <v>1377.1579999999999</v>
      </c>
      <c r="E270">
        <v>1331.124</v>
      </c>
      <c r="F270">
        <v>1260.4829999999999</v>
      </c>
      <c r="G270">
        <v>2708.2809999999999</v>
      </c>
      <c r="H270">
        <v>1076.19</v>
      </c>
      <c r="I270">
        <v>1632.0909999999999</v>
      </c>
      <c r="J270">
        <v>927.1</v>
      </c>
      <c r="K270" s="5">
        <v>2.7958236745225001E-2</v>
      </c>
      <c r="L270" s="5">
        <v>7.3592627010500566E-2</v>
      </c>
      <c r="M270" s="8">
        <v>7.7100000000000002E-2</v>
      </c>
      <c r="N270">
        <v>23050.241666666701</v>
      </c>
      <c r="O270" s="3">
        <f t="shared" si="44"/>
        <v>45</v>
      </c>
      <c r="P270" s="15">
        <v>1975</v>
      </c>
      <c r="Q270" s="15">
        <v>117.24</v>
      </c>
      <c r="R270" s="15">
        <v>163.52000000000001</v>
      </c>
      <c r="S270" s="4">
        <f t="shared" si="45"/>
        <v>16.526481977739749</v>
      </c>
      <c r="T270" s="8">
        <f t="shared" si="46"/>
        <v>0.15350001930039442</v>
      </c>
      <c r="U270" s="8">
        <f t="shared" si="47"/>
        <v>9.2503695148324724E-2</v>
      </c>
      <c r="V270" s="9">
        <f t="shared" si="48"/>
        <v>0.65939337941328036</v>
      </c>
      <c r="W270">
        <f t="shared" si="49"/>
        <v>1.4854470930859669</v>
      </c>
      <c r="X270">
        <f t="shared" si="50"/>
        <v>7.4123042742389638</v>
      </c>
      <c r="Y270" s="8">
        <f t="shared" si="51"/>
        <v>0.46541810100207476</v>
      </c>
      <c r="Z270" s="8">
        <f t="shared" si="52"/>
        <v>4.7805213770522714E-2</v>
      </c>
      <c r="AA270" s="10">
        <f t="shared" si="53"/>
        <v>4.9141763254774998E-2</v>
      </c>
      <c r="AB270" s="12">
        <v>4036.96</v>
      </c>
      <c r="AC270" s="12">
        <v>3749.1439999999998</v>
      </c>
      <c r="AD270" s="8">
        <f t="shared" si="54"/>
        <v>7.6768457013120933E-2</v>
      </c>
    </row>
    <row r="271" spans="1:30" x14ac:dyDescent="0.3">
      <c r="A271" t="s">
        <v>48</v>
      </c>
      <c r="B271">
        <v>2019</v>
      </c>
      <c r="C271">
        <v>71.888000000000005</v>
      </c>
      <c r="D271">
        <v>1233.241</v>
      </c>
      <c r="E271">
        <v>304.392</v>
      </c>
      <c r="F271">
        <v>244.47800000000001</v>
      </c>
      <c r="G271">
        <v>1537.633</v>
      </c>
      <c r="H271">
        <v>599.10599999999999</v>
      </c>
      <c r="I271">
        <v>938.52800000000002</v>
      </c>
      <c r="J271">
        <v>241.89</v>
      </c>
      <c r="K271" s="5">
        <v>2.7958236745225001E-2</v>
      </c>
      <c r="L271" s="5">
        <v>7.3592627010500566E-2</v>
      </c>
      <c r="M271" s="8">
        <v>7.7100000000000002E-2</v>
      </c>
      <c r="N271">
        <v>23050.241666666701</v>
      </c>
      <c r="O271" s="3">
        <f t="shared" si="44"/>
        <v>27</v>
      </c>
      <c r="P271" s="15">
        <v>1993</v>
      </c>
      <c r="Q271" s="15">
        <v>117.24</v>
      </c>
      <c r="R271" s="15">
        <v>163.52000000000001</v>
      </c>
      <c r="S271" s="4">
        <f t="shared" si="45"/>
        <v>16.526481977739749</v>
      </c>
      <c r="T271" s="8">
        <f t="shared" si="46"/>
        <v>7.6596542671076406E-2</v>
      </c>
      <c r="U271" s="8">
        <f t="shared" si="47"/>
        <v>4.6752378493437642E-2</v>
      </c>
      <c r="V271" s="9">
        <f t="shared" si="48"/>
        <v>0.63834643185925188</v>
      </c>
      <c r="W271">
        <f t="shared" si="49"/>
        <v>5.0983546240026465</v>
      </c>
      <c r="X271">
        <f t="shared" si="50"/>
        <v>6.8462343789772042</v>
      </c>
      <c r="Y271" s="8">
        <f t="shared" si="51"/>
        <v>0.15899632747216014</v>
      </c>
      <c r="Z271" s="8">
        <f t="shared" si="52"/>
        <v>4.7805213770522714E-2</v>
      </c>
      <c r="AA271" s="10">
        <f t="shared" si="53"/>
        <v>4.9141763254774998E-2</v>
      </c>
      <c r="AB271" s="12">
        <v>1007.852</v>
      </c>
      <c r="AC271" s="12">
        <v>1182.921</v>
      </c>
      <c r="AD271" s="8">
        <f t="shared" si="54"/>
        <v>-0.14799720353261128</v>
      </c>
    </row>
    <row r="272" spans="1:30" x14ac:dyDescent="0.3">
      <c r="A272" t="s">
        <v>49</v>
      </c>
      <c r="B272">
        <v>2019</v>
      </c>
      <c r="C272">
        <v>229.77600000000001</v>
      </c>
      <c r="D272">
        <v>1098.183</v>
      </c>
      <c r="E272">
        <v>422.65600000000001</v>
      </c>
      <c r="F272">
        <v>267.15300000000002</v>
      </c>
      <c r="G272">
        <v>1520.8389999999999</v>
      </c>
      <c r="H272">
        <v>582.08100000000002</v>
      </c>
      <c r="I272">
        <v>938.75800000000004</v>
      </c>
      <c r="J272">
        <v>571.85</v>
      </c>
      <c r="K272" s="5">
        <v>2.7958236745225001E-2</v>
      </c>
      <c r="L272" s="5">
        <v>7.3592627010500566E-2</v>
      </c>
      <c r="M272" s="8">
        <v>7.7100000000000002E-2</v>
      </c>
      <c r="N272">
        <v>23050.241666666701</v>
      </c>
      <c r="O272" s="3">
        <f t="shared" si="44"/>
        <v>24</v>
      </c>
      <c r="P272" s="15">
        <v>1996</v>
      </c>
      <c r="Q272" s="15">
        <v>117.24</v>
      </c>
      <c r="R272" s="15">
        <v>163.52000000000001</v>
      </c>
      <c r="S272" s="4">
        <f t="shared" si="45"/>
        <v>16.526481977739749</v>
      </c>
      <c r="T272" s="8">
        <f t="shared" si="46"/>
        <v>0.24476595672154058</v>
      </c>
      <c r="U272" s="8">
        <f t="shared" si="47"/>
        <v>0.15108502609414937</v>
      </c>
      <c r="V272" s="9">
        <f t="shared" si="48"/>
        <v>0.62005436970976546</v>
      </c>
      <c r="W272">
        <f t="shared" si="49"/>
        <v>1.9204039520853369</v>
      </c>
      <c r="X272">
        <f t="shared" si="50"/>
        <v>6.8352523142158441</v>
      </c>
      <c r="Y272" s="8">
        <f t="shared" si="51"/>
        <v>0.17566159205543785</v>
      </c>
      <c r="Z272" s="8">
        <f t="shared" si="52"/>
        <v>4.7805213770522714E-2</v>
      </c>
      <c r="AA272" s="10">
        <f t="shared" si="53"/>
        <v>4.9141763254774998E-2</v>
      </c>
      <c r="AB272" s="12">
        <v>3730.0909999999999</v>
      </c>
      <c r="AC272" s="12">
        <v>3813.71</v>
      </c>
      <c r="AD272" s="8">
        <f t="shared" si="54"/>
        <v>-2.1925893683578494E-2</v>
      </c>
    </row>
    <row r="273" spans="1:30" x14ac:dyDescent="0.3">
      <c r="A273" t="s">
        <v>50</v>
      </c>
      <c r="B273">
        <v>2019</v>
      </c>
      <c r="C273">
        <v>74.221000000000004</v>
      </c>
      <c r="D273">
        <v>340.35500000000002</v>
      </c>
      <c r="E273">
        <v>47.024000000000001</v>
      </c>
      <c r="F273">
        <v>42.359000000000002</v>
      </c>
      <c r="G273">
        <v>387.38</v>
      </c>
      <c r="H273">
        <v>109.05500000000001</v>
      </c>
      <c r="I273">
        <v>278.32499999999999</v>
      </c>
      <c r="J273">
        <v>105.55</v>
      </c>
      <c r="K273" s="5">
        <v>2.7958236745225001E-2</v>
      </c>
      <c r="L273" s="5">
        <v>7.3592627010500566E-2</v>
      </c>
      <c r="M273" s="8">
        <v>7.7100000000000002E-2</v>
      </c>
      <c r="N273">
        <v>23050.241666666701</v>
      </c>
      <c r="O273" s="3">
        <f t="shared" si="44"/>
        <v>29</v>
      </c>
      <c r="P273" s="15">
        <v>1991</v>
      </c>
      <c r="Q273" s="15">
        <v>117.24</v>
      </c>
      <c r="R273" s="15">
        <v>163.52000000000001</v>
      </c>
      <c r="S273" s="4">
        <f t="shared" si="45"/>
        <v>16.526481977739749</v>
      </c>
      <c r="T273" s="8">
        <f t="shared" si="46"/>
        <v>0.26667025958861046</v>
      </c>
      <c r="U273" s="8">
        <f t="shared" si="47"/>
        <v>0.19159739790386701</v>
      </c>
      <c r="V273" s="9">
        <f t="shared" si="48"/>
        <v>0.39182610257792155</v>
      </c>
      <c r="W273">
        <f t="shared" si="49"/>
        <v>3.224585504500237</v>
      </c>
      <c r="X273">
        <f t="shared" si="50"/>
        <v>5.4676410023868449</v>
      </c>
      <c r="Y273" s="8">
        <f t="shared" si="51"/>
        <v>0.1093474108110899</v>
      </c>
      <c r="Z273" s="8">
        <f t="shared" si="52"/>
        <v>4.7805213770522714E-2</v>
      </c>
      <c r="AA273" s="10">
        <f t="shared" si="53"/>
        <v>4.9141763254774998E-2</v>
      </c>
      <c r="AB273" s="12">
        <v>345.63400000000001</v>
      </c>
      <c r="AC273" s="12">
        <v>392.84899999999999</v>
      </c>
      <c r="AD273" s="8">
        <f t="shared" si="54"/>
        <v>-0.12018612749427891</v>
      </c>
    </row>
    <row r="274" spans="1:30" x14ac:dyDescent="0.3">
      <c r="A274" t="s">
        <v>51</v>
      </c>
      <c r="B274">
        <v>2019</v>
      </c>
      <c r="C274">
        <v>160.518</v>
      </c>
      <c r="D274">
        <v>1543.9780000000001</v>
      </c>
      <c r="E274">
        <v>354.47199999999998</v>
      </c>
      <c r="F274">
        <v>138.54900000000001</v>
      </c>
      <c r="G274">
        <v>1898.4490000000001</v>
      </c>
      <c r="H274">
        <v>1061.9739999999999</v>
      </c>
      <c r="I274">
        <v>836.47500000000002</v>
      </c>
      <c r="J274">
        <v>1059.3699999999999</v>
      </c>
      <c r="K274" s="5">
        <v>2.7958236745225001E-2</v>
      </c>
      <c r="L274" s="5">
        <v>7.3592627010500566E-2</v>
      </c>
      <c r="M274" s="8">
        <v>7.7100000000000002E-2</v>
      </c>
      <c r="N274">
        <v>23050.241666666701</v>
      </c>
      <c r="O274" s="3">
        <f t="shared" si="44"/>
        <v>38</v>
      </c>
      <c r="P274" s="15">
        <v>1982</v>
      </c>
      <c r="Q274" s="15">
        <v>117.24</v>
      </c>
      <c r="R274" s="15">
        <v>163.52000000000001</v>
      </c>
      <c r="S274" s="4">
        <f t="shared" si="45"/>
        <v>16.526481977739749</v>
      </c>
      <c r="T274" s="8">
        <f t="shared" si="46"/>
        <v>0.19189814399713082</v>
      </c>
      <c r="U274" s="8">
        <f t="shared" si="47"/>
        <v>8.4552179173630684E-2</v>
      </c>
      <c r="V274" s="9">
        <f t="shared" si="48"/>
        <v>1.2695824740727457</v>
      </c>
      <c r="W274">
        <f t="shared" si="49"/>
        <v>1.4574492386984719</v>
      </c>
      <c r="X274">
        <f t="shared" si="50"/>
        <v>7.0570273949706417</v>
      </c>
      <c r="Y274" s="8">
        <f t="shared" si="51"/>
        <v>7.2980101124654917E-2</v>
      </c>
      <c r="Z274" s="8">
        <f t="shared" si="52"/>
        <v>4.7805213770522714E-2</v>
      </c>
      <c r="AA274" s="10">
        <f t="shared" si="53"/>
        <v>4.9141763254774998E-2</v>
      </c>
      <c r="AB274" s="12">
        <v>2538.355</v>
      </c>
      <c r="AC274" s="12">
        <v>2253.6309999999999</v>
      </c>
      <c r="AD274" s="8">
        <f t="shared" si="54"/>
        <v>0.12634011512976179</v>
      </c>
    </row>
    <row r="275" spans="1:30" x14ac:dyDescent="0.3">
      <c r="A275" t="s">
        <v>52</v>
      </c>
      <c r="B275">
        <v>2019</v>
      </c>
      <c r="C275">
        <v>104.449</v>
      </c>
      <c r="D275">
        <v>820.45299999999997</v>
      </c>
      <c r="E275">
        <v>208.535</v>
      </c>
      <c r="F275">
        <v>158.33500000000001</v>
      </c>
      <c r="G275">
        <v>1028.9880000000001</v>
      </c>
      <c r="H275">
        <v>545.56299999999999</v>
      </c>
      <c r="I275">
        <v>483.42500000000001</v>
      </c>
      <c r="J275">
        <v>535.59</v>
      </c>
      <c r="K275" s="5">
        <v>2.7958236745225001E-2</v>
      </c>
      <c r="L275" s="5">
        <v>7.3592627010500566E-2</v>
      </c>
      <c r="M275" s="8">
        <v>7.7100000000000002E-2</v>
      </c>
      <c r="N275">
        <v>23050.241666666701</v>
      </c>
      <c r="O275" s="3">
        <f t="shared" si="44"/>
        <v>44</v>
      </c>
      <c r="P275" s="15">
        <v>1976</v>
      </c>
      <c r="Q275" s="15">
        <v>117.24</v>
      </c>
      <c r="R275" s="15">
        <v>163.52000000000001</v>
      </c>
      <c r="S275" s="4">
        <f t="shared" si="45"/>
        <v>16.526481977739749</v>
      </c>
      <c r="T275" s="8">
        <f t="shared" si="46"/>
        <v>0.21606040233748772</v>
      </c>
      <c r="U275" s="8">
        <f t="shared" si="47"/>
        <v>0.10150652874474726</v>
      </c>
      <c r="V275" s="9">
        <f t="shared" si="48"/>
        <v>1.1285370016031442</v>
      </c>
      <c r="W275">
        <f t="shared" si="49"/>
        <v>1.5318676599637782</v>
      </c>
      <c r="X275">
        <f t="shared" si="50"/>
        <v>6.4445659529312218</v>
      </c>
      <c r="Y275" s="8">
        <f t="shared" si="51"/>
        <v>0.15387448638856818</v>
      </c>
      <c r="Z275" s="8">
        <f t="shared" si="52"/>
        <v>4.7805213770522714E-2</v>
      </c>
      <c r="AA275" s="10">
        <f t="shared" si="53"/>
        <v>4.9141763254774998E-2</v>
      </c>
      <c r="AB275" s="12">
        <v>1749.298</v>
      </c>
      <c r="AC275" s="12">
        <v>2045.3230000000001</v>
      </c>
      <c r="AD275" s="8">
        <f t="shared" si="54"/>
        <v>-0.14473264125030622</v>
      </c>
    </row>
    <row r="276" spans="1:30" x14ac:dyDescent="0.3">
      <c r="A276" t="s">
        <v>53</v>
      </c>
      <c r="B276">
        <v>2019</v>
      </c>
      <c r="C276">
        <v>-1808.8040000000001</v>
      </c>
      <c r="D276">
        <v>7073.6750000000002</v>
      </c>
      <c r="E276">
        <v>31558.812000000002</v>
      </c>
      <c r="F276">
        <v>10280.436</v>
      </c>
      <c r="G276">
        <v>38632.487000000001</v>
      </c>
      <c r="H276">
        <v>21823.683000000001</v>
      </c>
      <c r="I276">
        <v>16808.804</v>
      </c>
      <c r="J276">
        <v>8089.79</v>
      </c>
      <c r="K276" s="5">
        <v>2.7958236745225001E-2</v>
      </c>
      <c r="L276" s="5">
        <v>7.3592627010500566E-2</v>
      </c>
      <c r="M276" s="8">
        <v>7.7100000000000002E-2</v>
      </c>
      <c r="N276">
        <v>23050.241666666701</v>
      </c>
      <c r="O276" s="3">
        <f t="shared" si="44"/>
        <v>27</v>
      </c>
      <c r="P276" s="15">
        <v>1993</v>
      </c>
      <c r="Q276" s="15">
        <v>117.24</v>
      </c>
      <c r="R276" s="15">
        <v>163.52000000000001</v>
      </c>
      <c r="S276" s="4">
        <f t="shared" si="45"/>
        <v>16.526481977739749</v>
      </c>
      <c r="T276" s="8">
        <f t="shared" si="46"/>
        <v>-0.10761051172944845</v>
      </c>
      <c r="U276" s="8">
        <f t="shared" si="47"/>
        <v>-4.6820801363370676E-2</v>
      </c>
      <c r="V276" s="9">
        <f t="shared" si="48"/>
        <v>1.2983483536365823</v>
      </c>
      <c r="W276">
        <f t="shared" si="49"/>
        <v>0.87439537985534854</v>
      </c>
      <c r="X276">
        <f t="shared" si="50"/>
        <v>10.070083712576306</v>
      </c>
      <c r="Y276" s="8">
        <f t="shared" si="51"/>
        <v>0.26610857333621829</v>
      </c>
      <c r="Z276" s="8">
        <f t="shared" si="52"/>
        <v>4.7805213770522714E-2</v>
      </c>
      <c r="AA276" s="10">
        <f t="shared" si="53"/>
        <v>4.9141763254774998E-2</v>
      </c>
      <c r="AB276" s="12">
        <v>2091.8330000000001</v>
      </c>
      <c r="AC276" s="12">
        <v>5388.2</v>
      </c>
      <c r="AD276" s="8">
        <f t="shared" si="54"/>
        <v>-0.61177517538324488</v>
      </c>
    </row>
    <row r="277" spans="1:30" x14ac:dyDescent="0.3">
      <c r="A277" t="s">
        <v>54</v>
      </c>
      <c r="B277">
        <v>2019</v>
      </c>
      <c r="C277">
        <v>50.670999999999999</v>
      </c>
      <c r="D277">
        <v>1245.7629999999999</v>
      </c>
      <c r="E277">
        <v>386.43799999999999</v>
      </c>
      <c r="F277">
        <v>333.46499999999997</v>
      </c>
      <c r="G277">
        <v>1632.201</v>
      </c>
      <c r="H277">
        <v>1166.635</v>
      </c>
      <c r="I277">
        <v>465.56599999999997</v>
      </c>
      <c r="J277">
        <v>1162.6099999999999</v>
      </c>
      <c r="K277" s="5">
        <v>2.7958236745225001E-2</v>
      </c>
      <c r="L277" s="5">
        <v>7.3592627010500566E-2</v>
      </c>
      <c r="M277" s="8">
        <v>7.7100000000000002E-2</v>
      </c>
      <c r="N277">
        <v>23050.241666666701</v>
      </c>
      <c r="O277" s="3">
        <f t="shared" si="44"/>
        <v>28</v>
      </c>
      <c r="P277" s="15">
        <v>1992</v>
      </c>
      <c r="Q277" s="15">
        <v>117.24</v>
      </c>
      <c r="R277" s="15">
        <v>163.52000000000001</v>
      </c>
      <c r="S277" s="4">
        <f t="shared" si="45"/>
        <v>16.526481977739749</v>
      </c>
      <c r="T277" s="8">
        <f t="shared" si="46"/>
        <v>0.10883741510333658</v>
      </c>
      <c r="U277" s="8">
        <f t="shared" si="47"/>
        <v>3.104458335707428E-2</v>
      </c>
      <c r="V277" s="9">
        <f t="shared" si="48"/>
        <v>2.5058423510307883</v>
      </c>
      <c r="W277">
        <f t="shared" si="49"/>
        <v>1.0715226946267451</v>
      </c>
      <c r="X277">
        <f t="shared" si="50"/>
        <v>6.9059195686777226</v>
      </c>
      <c r="Y277" s="8">
        <f t="shared" si="51"/>
        <v>0.20430388169104172</v>
      </c>
      <c r="Z277" s="8">
        <f t="shared" si="52"/>
        <v>4.7805213770522714E-2</v>
      </c>
      <c r="AA277" s="10">
        <f t="shared" si="53"/>
        <v>4.9141763254774998E-2</v>
      </c>
      <c r="AB277" s="12">
        <v>5152.924</v>
      </c>
      <c r="AC277" s="12">
        <v>4756.0060000000003</v>
      </c>
      <c r="AD277" s="8">
        <f t="shared" si="54"/>
        <v>8.3456160484238165E-2</v>
      </c>
    </row>
    <row r="278" spans="1:30" x14ac:dyDescent="0.3">
      <c r="A278" t="s">
        <v>55</v>
      </c>
      <c r="B278">
        <v>2019</v>
      </c>
      <c r="C278">
        <v>195.26</v>
      </c>
      <c r="D278">
        <v>2473.415</v>
      </c>
      <c r="E278">
        <v>1154.309</v>
      </c>
      <c r="F278">
        <v>21.422000000000001</v>
      </c>
      <c r="G278">
        <v>3627.7240000000002</v>
      </c>
      <c r="H278">
        <v>195.66</v>
      </c>
      <c r="I278">
        <v>3432.0639999999999</v>
      </c>
      <c r="J278">
        <v>135.13</v>
      </c>
      <c r="K278" s="5">
        <v>2.7958236745225001E-2</v>
      </c>
      <c r="L278" s="5">
        <v>7.3592627010500566E-2</v>
      </c>
      <c r="M278" s="8">
        <v>7.7100000000000002E-2</v>
      </c>
      <c r="N278">
        <v>23050.241666666701</v>
      </c>
      <c r="O278" s="3">
        <f t="shared" si="44"/>
        <v>12</v>
      </c>
      <c r="P278" s="15">
        <v>2008</v>
      </c>
      <c r="Q278" s="15">
        <v>117.24</v>
      </c>
      <c r="R278" s="15">
        <v>163.52000000000001</v>
      </c>
      <c r="S278" s="4">
        <f t="shared" si="45"/>
        <v>16.526481977739749</v>
      </c>
      <c r="T278" s="8">
        <f t="shared" si="46"/>
        <v>5.6892878454481037E-2</v>
      </c>
      <c r="U278" s="8">
        <f t="shared" si="47"/>
        <v>5.3824381347643863E-2</v>
      </c>
      <c r="V278" s="9">
        <f t="shared" si="48"/>
        <v>5.7009426397642934E-2</v>
      </c>
      <c r="W278">
        <f t="shared" si="49"/>
        <v>18.303966550728926</v>
      </c>
      <c r="X278">
        <f t="shared" si="50"/>
        <v>7.7045956123414951</v>
      </c>
      <c r="Y278" s="8">
        <f t="shared" si="51"/>
        <v>5.9050798792851938E-3</v>
      </c>
      <c r="Z278" s="8">
        <f t="shared" si="52"/>
        <v>4.7805213770522714E-2</v>
      </c>
      <c r="AA278" s="10">
        <f t="shared" si="53"/>
        <v>4.9141763254774998E-2</v>
      </c>
      <c r="AB278" s="12">
        <v>592.39599999999996</v>
      </c>
      <c r="AC278" s="12">
        <v>1152.336</v>
      </c>
      <c r="AD278" s="8">
        <f t="shared" si="54"/>
        <v>-0.48591730189805754</v>
      </c>
    </row>
    <row r="279" spans="1:30" x14ac:dyDescent="0.3">
      <c r="A279" t="s">
        <v>56</v>
      </c>
      <c r="B279">
        <v>2019</v>
      </c>
      <c r="C279">
        <v>-2444.4009999999998</v>
      </c>
      <c r="D279">
        <v>3872.4229999999998</v>
      </c>
      <c r="E279">
        <v>19408.065999999999</v>
      </c>
      <c r="F279">
        <v>8518.0159999999996</v>
      </c>
      <c r="G279">
        <v>23280.489000000001</v>
      </c>
      <c r="H279">
        <v>13542.536</v>
      </c>
      <c r="I279">
        <v>9737.9529999999995</v>
      </c>
      <c r="J279">
        <v>7912.95</v>
      </c>
      <c r="K279" s="5">
        <v>2.7958236745225001E-2</v>
      </c>
      <c r="L279" s="5">
        <v>7.3592627010500566E-2</v>
      </c>
      <c r="M279" s="8">
        <v>7.7100000000000002E-2</v>
      </c>
      <c r="N279">
        <v>23050.241666666701</v>
      </c>
      <c r="O279" s="3">
        <f t="shared" si="44"/>
        <v>10</v>
      </c>
      <c r="P279" s="15">
        <v>2010</v>
      </c>
      <c r="Q279" s="15">
        <v>117.24</v>
      </c>
      <c r="R279" s="15">
        <v>163.52000000000001</v>
      </c>
      <c r="S279" s="4">
        <f t="shared" si="45"/>
        <v>16.526481977739749</v>
      </c>
      <c r="T279" s="8">
        <f t="shared" si="46"/>
        <v>-0.25101795007636613</v>
      </c>
      <c r="U279" s="8">
        <f t="shared" si="47"/>
        <v>-0.10499783745951383</v>
      </c>
      <c r="V279" s="9">
        <f t="shared" si="48"/>
        <v>1.3906963814674398</v>
      </c>
      <c r="W279">
        <f t="shared" si="49"/>
        <v>0.48937791847541057</v>
      </c>
      <c r="X279">
        <f t="shared" si="50"/>
        <v>9.5636057857521592</v>
      </c>
      <c r="Y279" s="8">
        <f t="shared" si="51"/>
        <v>0.36588647257366452</v>
      </c>
      <c r="Z279" s="8">
        <f t="shared" si="52"/>
        <v>4.7805213770522714E-2</v>
      </c>
      <c r="AA279" s="10">
        <f t="shared" si="53"/>
        <v>4.9141763254774998E-2</v>
      </c>
      <c r="AB279" s="12">
        <v>1810.7750000000001</v>
      </c>
      <c r="AC279" s="12">
        <v>3688.3449999999998</v>
      </c>
      <c r="AD279" s="8">
        <f t="shared" si="54"/>
        <v>-0.50905487420509732</v>
      </c>
    </row>
    <row r="280" spans="1:30" x14ac:dyDescent="0.3">
      <c r="A280" t="s">
        <v>57</v>
      </c>
      <c r="B280">
        <v>2019</v>
      </c>
      <c r="C280">
        <v>47.113</v>
      </c>
      <c r="D280">
        <v>172.30099999999999</v>
      </c>
      <c r="E280">
        <v>73.772999999999996</v>
      </c>
      <c r="F280">
        <v>11.336</v>
      </c>
      <c r="G280">
        <v>246.07499999999999</v>
      </c>
      <c r="H280">
        <v>11.226000000000001</v>
      </c>
      <c r="I280">
        <v>234.84800000000001</v>
      </c>
      <c r="J280">
        <v>11.23</v>
      </c>
      <c r="K280" s="5">
        <v>2.7958236745225001E-2</v>
      </c>
      <c r="L280" s="5">
        <v>7.3592627010500566E-2</v>
      </c>
      <c r="M280" s="8">
        <v>7.7100000000000002E-2</v>
      </c>
      <c r="N280">
        <v>23050.241666666701</v>
      </c>
      <c r="O280" s="3">
        <f t="shared" si="44"/>
        <v>5</v>
      </c>
      <c r="P280" s="15">
        <v>2015</v>
      </c>
      <c r="Q280" s="15">
        <v>117.24</v>
      </c>
      <c r="R280" s="15">
        <v>163.52000000000001</v>
      </c>
      <c r="S280" s="4">
        <f t="shared" si="45"/>
        <v>16.526481977739749</v>
      </c>
      <c r="T280" s="8">
        <f t="shared" si="46"/>
        <v>0.20061060771222236</v>
      </c>
      <c r="U280" s="8">
        <f t="shared" si="47"/>
        <v>0.19145788885502388</v>
      </c>
      <c r="V280" s="9">
        <f t="shared" si="48"/>
        <v>4.780113094427034E-2</v>
      </c>
      <c r="W280">
        <f t="shared" si="49"/>
        <v>15.342920747996436</v>
      </c>
      <c r="X280">
        <f t="shared" si="50"/>
        <v>5.0138712464880264</v>
      </c>
      <c r="Y280" s="8">
        <f t="shared" si="51"/>
        <v>4.6067255917911207E-2</v>
      </c>
      <c r="Z280" s="8">
        <f t="shared" si="52"/>
        <v>4.7805213770522714E-2</v>
      </c>
      <c r="AA280" s="10">
        <f t="shared" si="53"/>
        <v>4.9141763254774998E-2</v>
      </c>
      <c r="AB280" s="12">
        <v>464.52600000000001</v>
      </c>
      <c r="AC280" s="12">
        <v>313.15499999999997</v>
      </c>
      <c r="AD280" s="8">
        <f t="shared" si="54"/>
        <v>0.48337404799540179</v>
      </c>
    </row>
    <row r="281" spans="1:30" x14ac:dyDescent="0.3">
      <c r="A281" t="s">
        <v>58</v>
      </c>
      <c r="B281">
        <v>2019</v>
      </c>
      <c r="C281">
        <v>116.65300000000001</v>
      </c>
      <c r="D281">
        <v>948.10199999999998</v>
      </c>
      <c r="E281">
        <v>824.399</v>
      </c>
      <c r="F281">
        <v>743.07</v>
      </c>
      <c r="G281">
        <v>1772.501</v>
      </c>
      <c r="H281">
        <v>1291.0409999999999</v>
      </c>
      <c r="I281">
        <v>481.46</v>
      </c>
      <c r="J281">
        <v>911.79</v>
      </c>
      <c r="K281" s="5">
        <v>2.7958236745225001E-2</v>
      </c>
      <c r="L281" s="5">
        <v>7.3592627010500566E-2</v>
      </c>
      <c r="M281" s="8">
        <v>7.7100000000000002E-2</v>
      </c>
      <c r="N281">
        <v>23050.241666666701</v>
      </c>
      <c r="O281" s="3">
        <f t="shared" si="44"/>
        <v>58</v>
      </c>
      <c r="P281" s="15">
        <v>1962</v>
      </c>
      <c r="Q281" s="15">
        <v>117.24</v>
      </c>
      <c r="R281" s="15">
        <v>163.52000000000001</v>
      </c>
      <c r="S281" s="4">
        <f t="shared" si="45"/>
        <v>16.526481977739749</v>
      </c>
      <c r="T281" s="8">
        <f t="shared" si="46"/>
        <v>0.24229011755909113</v>
      </c>
      <c r="U281" s="8">
        <f t="shared" si="47"/>
        <v>6.5812656805271194E-2</v>
      </c>
      <c r="V281" s="9">
        <f t="shared" si="48"/>
        <v>2.68151248286462</v>
      </c>
      <c r="W281">
        <f t="shared" si="49"/>
        <v>1.0398249596946665</v>
      </c>
      <c r="X281">
        <f t="shared" si="50"/>
        <v>6.9883817015537693</v>
      </c>
      <c r="Y281" s="8">
        <f t="shared" si="51"/>
        <v>0.41922120213190295</v>
      </c>
      <c r="Z281" s="8">
        <f t="shared" si="52"/>
        <v>4.7805213770522714E-2</v>
      </c>
      <c r="AA281" s="10">
        <f t="shared" si="53"/>
        <v>4.9141763254774998E-2</v>
      </c>
      <c r="AB281" s="12">
        <v>4254.527</v>
      </c>
      <c r="AC281" s="12">
        <v>4346.085</v>
      </c>
      <c r="AD281" s="8">
        <f t="shared" si="54"/>
        <v>-2.1066776190525494E-2</v>
      </c>
    </row>
    <row r="282" spans="1:30" x14ac:dyDescent="0.3">
      <c r="A282" t="s">
        <v>59</v>
      </c>
      <c r="B282">
        <v>2019</v>
      </c>
      <c r="C282">
        <v>20.625</v>
      </c>
      <c r="D282">
        <v>285.01600000000002</v>
      </c>
      <c r="E282">
        <v>94.599000000000004</v>
      </c>
      <c r="F282">
        <v>43.133000000000003</v>
      </c>
      <c r="G282">
        <v>379.61500000000001</v>
      </c>
      <c r="H282">
        <v>186.41</v>
      </c>
      <c r="I282">
        <v>193.20500000000001</v>
      </c>
      <c r="J282">
        <v>184.77</v>
      </c>
      <c r="K282" s="5">
        <v>2.7958236745225001E-2</v>
      </c>
      <c r="L282" s="5">
        <v>7.3592627010500566E-2</v>
      </c>
      <c r="M282" s="8">
        <v>7.7100000000000002E-2</v>
      </c>
      <c r="N282">
        <v>23050.241666666701</v>
      </c>
      <c r="O282" s="3">
        <f t="shared" si="44"/>
        <v>22</v>
      </c>
      <c r="P282" s="15">
        <v>1998</v>
      </c>
      <c r="Q282" s="15">
        <v>117.24</v>
      </c>
      <c r="R282" s="15">
        <v>163.52000000000001</v>
      </c>
      <c r="S282" s="4">
        <f t="shared" si="45"/>
        <v>16.526481977739749</v>
      </c>
      <c r="T282" s="8">
        <f t="shared" si="46"/>
        <v>0.10675189565487435</v>
      </c>
      <c r="U282" s="8">
        <f t="shared" si="47"/>
        <v>5.4331362037854138E-2</v>
      </c>
      <c r="V282" s="9">
        <f t="shared" si="48"/>
        <v>0.96483010274061221</v>
      </c>
      <c r="W282">
        <f t="shared" si="49"/>
        <v>1.5425447854088867</v>
      </c>
      <c r="X282">
        <f t="shared" si="50"/>
        <v>5.447392460207058</v>
      </c>
      <c r="Y282" s="8">
        <f t="shared" si="51"/>
        <v>0.11362301278927335</v>
      </c>
      <c r="Z282" s="8">
        <f t="shared" si="52"/>
        <v>4.7805213770522714E-2</v>
      </c>
      <c r="AA282" s="10">
        <f t="shared" si="53"/>
        <v>4.9141763254774998E-2</v>
      </c>
      <c r="AB282" s="12">
        <v>823.49</v>
      </c>
      <c r="AC282" s="12">
        <v>785.57600000000002</v>
      </c>
      <c r="AD282" s="8">
        <f t="shared" si="54"/>
        <v>4.8262676049166453E-2</v>
      </c>
    </row>
    <row r="283" spans="1:30" x14ac:dyDescent="0.3">
      <c r="A283" t="s">
        <v>60</v>
      </c>
      <c r="B283">
        <v>2019</v>
      </c>
      <c r="C283">
        <v>325.95600000000002</v>
      </c>
      <c r="D283">
        <v>4944.51</v>
      </c>
      <c r="E283">
        <v>2549.058</v>
      </c>
      <c r="F283">
        <v>1185.231</v>
      </c>
      <c r="G283">
        <v>7493.5680000000002</v>
      </c>
      <c r="H283">
        <v>4602.1809999999996</v>
      </c>
      <c r="I283">
        <v>2891.3870000000002</v>
      </c>
      <c r="J283">
        <v>4095.66</v>
      </c>
      <c r="K283" s="5">
        <v>2.7958236745225001E-2</v>
      </c>
      <c r="L283" s="5">
        <v>7.3592627010500566E-2</v>
      </c>
      <c r="M283" s="8">
        <v>7.7100000000000002E-2</v>
      </c>
      <c r="N283">
        <v>23050.241666666701</v>
      </c>
      <c r="O283" s="3">
        <f t="shared" si="44"/>
        <v>17</v>
      </c>
      <c r="P283" s="15">
        <v>2003</v>
      </c>
      <c r="Q283" s="15">
        <v>117.24</v>
      </c>
      <c r="R283" s="15">
        <v>163.52000000000001</v>
      </c>
      <c r="S283" s="4">
        <f t="shared" si="45"/>
        <v>16.526481977739749</v>
      </c>
      <c r="T283" s="8">
        <f t="shared" si="46"/>
        <v>0.11273343900349556</v>
      </c>
      <c r="U283" s="8">
        <f t="shared" si="47"/>
        <v>4.3498103973968076E-2</v>
      </c>
      <c r="V283" s="9">
        <f t="shared" si="48"/>
        <v>1.5916862737502795</v>
      </c>
      <c r="W283">
        <f t="shared" si="49"/>
        <v>1.2072559733962294</v>
      </c>
      <c r="X283">
        <f t="shared" si="50"/>
        <v>8.4300352105478904</v>
      </c>
      <c r="Y283" s="8">
        <f t="shared" si="51"/>
        <v>0.15816644354198159</v>
      </c>
      <c r="Z283" s="8">
        <f t="shared" si="52"/>
        <v>4.7805213770522714E-2</v>
      </c>
      <c r="AA283" s="10">
        <f t="shared" si="53"/>
        <v>4.9141763254774998E-2</v>
      </c>
      <c r="AB283" s="12">
        <v>7744.4089999999997</v>
      </c>
      <c r="AC283" s="12">
        <v>6342.7060000000001</v>
      </c>
      <c r="AD283" s="8">
        <f t="shared" si="54"/>
        <v>0.22099447775129408</v>
      </c>
    </row>
    <row r="284" spans="1:30" x14ac:dyDescent="0.3">
      <c r="A284" t="s">
        <v>61</v>
      </c>
      <c r="B284">
        <v>2019</v>
      </c>
      <c r="C284">
        <v>207.25800000000001</v>
      </c>
      <c r="D284">
        <v>4912.9489999999996</v>
      </c>
      <c r="E284">
        <v>7019.2049999999999</v>
      </c>
      <c r="F284">
        <v>2851.64</v>
      </c>
      <c r="G284">
        <v>11932.154</v>
      </c>
      <c r="H284">
        <v>3776.502</v>
      </c>
      <c r="I284">
        <v>8155.652</v>
      </c>
      <c r="J284">
        <v>2684.94</v>
      </c>
      <c r="K284" s="5">
        <v>2.7958236745225001E-2</v>
      </c>
      <c r="L284" s="5">
        <v>7.3592627010500566E-2</v>
      </c>
      <c r="M284" s="8">
        <v>7.7100000000000002E-2</v>
      </c>
      <c r="N284">
        <v>23050.241666666701</v>
      </c>
      <c r="O284" s="3">
        <f t="shared" si="44"/>
        <v>27</v>
      </c>
      <c r="P284" s="15">
        <v>1993</v>
      </c>
      <c r="Q284" s="15">
        <v>117.24</v>
      </c>
      <c r="R284" s="15">
        <v>163.52000000000001</v>
      </c>
      <c r="S284" s="4">
        <f t="shared" si="45"/>
        <v>16.526481977739749</v>
      </c>
      <c r="T284" s="8">
        <f t="shared" si="46"/>
        <v>2.5412805745021982E-2</v>
      </c>
      <c r="U284" s="8">
        <f t="shared" si="47"/>
        <v>1.73697054194909E-2</v>
      </c>
      <c r="V284" s="9">
        <f t="shared" si="48"/>
        <v>0.46305335244809365</v>
      </c>
      <c r="W284">
        <f t="shared" si="49"/>
        <v>1.8298170536399321</v>
      </c>
      <c r="X284">
        <f t="shared" si="50"/>
        <v>8.8952269309941006</v>
      </c>
      <c r="Y284" s="8">
        <f t="shared" si="51"/>
        <v>0.23898786421965387</v>
      </c>
      <c r="Z284" s="8">
        <f t="shared" si="52"/>
        <v>4.7805213770522714E-2</v>
      </c>
      <c r="AA284" s="10">
        <f t="shared" si="53"/>
        <v>4.9141763254774998E-2</v>
      </c>
      <c r="AB284" s="12">
        <v>7330.2039999999997</v>
      </c>
      <c r="AC284" s="12">
        <v>7720.518</v>
      </c>
      <c r="AD284" s="8">
        <f t="shared" si="54"/>
        <v>-5.0555416100318697E-2</v>
      </c>
    </row>
    <row r="285" spans="1:30" x14ac:dyDescent="0.3">
      <c r="A285" t="s">
        <v>62</v>
      </c>
      <c r="B285">
        <v>2019</v>
      </c>
      <c r="C285">
        <v>4.2359999999999998</v>
      </c>
      <c r="D285">
        <v>626.75699999999995</v>
      </c>
      <c r="E285">
        <v>368.43200000000002</v>
      </c>
      <c r="F285">
        <v>345.92200000000003</v>
      </c>
      <c r="G285">
        <v>995.18899999999996</v>
      </c>
      <c r="H285">
        <v>394.75599999999997</v>
      </c>
      <c r="I285">
        <v>600.43299999999999</v>
      </c>
      <c r="J285">
        <v>385</v>
      </c>
      <c r="K285" s="5">
        <v>2.7958236745225001E-2</v>
      </c>
      <c r="L285" s="5">
        <v>7.3592627010500566E-2</v>
      </c>
      <c r="M285" s="8">
        <v>7.7100000000000002E-2</v>
      </c>
      <c r="N285">
        <v>23050.241666666701</v>
      </c>
      <c r="O285" s="3">
        <f t="shared" si="44"/>
        <v>19</v>
      </c>
      <c r="P285" s="15">
        <v>2001</v>
      </c>
      <c r="Q285" s="15">
        <v>117.24</v>
      </c>
      <c r="R285" s="15">
        <v>163.52000000000001</v>
      </c>
      <c r="S285" s="4">
        <f t="shared" si="45"/>
        <v>16.526481977739749</v>
      </c>
      <c r="T285" s="8">
        <f t="shared" si="46"/>
        <v>7.0549087075493849E-3</v>
      </c>
      <c r="U285" s="8">
        <f t="shared" si="47"/>
        <v>4.2564779152502686E-3</v>
      </c>
      <c r="V285" s="9">
        <f t="shared" si="48"/>
        <v>0.65745220532515702</v>
      </c>
      <c r="W285">
        <f t="shared" si="49"/>
        <v>1.6279402597402597</v>
      </c>
      <c r="X285">
        <f t="shared" si="50"/>
        <v>6.4111675478419192</v>
      </c>
      <c r="Y285" s="8">
        <f t="shared" si="51"/>
        <v>0.34759427606213494</v>
      </c>
      <c r="Z285" s="8">
        <f t="shared" si="52"/>
        <v>4.7805213770522714E-2</v>
      </c>
      <c r="AA285" s="10">
        <f t="shared" si="53"/>
        <v>4.9141763254774998E-2</v>
      </c>
      <c r="AB285" s="12">
        <v>544.95000000000005</v>
      </c>
      <c r="AC285" s="12">
        <v>424.24700000000001</v>
      </c>
      <c r="AD285" s="8">
        <f t="shared" si="54"/>
        <v>0.28451114562978647</v>
      </c>
    </row>
    <row r="286" spans="1:30" x14ac:dyDescent="0.3">
      <c r="A286" t="s">
        <v>63</v>
      </c>
      <c r="B286">
        <v>2019</v>
      </c>
      <c r="C286">
        <v>17.873000000000001</v>
      </c>
      <c r="D286">
        <v>183.37899999999999</v>
      </c>
      <c r="E286">
        <v>69.706000000000003</v>
      </c>
      <c r="F286">
        <v>57.631999999999998</v>
      </c>
      <c r="G286">
        <v>253.08500000000001</v>
      </c>
      <c r="H286">
        <v>118.77500000000001</v>
      </c>
      <c r="I286">
        <v>134.31</v>
      </c>
      <c r="J286">
        <v>116.16</v>
      </c>
      <c r="K286" s="5">
        <v>2.7958236745225001E-2</v>
      </c>
      <c r="L286" s="5">
        <v>7.3592627010500566E-2</v>
      </c>
      <c r="M286" s="8">
        <v>7.7100000000000002E-2</v>
      </c>
      <c r="N286">
        <v>23050.241666666701</v>
      </c>
      <c r="O286" s="3">
        <f t="shared" si="44"/>
        <v>35</v>
      </c>
      <c r="P286" s="15">
        <v>1985</v>
      </c>
      <c r="Q286" s="15">
        <v>117.24</v>
      </c>
      <c r="R286" s="15">
        <v>163.52000000000001</v>
      </c>
      <c r="S286" s="4">
        <f t="shared" si="45"/>
        <v>16.526481977739749</v>
      </c>
      <c r="T286" s="8">
        <f t="shared" si="46"/>
        <v>0.13307274216365125</v>
      </c>
      <c r="U286" s="8">
        <f t="shared" si="47"/>
        <v>7.0620542505482345E-2</v>
      </c>
      <c r="V286" s="9">
        <f t="shared" si="48"/>
        <v>0.88433474797111167</v>
      </c>
      <c r="W286">
        <f t="shared" si="49"/>
        <v>1.5786759641873278</v>
      </c>
      <c r="X286">
        <f t="shared" si="50"/>
        <v>5.0419602796549805</v>
      </c>
      <c r="Y286" s="8">
        <f t="shared" si="51"/>
        <v>0.22771796036904596</v>
      </c>
      <c r="Z286" s="8">
        <f t="shared" si="52"/>
        <v>4.7805213770522714E-2</v>
      </c>
      <c r="AA286" s="10">
        <f t="shared" si="53"/>
        <v>4.9141763254774998E-2</v>
      </c>
      <c r="AB286" s="12">
        <v>471.88799999999998</v>
      </c>
      <c r="AC286" s="12">
        <v>572.92899999999997</v>
      </c>
      <c r="AD286" s="8">
        <f t="shared" si="54"/>
        <v>-0.17635867620595222</v>
      </c>
    </row>
    <row r="287" spans="1:30" x14ac:dyDescent="0.3">
      <c r="A287" t="s">
        <v>64</v>
      </c>
      <c r="B287">
        <v>2019</v>
      </c>
      <c r="C287">
        <v>178.79599999999999</v>
      </c>
      <c r="D287">
        <v>513.37300000000005</v>
      </c>
      <c r="E287">
        <v>383.32600000000002</v>
      </c>
      <c r="F287">
        <v>324.13600000000002</v>
      </c>
      <c r="G287">
        <v>896.69899999999996</v>
      </c>
      <c r="H287">
        <v>341.50299999999999</v>
      </c>
      <c r="I287">
        <v>555.19600000000003</v>
      </c>
      <c r="J287">
        <v>280.20999999999998</v>
      </c>
      <c r="K287" s="5">
        <v>2.7958236745225001E-2</v>
      </c>
      <c r="L287" s="5">
        <v>7.3592627010500566E-2</v>
      </c>
      <c r="M287" s="8">
        <v>7.7100000000000002E-2</v>
      </c>
      <c r="N287">
        <v>23050.241666666701</v>
      </c>
      <c r="O287" s="3">
        <f t="shared" si="44"/>
        <v>48</v>
      </c>
      <c r="P287" s="15">
        <v>1972</v>
      </c>
      <c r="Q287" s="15">
        <v>117.24</v>
      </c>
      <c r="R287" s="15">
        <v>163.52000000000001</v>
      </c>
      <c r="S287" s="4">
        <f t="shared" si="45"/>
        <v>16.526481977739749</v>
      </c>
      <c r="T287" s="8">
        <f t="shared" si="46"/>
        <v>0.3220412250808723</v>
      </c>
      <c r="U287" s="8">
        <f t="shared" si="47"/>
        <v>0.19939355346665938</v>
      </c>
      <c r="V287" s="9">
        <f t="shared" si="48"/>
        <v>0.61510349498195227</v>
      </c>
      <c r="W287">
        <f t="shared" si="49"/>
        <v>1.8321009243067703</v>
      </c>
      <c r="X287">
        <f t="shared" si="50"/>
        <v>6.3069551217299535</v>
      </c>
      <c r="Y287" s="8">
        <f t="shared" si="51"/>
        <v>0.36147692815537885</v>
      </c>
      <c r="Z287" s="8">
        <f t="shared" si="52"/>
        <v>4.7805213770522714E-2</v>
      </c>
      <c r="AA287" s="10">
        <f t="shared" si="53"/>
        <v>4.9141763254774998E-2</v>
      </c>
      <c r="AB287" s="12">
        <v>2567.7359999999999</v>
      </c>
      <c r="AC287" s="12">
        <v>2338.7719999999999</v>
      </c>
      <c r="AD287" s="8">
        <f t="shared" si="54"/>
        <v>9.7899239429923027E-2</v>
      </c>
    </row>
    <row r="288" spans="1:30" x14ac:dyDescent="0.3">
      <c r="A288" t="s">
        <v>65</v>
      </c>
      <c r="B288">
        <v>2019</v>
      </c>
      <c r="C288">
        <v>21.192</v>
      </c>
      <c r="D288">
        <v>655.20600000000002</v>
      </c>
      <c r="E288">
        <v>1564.0250000000001</v>
      </c>
      <c r="F288">
        <v>1104.0999999999999</v>
      </c>
      <c r="G288">
        <v>2219.2310000000002</v>
      </c>
      <c r="H288">
        <v>722.44899999999996</v>
      </c>
      <c r="I288">
        <v>1496.7819999999999</v>
      </c>
      <c r="J288">
        <v>666.56</v>
      </c>
      <c r="K288" s="5">
        <v>2.7958236745225001E-2</v>
      </c>
      <c r="L288" s="5">
        <v>7.3592627010500566E-2</v>
      </c>
      <c r="M288" s="8">
        <v>7.7100000000000002E-2</v>
      </c>
      <c r="N288">
        <v>23050.241666666701</v>
      </c>
      <c r="O288" s="3">
        <f t="shared" si="44"/>
        <v>40</v>
      </c>
      <c r="P288" s="15">
        <v>1980</v>
      </c>
      <c r="Q288" s="15">
        <v>117.24</v>
      </c>
      <c r="R288" s="15">
        <v>163.52000000000001</v>
      </c>
      <c r="S288" s="4">
        <f t="shared" si="45"/>
        <v>16.526481977739749</v>
      </c>
      <c r="T288" s="8">
        <f t="shared" si="46"/>
        <v>1.4158374432616106E-2</v>
      </c>
      <c r="U288" s="8">
        <f t="shared" si="47"/>
        <v>9.5492537730412011E-3</v>
      </c>
      <c r="V288" s="9">
        <f t="shared" si="48"/>
        <v>0.48266815073938624</v>
      </c>
      <c r="W288">
        <f t="shared" si="49"/>
        <v>0.98296627460393671</v>
      </c>
      <c r="X288">
        <f t="shared" si="50"/>
        <v>7.2131508974335903</v>
      </c>
      <c r="Y288" s="8">
        <f t="shared" si="51"/>
        <v>0.49751467963452195</v>
      </c>
      <c r="Z288" s="8">
        <f t="shared" si="52"/>
        <v>4.7805213770522714E-2</v>
      </c>
      <c r="AA288" s="10">
        <f t="shared" si="53"/>
        <v>4.9141763254774998E-2</v>
      </c>
      <c r="AB288" s="12">
        <v>1717.77</v>
      </c>
      <c r="AC288" s="12">
        <v>1768.4649999999999</v>
      </c>
      <c r="AD288" s="8">
        <f t="shared" si="54"/>
        <v>-2.8666103089402355E-2</v>
      </c>
    </row>
    <row r="289" spans="1:30" x14ac:dyDescent="0.3">
      <c r="A289" t="s">
        <v>66</v>
      </c>
      <c r="B289">
        <v>2019</v>
      </c>
      <c r="C289">
        <v>166.94200000000001</v>
      </c>
      <c r="D289">
        <v>871.14599999999996</v>
      </c>
      <c r="E289">
        <v>201.06800000000001</v>
      </c>
      <c r="F289">
        <v>193.608</v>
      </c>
      <c r="G289">
        <v>1072.2139999999999</v>
      </c>
      <c r="H289">
        <v>345.47399999999999</v>
      </c>
      <c r="I289">
        <v>726.74</v>
      </c>
      <c r="J289">
        <v>342.56</v>
      </c>
      <c r="K289" s="5">
        <v>2.7958236745225001E-2</v>
      </c>
      <c r="L289" s="5">
        <v>7.3592627010500566E-2</v>
      </c>
      <c r="M289" s="8">
        <v>7.7100000000000002E-2</v>
      </c>
      <c r="N289">
        <v>23050.241666666701</v>
      </c>
      <c r="O289" s="3">
        <f t="shared" si="44"/>
        <v>62</v>
      </c>
      <c r="P289" s="15">
        <v>1958</v>
      </c>
      <c r="Q289" s="15">
        <v>117.24</v>
      </c>
      <c r="R289" s="15">
        <v>163.52000000000001</v>
      </c>
      <c r="S289" s="4">
        <f t="shared" si="45"/>
        <v>16.526481977739749</v>
      </c>
      <c r="T289" s="8">
        <f t="shared" si="46"/>
        <v>0.22971351514984728</v>
      </c>
      <c r="U289" s="8">
        <f t="shared" si="47"/>
        <v>0.15569839602915092</v>
      </c>
      <c r="V289" s="9">
        <f t="shared" si="48"/>
        <v>0.47537496215978203</v>
      </c>
      <c r="W289">
        <f t="shared" si="49"/>
        <v>2.5430464736104623</v>
      </c>
      <c r="X289">
        <f t="shared" si="50"/>
        <v>6.4857158275463789</v>
      </c>
      <c r="Y289" s="8">
        <f t="shared" si="51"/>
        <v>0.18056843130196026</v>
      </c>
      <c r="Z289" s="8">
        <f t="shared" si="52"/>
        <v>4.7805213770522714E-2</v>
      </c>
      <c r="AA289" s="10">
        <f t="shared" si="53"/>
        <v>4.9141763254774998E-2</v>
      </c>
      <c r="AB289" s="12">
        <v>2562.4070000000002</v>
      </c>
      <c r="AC289" s="12">
        <v>2484.797</v>
      </c>
      <c r="AD289" s="8">
        <f t="shared" si="54"/>
        <v>3.1233939834924191E-2</v>
      </c>
    </row>
    <row r="290" spans="1:30" x14ac:dyDescent="0.3">
      <c r="A290" t="s">
        <v>67</v>
      </c>
      <c r="B290">
        <v>2019</v>
      </c>
      <c r="C290">
        <v>449.846</v>
      </c>
      <c r="D290">
        <v>1940.921</v>
      </c>
      <c r="E290">
        <v>625.29</v>
      </c>
      <c r="F290">
        <v>576.12199999999996</v>
      </c>
      <c r="G290">
        <v>2566.212</v>
      </c>
      <c r="H290">
        <v>1330.4680000000001</v>
      </c>
      <c r="I290">
        <v>1235.7429999999999</v>
      </c>
      <c r="J290">
        <v>1269.6199999999999</v>
      </c>
      <c r="K290" s="5">
        <v>2.7958236745225001E-2</v>
      </c>
      <c r="L290" s="5">
        <v>7.3592627010500566E-2</v>
      </c>
      <c r="M290" s="8">
        <v>7.7100000000000002E-2</v>
      </c>
      <c r="N290">
        <v>23050.241666666701</v>
      </c>
      <c r="O290" s="3">
        <f t="shared" si="44"/>
        <v>32</v>
      </c>
      <c r="P290" s="15">
        <v>1988</v>
      </c>
      <c r="Q290" s="15">
        <v>117.24</v>
      </c>
      <c r="R290" s="15">
        <v>163.52000000000001</v>
      </c>
      <c r="S290" s="4">
        <f t="shared" si="45"/>
        <v>16.526481977739749</v>
      </c>
      <c r="T290" s="8">
        <f t="shared" si="46"/>
        <v>0.36402876649918309</v>
      </c>
      <c r="U290" s="8">
        <f t="shared" si="47"/>
        <v>0.17529572771072693</v>
      </c>
      <c r="V290" s="9">
        <f t="shared" si="48"/>
        <v>1.0766542881489114</v>
      </c>
      <c r="W290">
        <f t="shared" si="49"/>
        <v>1.5287416707361259</v>
      </c>
      <c r="X290">
        <f t="shared" si="50"/>
        <v>7.3584210395976255</v>
      </c>
      <c r="Y290" s="8">
        <f t="shared" si="51"/>
        <v>0.22450288596577367</v>
      </c>
      <c r="Z290" s="8">
        <f t="shared" si="52"/>
        <v>4.7805213770522714E-2</v>
      </c>
      <c r="AA290" s="10">
        <f t="shared" si="53"/>
        <v>4.9141763254774998E-2</v>
      </c>
      <c r="AB290" s="12">
        <v>4411.8720000000003</v>
      </c>
      <c r="AC290" s="12">
        <v>3950.8939999999998</v>
      </c>
      <c r="AD290" s="8">
        <f t="shared" si="54"/>
        <v>0.11667688376352303</v>
      </c>
    </row>
    <row r="291" spans="1:30" x14ac:dyDescent="0.3">
      <c r="A291" t="s">
        <v>68</v>
      </c>
      <c r="B291">
        <v>2019</v>
      </c>
      <c r="C291">
        <v>6364.6149999999998</v>
      </c>
      <c r="D291">
        <v>24261.892</v>
      </c>
      <c r="E291">
        <v>73035.358999999997</v>
      </c>
      <c r="F291">
        <v>40791.699000000001</v>
      </c>
      <c r="G291">
        <v>97297.251000000004</v>
      </c>
      <c r="H291">
        <v>45408.843999999997</v>
      </c>
      <c r="I291">
        <v>51888.406999999999</v>
      </c>
      <c r="J291">
        <v>30492.19</v>
      </c>
      <c r="K291" s="5">
        <v>2.7958236745225001E-2</v>
      </c>
      <c r="L291" s="5">
        <v>7.3592627010500566E-2</v>
      </c>
      <c r="M291" s="8">
        <v>7.7100000000000002E-2</v>
      </c>
      <c r="N291">
        <v>23050.241666666701</v>
      </c>
      <c r="O291" s="3">
        <f t="shared" si="44"/>
        <v>16</v>
      </c>
      <c r="P291" s="15">
        <v>2004</v>
      </c>
      <c r="Q291" s="15">
        <v>117.24</v>
      </c>
      <c r="R291" s="15">
        <v>163.52000000000001</v>
      </c>
      <c r="S291" s="4">
        <f t="shared" si="45"/>
        <v>16.526481977739749</v>
      </c>
      <c r="T291" s="8">
        <f t="shared" si="46"/>
        <v>0.12265967232333803</v>
      </c>
      <c r="U291" s="8">
        <f t="shared" si="47"/>
        <v>6.54141297373345E-2</v>
      </c>
      <c r="V291" s="9">
        <f t="shared" si="48"/>
        <v>0.87512503515476969</v>
      </c>
      <c r="W291">
        <f t="shared" si="49"/>
        <v>0.79567561398508935</v>
      </c>
      <c r="X291">
        <f t="shared" si="50"/>
        <v>10.993760893921419</v>
      </c>
      <c r="Y291" s="8">
        <f t="shared" si="51"/>
        <v>0.4192482169922766</v>
      </c>
      <c r="Z291" s="8">
        <f t="shared" si="52"/>
        <v>4.7805213770522714E-2</v>
      </c>
      <c r="AA291" s="10">
        <f t="shared" si="53"/>
        <v>4.9141763254774998E-2</v>
      </c>
      <c r="AB291" s="12">
        <v>38818.747000000003</v>
      </c>
      <c r="AC291" s="12">
        <v>39378.747000000003</v>
      </c>
      <c r="AD291" s="8">
        <f t="shared" si="54"/>
        <v>-1.4220868937246783E-2</v>
      </c>
    </row>
    <row r="292" spans="1:30" x14ac:dyDescent="0.3">
      <c r="A292" t="s">
        <v>69</v>
      </c>
      <c r="B292">
        <v>2019</v>
      </c>
      <c r="C292">
        <v>47.918999999999997</v>
      </c>
      <c r="D292">
        <v>819.55</v>
      </c>
      <c r="E292">
        <v>451.983</v>
      </c>
      <c r="F292">
        <v>359.18599999999998</v>
      </c>
      <c r="G292">
        <v>1271.5329999999999</v>
      </c>
      <c r="H292">
        <v>589.54499999999996</v>
      </c>
      <c r="I292">
        <v>681.98800000000006</v>
      </c>
      <c r="J292">
        <v>464.56</v>
      </c>
      <c r="K292" s="5">
        <v>2.7958236745225001E-2</v>
      </c>
      <c r="L292" s="5">
        <v>7.3592627010500566E-2</v>
      </c>
      <c r="M292" s="8">
        <v>7.7100000000000002E-2</v>
      </c>
      <c r="N292">
        <v>23050.241666666701</v>
      </c>
      <c r="O292" s="3">
        <f t="shared" si="44"/>
        <v>25</v>
      </c>
      <c r="P292" s="15">
        <v>1995</v>
      </c>
      <c r="Q292" s="15">
        <v>117.24</v>
      </c>
      <c r="R292" s="15">
        <v>163.52000000000001</v>
      </c>
      <c r="S292" s="4">
        <f t="shared" si="45"/>
        <v>16.526481977739749</v>
      </c>
      <c r="T292" s="8">
        <f t="shared" si="46"/>
        <v>7.0263699654539366E-2</v>
      </c>
      <c r="U292" s="8">
        <f t="shared" si="47"/>
        <v>3.7686005789861532E-2</v>
      </c>
      <c r="V292" s="9">
        <f t="shared" si="48"/>
        <v>0.86445069414711095</v>
      </c>
      <c r="W292">
        <f t="shared" si="49"/>
        <v>1.7641424143275357</v>
      </c>
      <c r="X292">
        <f t="shared" si="50"/>
        <v>6.6562134170962493</v>
      </c>
      <c r="Y292" s="8">
        <f t="shared" si="51"/>
        <v>0.28248264103251747</v>
      </c>
      <c r="Z292" s="8">
        <f t="shared" si="52"/>
        <v>4.7805213770522714E-2</v>
      </c>
      <c r="AA292" s="10">
        <f t="shared" si="53"/>
        <v>4.9141763254774998E-2</v>
      </c>
      <c r="AB292" s="12">
        <v>1069.7439999999999</v>
      </c>
      <c r="AC292" s="12">
        <v>607.54999999999995</v>
      </c>
      <c r="AD292" s="8">
        <f t="shared" si="54"/>
        <v>0.76075055550983461</v>
      </c>
    </row>
    <row r="293" spans="1:30" x14ac:dyDescent="0.3">
      <c r="A293" t="s">
        <v>70</v>
      </c>
      <c r="B293">
        <v>2019</v>
      </c>
      <c r="C293">
        <v>44.356999999999999</v>
      </c>
      <c r="D293">
        <v>127.58199999999999</v>
      </c>
      <c r="E293">
        <v>263.20499999999998</v>
      </c>
      <c r="F293">
        <v>152.286</v>
      </c>
      <c r="G293">
        <v>390.78699999999998</v>
      </c>
      <c r="H293">
        <v>242.75299999999999</v>
      </c>
      <c r="I293">
        <v>148.03299999999999</v>
      </c>
      <c r="J293">
        <v>168.79</v>
      </c>
      <c r="K293" s="5">
        <v>2.7958236745225001E-2</v>
      </c>
      <c r="L293" s="5">
        <v>7.3592627010500566E-2</v>
      </c>
      <c r="M293" s="8">
        <v>7.7100000000000002E-2</v>
      </c>
      <c r="N293">
        <v>23050.241666666701</v>
      </c>
      <c r="O293" s="3">
        <f t="shared" si="44"/>
        <v>27</v>
      </c>
      <c r="P293" s="15">
        <v>1993</v>
      </c>
      <c r="Q293" s="15">
        <v>117.24</v>
      </c>
      <c r="R293" s="15">
        <v>163.52000000000001</v>
      </c>
      <c r="S293" s="4">
        <f t="shared" si="45"/>
        <v>16.526481977739749</v>
      </c>
      <c r="T293" s="8">
        <f t="shared" si="46"/>
        <v>0.29964264724757322</v>
      </c>
      <c r="U293" s="8">
        <f t="shared" si="47"/>
        <v>0.11350684644064414</v>
      </c>
      <c r="V293" s="9">
        <f t="shared" si="48"/>
        <v>1.6398573291090501</v>
      </c>
      <c r="W293">
        <f t="shared" si="49"/>
        <v>0.75586231411813498</v>
      </c>
      <c r="X293">
        <f t="shared" si="50"/>
        <v>5.4763975334908475</v>
      </c>
      <c r="Y293" s="8">
        <f t="shared" si="51"/>
        <v>0.38969054753612586</v>
      </c>
      <c r="Z293" s="8">
        <f t="shared" si="52"/>
        <v>4.7805213770522714E-2</v>
      </c>
      <c r="AA293" s="10">
        <f t="shared" si="53"/>
        <v>4.9141763254774998E-2</v>
      </c>
      <c r="AB293" s="12">
        <v>224.50899999999999</v>
      </c>
      <c r="AC293" s="12">
        <v>200.82400000000001</v>
      </c>
      <c r="AD293" s="8">
        <f t="shared" si="54"/>
        <v>0.11793909094530521</v>
      </c>
    </row>
    <row r="294" spans="1:30" x14ac:dyDescent="0.3">
      <c r="A294" t="s">
        <v>71</v>
      </c>
      <c r="B294">
        <v>2019</v>
      </c>
      <c r="C294">
        <v>207.459</v>
      </c>
      <c r="D294">
        <v>858.44500000000005</v>
      </c>
      <c r="E294">
        <v>909.24699999999996</v>
      </c>
      <c r="F294">
        <v>458.60700000000003</v>
      </c>
      <c r="G294">
        <v>1767.692</v>
      </c>
      <c r="H294">
        <v>639.11300000000006</v>
      </c>
      <c r="I294">
        <v>1128.58</v>
      </c>
      <c r="J294">
        <v>544.62</v>
      </c>
      <c r="K294" s="5">
        <v>2.7958236745225001E-2</v>
      </c>
      <c r="L294" s="5">
        <v>7.3592627010500566E-2</v>
      </c>
      <c r="M294" s="8">
        <v>7.7100000000000002E-2</v>
      </c>
      <c r="N294">
        <v>23050.241666666701</v>
      </c>
      <c r="O294" s="3">
        <f t="shared" si="44"/>
        <v>52</v>
      </c>
      <c r="P294" s="15">
        <v>1968</v>
      </c>
      <c r="Q294" s="15">
        <v>117.24</v>
      </c>
      <c r="R294" s="15">
        <v>163.52000000000001</v>
      </c>
      <c r="S294" s="4">
        <f t="shared" si="45"/>
        <v>16.526481977739749</v>
      </c>
      <c r="T294" s="8">
        <f t="shared" si="46"/>
        <v>0.18382303425543606</v>
      </c>
      <c r="U294" s="8">
        <f t="shared" si="47"/>
        <v>0.11736150867911378</v>
      </c>
      <c r="V294" s="9">
        <f t="shared" si="48"/>
        <v>0.56629835722766675</v>
      </c>
      <c r="W294">
        <f t="shared" si="49"/>
        <v>1.5762274613491978</v>
      </c>
      <c r="X294">
        <f t="shared" si="50"/>
        <v>6.9856648988495431</v>
      </c>
      <c r="Y294" s="8">
        <f t="shared" si="51"/>
        <v>0.25943829581171379</v>
      </c>
      <c r="Z294" s="8">
        <f t="shared" si="52"/>
        <v>4.7805213770522714E-2</v>
      </c>
      <c r="AA294" s="10">
        <f t="shared" si="53"/>
        <v>4.9141763254774998E-2</v>
      </c>
      <c r="AB294" s="12">
        <v>1652.5129999999999</v>
      </c>
      <c r="AC294" s="12">
        <v>1693.4359999999999</v>
      </c>
      <c r="AD294" s="8">
        <f t="shared" si="54"/>
        <v>-2.4165660822139133E-2</v>
      </c>
    </row>
    <row r="295" spans="1:30" x14ac:dyDescent="0.3">
      <c r="A295" t="s">
        <v>72</v>
      </c>
      <c r="B295">
        <v>2019</v>
      </c>
      <c r="C295">
        <v>451.97899999999998</v>
      </c>
      <c r="D295">
        <v>5683.2709999999997</v>
      </c>
      <c r="E295">
        <v>5081.2820000000002</v>
      </c>
      <c r="F295">
        <v>3039.866</v>
      </c>
      <c r="G295">
        <v>10764.554</v>
      </c>
      <c r="H295">
        <v>4618.982</v>
      </c>
      <c r="I295">
        <v>6145.5720000000001</v>
      </c>
      <c r="J295">
        <v>3060.15</v>
      </c>
      <c r="K295" s="5">
        <v>2.7958236745225001E-2</v>
      </c>
      <c r="L295" s="5">
        <v>7.3592627010500566E-2</v>
      </c>
      <c r="M295" s="8">
        <v>7.7100000000000002E-2</v>
      </c>
      <c r="N295">
        <v>23050.241666666701</v>
      </c>
      <c r="O295" s="3">
        <f t="shared" si="44"/>
        <v>22</v>
      </c>
      <c r="P295" s="15">
        <v>1998</v>
      </c>
      <c r="Q295" s="15">
        <v>117.24</v>
      </c>
      <c r="R295" s="15">
        <v>163.52000000000001</v>
      </c>
      <c r="S295" s="4">
        <f t="shared" si="45"/>
        <v>16.526481977739749</v>
      </c>
      <c r="T295" s="8">
        <f t="shared" si="46"/>
        <v>7.3545473065810635E-2</v>
      </c>
      <c r="U295" s="8">
        <f t="shared" si="47"/>
        <v>4.1987712635377185E-2</v>
      </c>
      <c r="V295" s="9">
        <f t="shared" si="48"/>
        <v>0.75159513223504659</v>
      </c>
      <c r="W295">
        <f t="shared" si="49"/>
        <v>1.8571870659934968</v>
      </c>
      <c r="X295">
        <f t="shared" si="50"/>
        <v>8.7922488573509394</v>
      </c>
      <c r="Y295" s="8">
        <f t="shared" si="51"/>
        <v>0.28239590790291913</v>
      </c>
      <c r="Z295" s="8">
        <f t="shared" si="52"/>
        <v>4.7805213770522714E-2</v>
      </c>
      <c r="AA295" s="10">
        <f t="shared" si="53"/>
        <v>4.9141763254774998E-2</v>
      </c>
      <c r="AB295" s="12">
        <v>7985.8549999999996</v>
      </c>
      <c r="AC295" s="12">
        <v>7941.91</v>
      </c>
      <c r="AD295" s="8">
        <f t="shared" si="54"/>
        <v>5.5333037015024992E-3</v>
      </c>
    </row>
    <row r="296" spans="1:30" x14ac:dyDescent="0.3">
      <c r="A296" t="s">
        <v>73</v>
      </c>
      <c r="B296">
        <v>2019</v>
      </c>
      <c r="C296">
        <v>1193.925</v>
      </c>
      <c r="D296">
        <v>7333.3639999999996</v>
      </c>
      <c r="E296">
        <v>1269.5999999999999</v>
      </c>
      <c r="F296">
        <v>923.87</v>
      </c>
      <c r="G296">
        <v>8602.9639999999999</v>
      </c>
      <c r="H296">
        <v>4025.6990000000001</v>
      </c>
      <c r="I296">
        <v>4577.2659999999996</v>
      </c>
      <c r="J296">
        <v>4017.86</v>
      </c>
      <c r="K296" s="5">
        <v>2.7958236745225001E-2</v>
      </c>
      <c r="L296" s="5">
        <v>7.3592627010500566E-2</v>
      </c>
      <c r="M296" s="8">
        <v>7.7100000000000002E-2</v>
      </c>
      <c r="N296">
        <v>23050.241666666701</v>
      </c>
      <c r="O296" s="3">
        <f t="shared" si="44"/>
        <v>32</v>
      </c>
      <c r="P296" s="15">
        <v>1988</v>
      </c>
      <c r="Q296" s="15">
        <v>117.24</v>
      </c>
      <c r="R296" s="15">
        <v>163.52000000000001</v>
      </c>
      <c r="S296" s="4">
        <f t="shared" si="45"/>
        <v>16.526481977739749</v>
      </c>
      <c r="T296" s="8">
        <f t="shared" si="46"/>
        <v>0.26083801990096273</v>
      </c>
      <c r="U296" s="8">
        <f t="shared" si="47"/>
        <v>0.13878065745712756</v>
      </c>
      <c r="V296" s="9">
        <f t="shared" si="48"/>
        <v>0.87949859151729448</v>
      </c>
      <c r="W296">
        <f t="shared" si="49"/>
        <v>1.825191519863808</v>
      </c>
      <c r="X296">
        <f t="shared" si="50"/>
        <v>8.5680969529985731</v>
      </c>
      <c r="Y296" s="8">
        <f t="shared" si="51"/>
        <v>0.10738973218997545</v>
      </c>
      <c r="Z296" s="8">
        <f t="shared" si="52"/>
        <v>4.7805213770522714E-2</v>
      </c>
      <c r="AA296" s="10">
        <f t="shared" si="53"/>
        <v>4.9141763254774998E-2</v>
      </c>
      <c r="AB296" s="12">
        <v>17144.251</v>
      </c>
      <c r="AC296" s="12">
        <v>14678.8</v>
      </c>
      <c r="AD296" s="8">
        <f t="shared" si="54"/>
        <v>0.16795998310488602</v>
      </c>
    </row>
    <row r="297" spans="1:30" x14ac:dyDescent="0.3">
      <c r="A297" t="s">
        <v>74</v>
      </c>
      <c r="B297">
        <v>2019</v>
      </c>
      <c r="C297">
        <v>125.17</v>
      </c>
      <c r="D297">
        <v>2716.951</v>
      </c>
      <c r="E297">
        <v>297.76600000000002</v>
      </c>
      <c r="F297">
        <v>292.54599999999999</v>
      </c>
      <c r="G297">
        <v>3014.7170000000001</v>
      </c>
      <c r="H297">
        <v>2180.1950000000002</v>
      </c>
      <c r="I297">
        <v>834.52200000000005</v>
      </c>
      <c r="J297">
        <v>2179.36</v>
      </c>
      <c r="K297" s="5">
        <v>2.7958236745225001E-2</v>
      </c>
      <c r="L297" s="5">
        <v>7.3592627010500566E-2</v>
      </c>
      <c r="M297" s="8">
        <v>7.7100000000000002E-2</v>
      </c>
      <c r="N297">
        <v>23050.241666666701</v>
      </c>
      <c r="O297" s="3">
        <f t="shared" si="44"/>
        <v>16</v>
      </c>
      <c r="P297" s="15">
        <v>2004</v>
      </c>
      <c r="Q297" s="15">
        <v>117.24</v>
      </c>
      <c r="R297" s="15">
        <v>163.52000000000001</v>
      </c>
      <c r="S297" s="4">
        <f t="shared" si="45"/>
        <v>16.526481977739749</v>
      </c>
      <c r="T297" s="8">
        <f t="shared" si="46"/>
        <v>0.14999005418670808</v>
      </c>
      <c r="U297" s="8">
        <f t="shared" si="47"/>
        <v>4.1519651761674478E-2</v>
      </c>
      <c r="V297" s="9">
        <f t="shared" si="48"/>
        <v>2.6125075192745069</v>
      </c>
      <c r="W297">
        <f t="shared" si="49"/>
        <v>1.2466737941413992</v>
      </c>
      <c r="X297">
        <f t="shared" si="50"/>
        <v>7.5194961197152681</v>
      </c>
      <c r="Y297" s="8">
        <f t="shared" si="51"/>
        <v>9.7039290918517387E-2</v>
      </c>
      <c r="Z297" s="8">
        <f t="shared" si="52"/>
        <v>4.7805213770522714E-2</v>
      </c>
      <c r="AA297" s="10">
        <f t="shared" si="53"/>
        <v>4.9141763254774998E-2</v>
      </c>
      <c r="AB297" s="12">
        <v>4266.942</v>
      </c>
      <c r="AC297" s="12">
        <v>3637.105</v>
      </c>
      <c r="AD297" s="8">
        <f t="shared" si="54"/>
        <v>0.17316986999275522</v>
      </c>
    </row>
    <row r="298" spans="1:30" x14ac:dyDescent="0.3">
      <c r="A298" t="s">
        <v>75</v>
      </c>
      <c r="B298">
        <v>2019</v>
      </c>
      <c r="C298">
        <v>5370.1480000000001</v>
      </c>
      <c r="D298">
        <v>19164.602999999999</v>
      </c>
      <c r="E298">
        <v>7797.8739999999998</v>
      </c>
      <c r="F298">
        <v>4685.4399999999996</v>
      </c>
      <c r="G298">
        <v>26962.475999999999</v>
      </c>
      <c r="H298">
        <v>6886.2290000000003</v>
      </c>
      <c r="I298">
        <v>20076.246999999999</v>
      </c>
      <c r="J298">
        <v>6087.83</v>
      </c>
      <c r="K298" s="5">
        <v>2.7958236745225001E-2</v>
      </c>
      <c r="L298" s="5">
        <v>7.3592627010500566E-2</v>
      </c>
      <c r="M298" s="8">
        <v>7.7100000000000002E-2</v>
      </c>
      <c r="N298">
        <v>23050.241666666701</v>
      </c>
      <c r="O298" s="3">
        <f t="shared" si="44"/>
        <v>17</v>
      </c>
      <c r="P298" s="15">
        <v>2003</v>
      </c>
      <c r="Q298" s="15">
        <v>117.24</v>
      </c>
      <c r="R298" s="15">
        <v>163.52000000000001</v>
      </c>
      <c r="S298" s="4">
        <f t="shared" si="45"/>
        <v>16.526481977739749</v>
      </c>
      <c r="T298" s="8">
        <f t="shared" si="46"/>
        <v>0.26748764348236997</v>
      </c>
      <c r="U298" s="8">
        <f t="shared" si="47"/>
        <v>0.19917117404202792</v>
      </c>
      <c r="V298" s="9">
        <f t="shared" si="48"/>
        <v>0.34300379946510923</v>
      </c>
      <c r="W298">
        <f t="shared" si="49"/>
        <v>3.1480187521662071</v>
      </c>
      <c r="X298">
        <f t="shared" si="50"/>
        <v>9.7104362795445933</v>
      </c>
      <c r="Y298" s="8">
        <f t="shared" si="51"/>
        <v>0.17377632529000675</v>
      </c>
      <c r="Z298" s="8">
        <f t="shared" si="52"/>
        <v>4.7805213770522714E-2</v>
      </c>
      <c r="AA298" s="10">
        <f t="shared" si="53"/>
        <v>4.9141763254774998E-2</v>
      </c>
      <c r="AB298" s="12">
        <v>38133.79</v>
      </c>
      <c r="AC298" s="12">
        <v>36043.017999999996</v>
      </c>
      <c r="AD298" s="8">
        <f t="shared" si="54"/>
        <v>5.8007684040221177E-2</v>
      </c>
    </row>
    <row r="299" spans="1:30" x14ac:dyDescent="0.3">
      <c r="A299" t="s">
        <v>76</v>
      </c>
      <c r="B299">
        <v>2019</v>
      </c>
      <c r="C299">
        <v>308.726</v>
      </c>
      <c r="D299">
        <v>9647.2900000000009</v>
      </c>
      <c r="E299">
        <v>7585.9989999999998</v>
      </c>
      <c r="F299">
        <v>4220.3149999999996</v>
      </c>
      <c r="G299">
        <v>17233.289000000001</v>
      </c>
      <c r="H299">
        <v>9631.6200000000008</v>
      </c>
      <c r="I299">
        <v>7601.6689999999999</v>
      </c>
      <c r="J299">
        <v>7789.93</v>
      </c>
      <c r="K299" s="5">
        <v>2.7958236745225001E-2</v>
      </c>
      <c r="L299" s="5">
        <v>7.3592627010500566E-2</v>
      </c>
      <c r="M299" s="8">
        <v>7.7100000000000002E-2</v>
      </c>
      <c r="N299">
        <v>23050.241666666701</v>
      </c>
      <c r="O299" s="3">
        <f t="shared" si="44"/>
        <v>25</v>
      </c>
      <c r="P299" s="15">
        <v>1995</v>
      </c>
      <c r="Q299" s="15">
        <v>117.24</v>
      </c>
      <c r="R299" s="15">
        <v>163.52000000000001</v>
      </c>
      <c r="S299" s="4">
        <f t="shared" si="45"/>
        <v>16.526481977739749</v>
      </c>
      <c r="T299" s="8">
        <f t="shared" si="46"/>
        <v>4.0612923293555668E-2</v>
      </c>
      <c r="U299" s="8">
        <f t="shared" si="47"/>
        <v>1.7914514170800477E-2</v>
      </c>
      <c r="V299" s="9">
        <f t="shared" si="48"/>
        <v>1.2670401723621485</v>
      </c>
      <c r="W299">
        <f t="shared" si="49"/>
        <v>1.2384308973251366</v>
      </c>
      <c r="X299">
        <f t="shared" si="50"/>
        <v>9.2628330782640038</v>
      </c>
      <c r="Y299" s="8">
        <f t="shared" si="51"/>
        <v>0.24489318318749251</v>
      </c>
      <c r="Z299" s="8">
        <f t="shared" si="52"/>
        <v>4.7805213770522714E-2</v>
      </c>
      <c r="AA299" s="10">
        <f t="shared" si="53"/>
        <v>4.9141763254774998E-2</v>
      </c>
      <c r="AB299" s="12">
        <v>11377.826999999999</v>
      </c>
      <c r="AC299" s="12">
        <v>10646.871999999999</v>
      </c>
      <c r="AD299" s="8">
        <f t="shared" si="54"/>
        <v>6.8654436720944886E-2</v>
      </c>
    </row>
    <row r="300" spans="1:30" x14ac:dyDescent="0.3">
      <c r="A300" t="s">
        <v>77</v>
      </c>
      <c r="B300">
        <v>2019</v>
      </c>
      <c r="C300">
        <v>207.04300000000001</v>
      </c>
      <c r="D300">
        <v>272.03800000000001</v>
      </c>
      <c r="E300">
        <v>525.43700000000001</v>
      </c>
      <c r="F300">
        <v>439.41399999999999</v>
      </c>
      <c r="G300">
        <v>797.47500000000002</v>
      </c>
      <c r="H300">
        <v>325.464</v>
      </c>
      <c r="I300">
        <v>472.01</v>
      </c>
      <c r="J300">
        <v>301.98</v>
      </c>
      <c r="K300" s="5">
        <v>2.7958236745225001E-2</v>
      </c>
      <c r="L300" s="5">
        <v>7.3592627010500566E-2</v>
      </c>
      <c r="M300" s="8">
        <v>7.7100000000000002E-2</v>
      </c>
      <c r="N300">
        <v>23050.241666666701</v>
      </c>
      <c r="O300" s="3">
        <f t="shared" si="44"/>
        <v>12</v>
      </c>
      <c r="P300" s="15">
        <v>2008</v>
      </c>
      <c r="Q300" s="15">
        <v>117.24</v>
      </c>
      <c r="R300" s="15">
        <v>163.52000000000001</v>
      </c>
      <c r="S300" s="4">
        <f t="shared" si="45"/>
        <v>16.526481977739749</v>
      </c>
      <c r="T300" s="8">
        <f t="shared" si="46"/>
        <v>0.43864113048452363</v>
      </c>
      <c r="U300" s="8">
        <f t="shared" si="47"/>
        <v>0.25962318567980186</v>
      </c>
      <c r="V300" s="9">
        <f t="shared" si="48"/>
        <v>0.68952776424228301</v>
      </c>
      <c r="W300">
        <f t="shared" si="49"/>
        <v>0.90084773826081199</v>
      </c>
      <c r="X300">
        <f t="shared" si="50"/>
        <v>6.1896853651780113</v>
      </c>
      <c r="Y300" s="8">
        <f t="shared" si="51"/>
        <v>0.55100661462741773</v>
      </c>
      <c r="Z300" s="8">
        <f t="shared" si="52"/>
        <v>4.7805213770522714E-2</v>
      </c>
      <c r="AA300" s="10">
        <f t="shared" si="53"/>
        <v>4.9141763254774998E-2</v>
      </c>
      <c r="AB300" s="12">
        <v>1525.7380000000001</v>
      </c>
      <c r="AC300" s="12">
        <v>1539.616</v>
      </c>
      <c r="AD300" s="8">
        <f t="shared" si="54"/>
        <v>-9.0139359424687253E-3</v>
      </c>
    </row>
    <row r="301" spans="1:30" x14ac:dyDescent="0.3">
      <c r="A301" t="s">
        <v>78</v>
      </c>
      <c r="B301">
        <v>2019</v>
      </c>
      <c r="C301">
        <v>41.368000000000002</v>
      </c>
      <c r="D301">
        <v>420.596</v>
      </c>
      <c r="E301">
        <v>386.21</v>
      </c>
      <c r="F301">
        <v>80.992999999999995</v>
      </c>
      <c r="G301">
        <v>806.80600000000004</v>
      </c>
      <c r="H301">
        <v>425.46800000000002</v>
      </c>
      <c r="I301">
        <v>381.33800000000002</v>
      </c>
      <c r="J301">
        <v>141.56</v>
      </c>
      <c r="K301" s="5">
        <v>2.7958236745225001E-2</v>
      </c>
      <c r="L301" s="5">
        <v>7.3592627010500566E-2</v>
      </c>
      <c r="M301" s="8">
        <v>7.7100000000000002E-2</v>
      </c>
      <c r="N301">
        <v>23050.241666666701</v>
      </c>
      <c r="O301" s="3">
        <f t="shared" si="44"/>
        <v>60</v>
      </c>
      <c r="P301" s="15">
        <v>1960</v>
      </c>
      <c r="Q301" s="15">
        <v>117.24</v>
      </c>
      <c r="R301" s="15">
        <v>163.52000000000001</v>
      </c>
      <c r="S301" s="4">
        <f t="shared" si="45"/>
        <v>16.526481977739749</v>
      </c>
      <c r="T301" s="8">
        <f t="shared" si="46"/>
        <v>0.10848118991550802</v>
      </c>
      <c r="U301" s="8">
        <f t="shared" si="47"/>
        <v>5.1273788246492959E-2</v>
      </c>
      <c r="V301" s="9">
        <f t="shared" si="48"/>
        <v>1.1157241082714022</v>
      </c>
      <c r="W301">
        <f t="shared" si="49"/>
        <v>2.9711500423848545</v>
      </c>
      <c r="X301">
        <f t="shared" si="50"/>
        <v>6.2013181218124638</v>
      </c>
      <c r="Y301" s="8">
        <f t="shared" si="51"/>
        <v>0.1003872058462629</v>
      </c>
      <c r="Z301" s="8">
        <f t="shared" si="52"/>
        <v>4.7805213770522714E-2</v>
      </c>
      <c r="AA301" s="10">
        <f t="shared" si="53"/>
        <v>4.9141763254774998E-2</v>
      </c>
      <c r="AB301" s="12">
        <v>929.14700000000005</v>
      </c>
      <c r="AC301" s="12">
        <v>928.60299999999995</v>
      </c>
      <c r="AD301" s="8">
        <f t="shared" si="54"/>
        <v>5.8582623575424209E-4</v>
      </c>
    </row>
    <row r="302" spans="1:30" x14ac:dyDescent="0.3">
      <c r="A302" t="s">
        <v>79</v>
      </c>
      <c r="B302">
        <v>2019</v>
      </c>
      <c r="C302">
        <v>73.835999999999999</v>
      </c>
      <c r="D302">
        <v>365.52499999999998</v>
      </c>
      <c r="E302">
        <v>108.40600000000001</v>
      </c>
      <c r="F302">
        <v>80.882000000000005</v>
      </c>
      <c r="G302">
        <v>473.93200000000002</v>
      </c>
      <c r="H302">
        <v>144.834</v>
      </c>
      <c r="I302">
        <v>329.09699999999998</v>
      </c>
      <c r="J302">
        <v>144.83000000000001</v>
      </c>
      <c r="K302" s="5">
        <v>2.7958236745225001E-2</v>
      </c>
      <c r="L302" s="5">
        <v>7.3592627010500566E-2</v>
      </c>
      <c r="M302" s="8">
        <v>7.7100000000000002E-2</v>
      </c>
      <c r="N302">
        <v>23050.241666666701</v>
      </c>
      <c r="O302" s="3">
        <f t="shared" si="44"/>
        <v>44</v>
      </c>
      <c r="P302" s="15">
        <v>1976</v>
      </c>
      <c r="Q302" s="15">
        <v>117.24</v>
      </c>
      <c r="R302" s="15">
        <v>163.52000000000001</v>
      </c>
      <c r="S302" s="4">
        <f t="shared" si="45"/>
        <v>16.526481977739749</v>
      </c>
      <c r="T302" s="8">
        <f t="shared" si="46"/>
        <v>0.22435938340367734</v>
      </c>
      <c r="U302" s="8">
        <f t="shared" si="47"/>
        <v>0.15579450216486754</v>
      </c>
      <c r="V302" s="9">
        <f t="shared" si="48"/>
        <v>0.44009516950929367</v>
      </c>
      <c r="W302">
        <f t="shared" si="49"/>
        <v>2.5238210315542355</v>
      </c>
      <c r="X302">
        <f t="shared" si="50"/>
        <v>5.6692987304608584</v>
      </c>
      <c r="Y302" s="8">
        <f t="shared" si="51"/>
        <v>0.17066161390241638</v>
      </c>
      <c r="Z302" s="8">
        <f t="shared" si="52"/>
        <v>4.7805213770522714E-2</v>
      </c>
      <c r="AA302" s="10">
        <f t="shared" si="53"/>
        <v>4.9141763254774998E-2</v>
      </c>
      <c r="AB302" s="12">
        <v>669.67899999999997</v>
      </c>
      <c r="AC302" s="12">
        <v>647.49400000000003</v>
      </c>
      <c r="AD302" s="8">
        <f t="shared" si="54"/>
        <v>3.4262865756284913E-2</v>
      </c>
    </row>
    <row r="303" spans="1:30" x14ac:dyDescent="0.3">
      <c r="A303" t="s">
        <v>80</v>
      </c>
      <c r="B303">
        <v>2019</v>
      </c>
      <c r="C303">
        <v>214.423</v>
      </c>
      <c r="D303">
        <v>879.67200000000003</v>
      </c>
      <c r="E303">
        <v>1191.6010000000001</v>
      </c>
      <c r="F303">
        <v>1048.021</v>
      </c>
      <c r="G303">
        <v>2071.2730000000001</v>
      </c>
      <c r="H303">
        <v>988.154</v>
      </c>
      <c r="I303">
        <v>1083.1199999999999</v>
      </c>
      <c r="J303">
        <v>823.67</v>
      </c>
      <c r="K303" s="5">
        <v>2.7958236745225001E-2</v>
      </c>
      <c r="L303" s="5">
        <v>7.3592627010500566E-2</v>
      </c>
      <c r="M303" s="8">
        <v>7.7100000000000002E-2</v>
      </c>
      <c r="N303">
        <v>23050.241666666701</v>
      </c>
      <c r="O303" s="3">
        <f t="shared" si="44"/>
        <v>20</v>
      </c>
      <c r="P303" s="15">
        <v>2000</v>
      </c>
      <c r="Q303" s="15">
        <v>117.24</v>
      </c>
      <c r="R303" s="15">
        <v>163.52000000000001</v>
      </c>
      <c r="S303" s="4">
        <f t="shared" si="45"/>
        <v>16.526481977739749</v>
      </c>
      <c r="T303" s="8">
        <f t="shared" si="46"/>
        <v>0.19796790752640522</v>
      </c>
      <c r="U303" s="8">
        <f t="shared" si="47"/>
        <v>0.10352232660783971</v>
      </c>
      <c r="V303" s="9">
        <f t="shared" si="48"/>
        <v>0.91232181106433274</v>
      </c>
      <c r="W303">
        <f t="shared" si="49"/>
        <v>1.0679908215668896</v>
      </c>
      <c r="X303">
        <f t="shared" si="50"/>
        <v>7.1441535520574231</v>
      </c>
      <c r="Y303" s="8">
        <f t="shared" si="51"/>
        <v>0.50597917319445573</v>
      </c>
      <c r="Z303" s="8">
        <f t="shared" si="52"/>
        <v>4.7805213770522714E-2</v>
      </c>
      <c r="AA303" s="10">
        <f t="shared" si="53"/>
        <v>4.9141763254774998E-2</v>
      </c>
      <c r="AB303" s="12">
        <v>2231.826</v>
      </c>
      <c r="AC303" s="12">
        <v>2408.319</v>
      </c>
      <c r="AD303" s="8">
        <f t="shared" si="54"/>
        <v>-7.3284726815675147E-2</v>
      </c>
    </row>
    <row r="304" spans="1:30" x14ac:dyDescent="0.3">
      <c r="A304" t="s">
        <v>81</v>
      </c>
      <c r="B304">
        <v>2019</v>
      </c>
      <c r="C304">
        <v>233.33199999999999</v>
      </c>
      <c r="D304">
        <v>2515.6660000000002</v>
      </c>
      <c r="E304">
        <v>2212.3710000000001</v>
      </c>
      <c r="F304">
        <v>502.79599999999999</v>
      </c>
      <c r="G304">
        <v>4728.0370000000003</v>
      </c>
      <c r="H304">
        <v>3088.2260000000001</v>
      </c>
      <c r="I304">
        <v>1639.8109999999999</v>
      </c>
      <c r="J304">
        <v>2592.15</v>
      </c>
      <c r="K304" s="5">
        <v>2.7958236745225001E-2</v>
      </c>
      <c r="L304" s="5">
        <v>7.3592627010500566E-2</v>
      </c>
      <c r="M304" s="8">
        <v>7.7100000000000002E-2</v>
      </c>
      <c r="N304">
        <v>23050.241666666701</v>
      </c>
      <c r="O304" s="3">
        <f t="shared" si="44"/>
        <v>38</v>
      </c>
      <c r="P304" s="15">
        <v>1982</v>
      </c>
      <c r="Q304" s="15">
        <v>117.24</v>
      </c>
      <c r="R304" s="15">
        <v>163.52000000000001</v>
      </c>
      <c r="S304" s="4">
        <f t="shared" si="45"/>
        <v>16.526481977739749</v>
      </c>
      <c r="T304" s="8">
        <f t="shared" si="46"/>
        <v>0.14229200804239026</v>
      </c>
      <c r="U304" s="8">
        <f t="shared" si="47"/>
        <v>4.9350713625972042E-2</v>
      </c>
      <c r="V304" s="9">
        <f t="shared" si="48"/>
        <v>1.8832816708754851</v>
      </c>
      <c r="W304">
        <f t="shared" si="49"/>
        <v>0.97049399147425885</v>
      </c>
      <c r="X304">
        <f t="shared" si="50"/>
        <v>7.969500263747185</v>
      </c>
      <c r="Y304" s="8">
        <f t="shared" si="51"/>
        <v>0.10634349942692918</v>
      </c>
      <c r="Z304" s="8">
        <f t="shared" si="52"/>
        <v>4.7805213770522714E-2</v>
      </c>
      <c r="AA304" s="10">
        <f t="shared" si="53"/>
        <v>4.9141763254774998E-2</v>
      </c>
      <c r="AB304" s="12">
        <v>18274.374</v>
      </c>
      <c r="AC304" s="12">
        <v>14881.843000000001</v>
      </c>
      <c r="AD304" s="8">
        <f t="shared" si="54"/>
        <v>0.22796443961947446</v>
      </c>
    </row>
    <row r="305" spans="1:30" x14ac:dyDescent="0.3">
      <c r="A305" t="s">
        <v>82</v>
      </c>
      <c r="B305">
        <v>2019</v>
      </c>
      <c r="C305">
        <v>216.84700000000001</v>
      </c>
      <c r="D305">
        <v>1624.461</v>
      </c>
      <c r="E305">
        <v>1298.3440000000001</v>
      </c>
      <c r="F305">
        <v>1090.578</v>
      </c>
      <c r="G305">
        <v>2922.8049999999998</v>
      </c>
      <c r="H305">
        <v>1497.538</v>
      </c>
      <c r="I305">
        <v>1425.2670000000001</v>
      </c>
      <c r="J305">
        <v>1331.36</v>
      </c>
      <c r="K305" s="5">
        <v>2.7958236745225001E-2</v>
      </c>
      <c r="L305" s="5">
        <v>7.3592627010500566E-2</v>
      </c>
      <c r="M305" s="8">
        <v>7.7100000000000002E-2</v>
      </c>
      <c r="N305">
        <v>23050.241666666701</v>
      </c>
      <c r="O305" s="3">
        <f t="shared" si="44"/>
        <v>44</v>
      </c>
      <c r="P305" s="15">
        <v>1976</v>
      </c>
      <c r="Q305" s="15">
        <v>117.24</v>
      </c>
      <c r="R305" s="15">
        <v>163.52000000000001</v>
      </c>
      <c r="S305" s="4">
        <f t="shared" si="45"/>
        <v>16.526481977739749</v>
      </c>
      <c r="T305" s="8">
        <f t="shared" si="46"/>
        <v>0.15214482619747738</v>
      </c>
      <c r="U305" s="8">
        <f t="shared" si="47"/>
        <v>7.4191401752768324E-2</v>
      </c>
      <c r="V305" s="9">
        <f t="shared" si="48"/>
        <v>1.050706990339354</v>
      </c>
      <c r="W305">
        <f t="shared" si="49"/>
        <v>1.2201515743300084</v>
      </c>
      <c r="X305">
        <f t="shared" si="50"/>
        <v>7.4885339295767324</v>
      </c>
      <c r="Y305" s="8">
        <f t="shared" si="51"/>
        <v>0.37312718433148978</v>
      </c>
      <c r="Z305" s="8">
        <f t="shared" si="52"/>
        <v>4.7805213770522714E-2</v>
      </c>
      <c r="AA305" s="10">
        <f t="shared" si="53"/>
        <v>4.9141763254774998E-2</v>
      </c>
      <c r="AB305" s="12">
        <v>3645.0529999999999</v>
      </c>
      <c r="AC305" s="12">
        <v>3664.4450000000002</v>
      </c>
      <c r="AD305" s="8">
        <f t="shared" si="54"/>
        <v>-5.2919337034667679E-3</v>
      </c>
    </row>
    <row r="306" spans="1:30" x14ac:dyDescent="0.3">
      <c r="A306" t="s">
        <v>83</v>
      </c>
      <c r="B306">
        <v>2019</v>
      </c>
      <c r="C306">
        <v>349.08699999999999</v>
      </c>
      <c r="D306">
        <v>1830.894</v>
      </c>
      <c r="E306">
        <v>586.01</v>
      </c>
      <c r="F306">
        <v>464.23700000000002</v>
      </c>
      <c r="G306">
        <v>2416.904</v>
      </c>
      <c r="H306">
        <v>609.91700000000003</v>
      </c>
      <c r="I306">
        <v>1806.9870000000001</v>
      </c>
      <c r="J306">
        <v>554.65</v>
      </c>
      <c r="K306" s="5">
        <v>2.7958236745225001E-2</v>
      </c>
      <c r="L306" s="5">
        <v>7.3592627010500566E-2</v>
      </c>
      <c r="M306" s="8">
        <v>7.7100000000000002E-2</v>
      </c>
      <c r="N306">
        <v>23050.241666666701</v>
      </c>
      <c r="O306" s="3">
        <f t="shared" si="44"/>
        <v>39</v>
      </c>
      <c r="P306" s="15">
        <v>1981</v>
      </c>
      <c r="Q306" s="15">
        <v>117.24</v>
      </c>
      <c r="R306" s="15">
        <v>163.52000000000001</v>
      </c>
      <c r="S306" s="4">
        <f t="shared" si="45"/>
        <v>16.526481977739749</v>
      </c>
      <c r="T306" s="8">
        <f t="shared" si="46"/>
        <v>0.19318733338978086</v>
      </c>
      <c r="U306" s="8">
        <f t="shared" si="47"/>
        <v>0.14443560853058293</v>
      </c>
      <c r="V306" s="9">
        <f t="shared" si="48"/>
        <v>0.33753258877900061</v>
      </c>
      <c r="W306">
        <f t="shared" si="49"/>
        <v>3.3009898133958355</v>
      </c>
      <c r="X306">
        <f t="shared" si="50"/>
        <v>7.2984775402279327</v>
      </c>
      <c r="Y306" s="8">
        <f t="shared" si="51"/>
        <v>0.19207920546285662</v>
      </c>
      <c r="Z306" s="8">
        <f t="shared" si="52"/>
        <v>4.7805213770522714E-2</v>
      </c>
      <c r="AA306" s="10">
        <f t="shared" si="53"/>
        <v>4.9141763254774998E-2</v>
      </c>
      <c r="AB306" s="12">
        <v>3298.7109999999998</v>
      </c>
      <c r="AC306" s="12">
        <v>2881.395</v>
      </c>
      <c r="AD306" s="8">
        <f t="shared" si="54"/>
        <v>0.14483123625882596</v>
      </c>
    </row>
    <row r="307" spans="1:30" x14ac:dyDescent="0.3">
      <c r="A307" t="s">
        <v>84</v>
      </c>
      <c r="B307">
        <v>2019</v>
      </c>
      <c r="C307">
        <v>3.89</v>
      </c>
      <c r="D307">
        <v>1211.4359999999999</v>
      </c>
      <c r="E307">
        <v>379.19200000000001</v>
      </c>
      <c r="F307">
        <v>323.18099999999998</v>
      </c>
      <c r="G307">
        <v>1590.6279999999999</v>
      </c>
      <c r="H307">
        <v>1175.0250000000001</v>
      </c>
      <c r="I307">
        <v>415.60300000000001</v>
      </c>
      <c r="J307">
        <v>1090.33</v>
      </c>
      <c r="K307" s="5">
        <v>2.7958236745225001E-2</v>
      </c>
      <c r="L307" s="5">
        <v>7.3592627010500566E-2</v>
      </c>
      <c r="M307" s="8">
        <v>7.7100000000000002E-2</v>
      </c>
      <c r="N307">
        <v>23050.241666666701</v>
      </c>
      <c r="O307" s="3">
        <f t="shared" si="44"/>
        <v>44</v>
      </c>
      <c r="P307" s="15">
        <v>1976</v>
      </c>
      <c r="Q307" s="15">
        <v>117.24</v>
      </c>
      <c r="R307" s="15">
        <v>163.52000000000001</v>
      </c>
      <c r="S307" s="4">
        <f t="shared" si="45"/>
        <v>16.526481977739749</v>
      </c>
      <c r="T307" s="8">
        <f t="shared" si="46"/>
        <v>9.3598939372429944E-3</v>
      </c>
      <c r="U307" s="8">
        <f t="shared" si="47"/>
        <v>2.4455749553006739E-3</v>
      </c>
      <c r="V307" s="9">
        <f t="shared" si="48"/>
        <v>2.8272774739354625</v>
      </c>
      <c r="W307">
        <f t="shared" si="49"/>
        <v>1.1110727944750671</v>
      </c>
      <c r="X307">
        <f t="shared" si="50"/>
        <v>6.8801190647609411</v>
      </c>
      <c r="Y307" s="8">
        <f t="shared" si="51"/>
        <v>0.2031782415498784</v>
      </c>
      <c r="Z307" s="8">
        <f t="shared" si="52"/>
        <v>4.7805213770522714E-2</v>
      </c>
      <c r="AA307" s="10">
        <f t="shared" si="53"/>
        <v>4.9141763254774998E-2</v>
      </c>
      <c r="AB307" s="12">
        <v>1352.799</v>
      </c>
      <c r="AC307" s="12">
        <v>1281.7190000000001</v>
      </c>
      <c r="AD307" s="8">
        <f t="shared" si="54"/>
        <v>5.5456773286500338E-2</v>
      </c>
    </row>
    <row r="308" spans="1:30" x14ac:dyDescent="0.3">
      <c r="A308" t="s">
        <v>85</v>
      </c>
      <c r="B308">
        <v>2019</v>
      </c>
      <c r="C308">
        <v>89.808000000000007</v>
      </c>
      <c r="D308">
        <v>959.08399999999995</v>
      </c>
      <c r="E308">
        <v>672.11099999999999</v>
      </c>
      <c r="F308">
        <v>556.745</v>
      </c>
      <c r="G308">
        <v>1631.1949999999999</v>
      </c>
      <c r="H308">
        <v>1045.45</v>
      </c>
      <c r="I308">
        <v>585.745</v>
      </c>
      <c r="J308">
        <v>966.81</v>
      </c>
      <c r="K308" s="5">
        <v>2.7958236745225001E-2</v>
      </c>
      <c r="L308" s="5">
        <v>7.3592627010500566E-2</v>
      </c>
      <c r="M308" s="8">
        <v>7.7100000000000002E-2</v>
      </c>
      <c r="N308">
        <v>23050.241666666701</v>
      </c>
      <c r="O308" s="3">
        <f t="shared" si="44"/>
        <v>60</v>
      </c>
      <c r="P308" s="15">
        <v>1960</v>
      </c>
      <c r="Q308" s="15">
        <v>117.24</v>
      </c>
      <c r="R308" s="15">
        <v>163.52000000000001</v>
      </c>
      <c r="S308" s="4">
        <f t="shared" si="45"/>
        <v>16.526481977739749</v>
      </c>
      <c r="T308" s="8">
        <f t="shared" si="46"/>
        <v>0.15332269161495191</v>
      </c>
      <c r="U308" s="8">
        <f t="shared" si="47"/>
        <v>5.505656895711427E-2</v>
      </c>
      <c r="V308" s="9">
        <f t="shared" si="48"/>
        <v>1.7848210398722995</v>
      </c>
      <c r="W308">
        <f t="shared" si="49"/>
        <v>0.9920087711132487</v>
      </c>
      <c r="X308">
        <f t="shared" si="50"/>
        <v>6.9053030330002461</v>
      </c>
      <c r="Y308" s="8">
        <f t="shared" si="51"/>
        <v>0.34131112466627228</v>
      </c>
      <c r="Z308" s="8">
        <f t="shared" si="52"/>
        <v>4.7805213770522714E-2</v>
      </c>
      <c r="AA308" s="10">
        <f t="shared" si="53"/>
        <v>4.9141763254774998E-2</v>
      </c>
      <c r="AB308" s="12">
        <v>2159.4659999999999</v>
      </c>
      <c r="AC308" s="12">
        <v>2335.3829999999998</v>
      </c>
      <c r="AD308" s="8">
        <f t="shared" si="54"/>
        <v>-7.5326830759665522E-2</v>
      </c>
    </row>
    <row r="309" spans="1:30" x14ac:dyDescent="0.3">
      <c r="A309" t="s">
        <v>86</v>
      </c>
      <c r="B309">
        <v>2019</v>
      </c>
      <c r="C309">
        <v>677.77599999999995</v>
      </c>
      <c r="D309">
        <v>1651.0139999999999</v>
      </c>
      <c r="E309">
        <v>574.31399999999996</v>
      </c>
      <c r="F309">
        <v>524.529</v>
      </c>
      <c r="G309">
        <v>2225.3290000000002</v>
      </c>
      <c r="H309">
        <v>783.25800000000004</v>
      </c>
      <c r="I309">
        <v>1442.0709999999999</v>
      </c>
      <c r="J309">
        <v>778.14</v>
      </c>
      <c r="K309" s="5">
        <v>2.7958236745225001E-2</v>
      </c>
      <c r="L309" s="5">
        <v>7.3592627010500566E-2</v>
      </c>
      <c r="M309" s="8">
        <v>7.7100000000000002E-2</v>
      </c>
      <c r="N309">
        <v>23050.241666666701</v>
      </c>
      <c r="O309" s="3">
        <f t="shared" si="44"/>
        <v>51</v>
      </c>
      <c r="P309" s="15">
        <v>1969</v>
      </c>
      <c r="Q309" s="15">
        <v>117.24</v>
      </c>
      <c r="R309" s="15">
        <v>163.52000000000001</v>
      </c>
      <c r="S309" s="4">
        <f t="shared" si="45"/>
        <v>16.526481977739749</v>
      </c>
      <c r="T309" s="8">
        <f t="shared" si="46"/>
        <v>0.47000182376595884</v>
      </c>
      <c r="U309" s="8">
        <f t="shared" si="47"/>
        <v>0.30457339117047405</v>
      </c>
      <c r="V309" s="9">
        <f t="shared" si="48"/>
        <v>0.54314801421011871</v>
      </c>
      <c r="W309">
        <f t="shared" si="49"/>
        <v>2.1217441591487392</v>
      </c>
      <c r="X309">
        <f t="shared" si="50"/>
        <v>7.2158949278106554</v>
      </c>
      <c r="Y309" s="8">
        <f t="shared" si="51"/>
        <v>0.23570851770681997</v>
      </c>
      <c r="Z309" s="8">
        <f t="shared" si="52"/>
        <v>4.7805213770522714E-2</v>
      </c>
      <c r="AA309" s="10">
        <f t="shared" si="53"/>
        <v>4.9141763254774998E-2</v>
      </c>
      <c r="AB309" s="12">
        <v>3102.8290000000002</v>
      </c>
      <c r="AC309" s="12">
        <v>3454.857</v>
      </c>
      <c r="AD309" s="8">
        <f t="shared" si="54"/>
        <v>-0.10189365290661807</v>
      </c>
    </row>
    <row r="310" spans="1:30" x14ac:dyDescent="0.3">
      <c r="A310" t="s">
        <v>87</v>
      </c>
      <c r="B310">
        <v>2019</v>
      </c>
      <c r="C310">
        <v>1179.123</v>
      </c>
      <c r="D310">
        <v>4611.3609999999999</v>
      </c>
      <c r="E310">
        <v>2001.0530000000001</v>
      </c>
      <c r="F310">
        <v>1504.403</v>
      </c>
      <c r="G310">
        <v>6612.4139999999998</v>
      </c>
      <c r="H310">
        <v>1735.134</v>
      </c>
      <c r="I310">
        <v>4877.28</v>
      </c>
      <c r="J310">
        <v>1715.66</v>
      </c>
      <c r="K310" s="5">
        <v>2.7958236745225001E-2</v>
      </c>
      <c r="L310" s="5">
        <v>7.3592627010500566E-2</v>
      </c>
      <c r="M310" s="8">
        <v>7.7100000000000002E-2</v>
      </c>
      <c r="N310">
        <v>23050.241666666701</v>
      </c>
      <c r="O310" s="3">
        <f t="shared" si="44"/>
        <v>23</v>
      </c>
      <c r="P310" s="15">
        <v>1997</v>
      </c>
      <c r="Q310" s="15">
        <v>117.24</v>
      </c>
      <c r="R310" s="15">
        <v>163.52000000000001</v>
      </c>
      <c r="S310" s="4">
        <f t="shared" si="45"/>
        <v>16.526481977739749</v>
      </c>
      <c r="T310" s="8">
        <f t="shared" si="46"/>
        <v>0.24175831611061904</v>
      </c>
      <c r="U310" s="8">
        <f t="shared" si="47"/>
        <v>0.17831959704882364</v>
      </c>
      <c r="V310" s="9">
        <f t="shared" si="48"/>
        <v>0.35575853754551717</v>
      </c>
      <c r="W310">
        <f t="shared" si="49"/>
        <v>2.6878058589697256</v>
      </c>
      <c r="X310">
        <f t="shared" si="50"/>
        <v>8.3049389493836543</v>
      </c>
      <c r="Y310" s="8">
        <f t="shared" si="51"/>
        <v>0.22751191924764541</v>
      </c>
      <c r="Z310" s="8">
        <f t="shared" si="52"/>
        <v>4.7805213770522714E-2</v>
      </c>
      <c r="AA310" s="10">
        <f t="shared" si="53"/>
        <v>4.9141763254774998E-2</v>
      </c>
      <c r="AB310" s="12">
        <v>7895.0169999999998</v>
      </c>
      <c r="AC310" s="12">
        <v>9406.8770000000004</v>
      </c>
      <c r="AD310" s="8">
        <f t="shared" si="54"/>
        <v>-0.16071858917683313</v>
      </c>
    </row>
    <row r="311" spans="1:30" x14ac:dyDescent="0.3">
      <c r="A311" t="s">
        <v>88</v>
      </c>
      <c r="B311">
        <v>2019</v>
      </c>
      <c r="C311">
        <v>10554.332</v>
      </c>
      <c r="D311">
        <v>24721.564999999999</v>
      </c>
      <c r="E311">
        <v>19978.308000000001</v>
      </c>
      <c r="F311">
        <v>14893.54</v>
      </c>
      <c r="G311">
        <v>44699.873</v>
      </c>
      <c r="H311">
        <v>14968.618</v>
      </c>
      <c r="I311">
        <v>29731.255000000001</v>
      </c>
      <c r="J311">
        <v>14442.85</v>
      </c>
      <c r="K311" s="5">
        <v>2.7958236745225001E-2</v>
      </c>
      <c r="L311" s="5">
        <v>7.3592627010500566E-2</v>
      </c>
      <c r="M311" s="8">
        <v>7.7100000000000002E-2</v>
      </c>
      <c r="N311">
        <v>23050.241666666701</v>
      </c>
      <c r="O311" s="3">
        <f t="shared" si="44"/>
        <v>44</v>
      </c>
      <c r="P311" s="15">
        <v>1976</v>
      </c>
      <c r="Q311" s="15">
        <v>117.24</v>
      </c>
      <c r="R311" s="15">
        <v>163.52000000000001</v>
      </c>
      <c r="S311" s="4">
        <f t="shared" si="45"/>
        <v>16.526481977739749</v>
      </c>
      <c r="T311" s="8">
        <f t="shared" si="46"/>
        <v>0.35499113643201408</v>
      </c>
      <c r="U311" s="8">
        <f t="shared" si="47"/>
        <v>0.23611548068604132</v>
      </c>
      <c r="V311" s="9">
        <f t="shared" si="48"/>
        <v>0.50346404818767321</v>
      </c>
      <c r="W311">
        <f t="shared" si="49"/>
        <v>1.7116819048871932</v>
      </c>
      <c r="X311">
        <f t="shared" si="50"/>
        <v>10.215960818407066</v>
      </c>
      <c r="Y311" s="8">
        <f t="shared" si="51"/>
        <v>0.33318976096419783</v>
      </c>
      <c r="Z311" s="8">
        <f t="shared" si="52"/>
        <v>4.7805213770522714E-2</v>
      </c>
      <c r="AA311" s="10">
        <f t="shared" si="53"/>
        <v>4.9141763254774998E-2</v>
      </c>
      <c r="AB311" s="12">
        <v>56400.23</v>
      </c>
      <c r="AC311" s="12">
        <v>52629.23</v>
      </c>
      <c r="AD311" s="8">
        <f t="shared" si="54"/>
        <v>7.1652197837589485E-2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"/>
  <sheetViews>
    <sheetView topLeftCell="O1" zoomScale="99" workbookViewId="0">
      <selection activeCell="Y32" sqref="Y32"/>
    </sheetView>
  </sheetViews>
  <sheetFormatPr defaultRowHeight="14.4" x14ac:dyDescent="0.3"/>
  <cols>
    <col min="1" max="1" width="11.6640625" customWidth="1"/>
    <col min="2" max="2" width="9" bestFit="1" customWidth="1"/>
    <col min="3" max="3" width="24.21875" customWidth="1"/>
    <col min="4" max="4" width="26.6640625" customWidth="1"/>
    <col min="5" max="5" width="19.21875" customWidth="1"/>
    <col min="6" max="6" width="19.33203125" customWidth="1"/>
    <col min="7" max="7" width="16.109375" customWidth="1"/>
    <col min="8" max="8" width="12.21875" customWidth="1"/>
    <col min="9" max="9" width="20.5546875" customWidth="1"/>
    <col min="10" max="10" width="17.21875" customWidth="1"/>
    <col min="11" max="11" width="13.109375" customWidth="1"/>
    <col min="12" max="12" width="17.33203125" customWidth="1"/>
    <col min="13" max="13" width="24" customWidth="1"/>
    <col min="14" max="14" width="31.6640625" customWidth="1"/>
    <col min="15" max="15" width="9" bestFit="1" customWidth="1"/>
    <col min="16" max="16" width="19.21875" customWidth="1"/>
    <col min="17" max="17" width="9.33203125" customWidth="1"/>
    <col min="18" max="18" width="9.44140625" customWidth="1"/>
    <col min="19" max="19" width="24.77734375" customWidth="1"/>
    <col min="20" max="20" width="9.6640625" bestFit="1" customWidth="1"/>
    <col min="21" max="23" width="9" bestFit="1" customWidth="1"/>
    <col min="26" max="26" width="17" customWidth="1"/>
    <col min="27" max="27" width="36.88671875" customWidth="1"/>
  </cols>
  <sheetData>
    <row r="1" spans="1:27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3">
        <v>2023</v>
      </c>
      <c r="C2" s="4">
        <v>0.70299999999999996</v>
      </c>
      <c r="D2" s="4">
        <v>173.749</v>
      </c>
      <c r="E2" s="4">
        <v>39.109000000000002</v>
      </c>
      <c r="F2" s="4">
        <v>23.645</v>
      </c>
      <c r="G2" s="4">
        <v>212.857</v>
      </c>
      <c r="H2" s="4">
        <v>10.222</v>
      </c>
      <c r="I2" s="4">
        <v>202.636</v>
      </c>
      <c r="J2" s="4">
        <v>9.15</v>
      </c>
      <c r="K2" s="5">
        <v>3.2528928266766205E-2</v>
      </c>
      <c r="L2" s="5">
        <v>5.0464307361874884E-2</v>
      </c>
      <c r="M2" s="5">
        <v>9.3200000000000005E-2</v>
      </c>
      <c r="N2" s="4">
        <v>23787.319166666701</v>
      </c>
      <c r="O2" s="3">
        <f>B2-P2+1</f>
        <v>45</v>
      </c>
      <c r="P2" s="6">
        <v>1979</v>
      </c>
      <c r="Q2" s="7">
        <v>139.74</v>
      </c>
      <c r="R2" s="7">
        <v>183.07</v>
      </c>
      <c r="S2" s="2">
        <f t="shared" ref="S2:S65" si="0">N2*Q2/(R2*1000)</f>
        <v>18.15720751816248</v>
      </c>
      <c r="T2" s="8">
        <f>C2/I2</f>
        <v>3.4692749560788802E-3</v>
      </c>
      <c r="U2" s="8">
        <f>C2/G2</f>
        <v>3.3026867803266982E-3</v>
      </c>
      <c r="V2" s="9">
        <f>H2/I2</f>
        <v>5.044513314514696E-2</v>
      </c>
      <c r="W2">
        <f>D2/J2</f>
        <v>18.98896174863388</v>
      </c>
      <c r="X2">
        <f t="shared" ref="X2:X65" si="1">LN(100*G2/R2)</f>
        <v>4.7559221713681952</v>
      </c>
      <c r="Y2" s="8">
        <f>F2/G2</f>
        <v>0.11108396717044776</v>
      </c>
      <c r="Z2" s="8">
        <f>(M2+1)/(K2+1)-1</f>
        <v>5.8759682244523548E-2</v>
      </c>
      <c r="AA2" s="10">
        <f>M2-K2</f>
        <v>6.06710717332338E-2</v>
      </c>
    </row>
    <row r="3" spans="1:27" x14ac:dyDescent="0.3">
      <c r="A3" t="s">
        <v>28</v>
      </c>
      <c r="B3" s="11">
        <v>2023</v>
      </c>
      <c r="C3" s="12">
        <v>11.714</v>
      </c>
      <c r="D3" s="12">
        <v>468.81</v>
      </c>
      <c r="E3" s="12">
        <v>584.346</v>
      </c>
      <c r="F3" s="12">
        <v>171.61500000000001</v>
      </c>
      <c r="G3" s="12">
        <v>1053.1559999999999</v>
      </c>
      <c r="H3" s="12">
        <v>304.536</v>
      </c>
      <c r="I3" s="12">
        <v>748.62</v>
      </c>
      <c r="J3" s="12">
        <v>227.95</v>
      </c>
      <c r="K3" s="5">
        <v>3.2528928266766205E-2</v>
      </c>
      <c r="L3" s="5">
        <v>5.0464307361874884E-2</v>
      </c>
      <c r="M3" s="8">
        <v>9.3200000000000005E-2</v>
      </c>
      <c r="N3" s="12">
        <v>23787.319166666701</v>
      </c>
      <c r="O3" s="3">
        <f t="shared" ref="O3:O66" si="2">B3-P3+1</f>
        <v>29</v>
      </c>
      <c r="P3" s="13">
        <v>1995</v>
      </c>
      <c r="Q3" s="14">
        <v>139.74</v>
      </c>
      <c r="R3" s="14">
        <v>183.07</v>
      </c>
      <c r="S3" s="2">
        <f t="shared" si="0"/>
        <v>18.15720751816248</v>
      </c>
      <c r="T3" s="8">
        <f t="shared" ref="T3:T66" si="3">C3/I3</f>
        <v>1.5647457989367102E-2</v>
      </c>
      <c r="U3" s="8">
        <f t="shared" ref="U3:U66" si="4">C3/G3</f>
        <v>1.1122758641644734E-2</v>
      </c>
      <c r="V3" s="9">
        <f t="shared" ref="V3:V66" si="5">H3/I3</f>
        <v>0.40679650557024927</v>
      </c>
      <c r="W3">
        <f t="shared" ref="W3:W66" si="6">D3/J3</f>
        <v>2.0566352270234702</v>
      </c>
      <c r="X3">
        <f t="shared" si="1"/>
        <v>6.3548482419344383</v>
      </c>
      <c r="Y3" s="8">
        <f t="shared" ref="Y3:Y66" si="7">F3/G3</f>
        <v>0.16295306678212915</v>
      </c>
      <c r="Z3" s="8">
        <f t="shared" ref="Z3:Z66" si="8">(M3+1)/(K3+1)-1</f>
        <v>5.8759682244523548E-2</v>
      </c>
      <c r="AA3" s="10">
        <f t="shared" ref="AA3:AA66" si="9">M3-K3</f>
        <v>6.06710717332338E-2</v>
      </c>
    </row>
    <row r="4" spans="1:27" x14ac:dyDescent="0.3">
      <c r="A4" t="s">
        <v>29</v>
      </c>
      <c r="B4" s="11">
        <v>2023</v>
      </c>
      <c r="C4" s="12">
        <v>8.2870000000000008</v>
      </c>
      <c r="D4" s="12">
        <v>1121.6569999999999</v>
      </c>
      <c r="E4" s="12">
        <v>457.548</v>
      </c>
      <c r="F4" s="12">
        <v>13.837</v>
      </c>
      <c r="G4" s="12">
        <v>1579.2049999999999</v>
      </c>
      <c r="H4" s="12">
        <v>665.24199999999996</v>
      </c>
      <c r="I4" s="12">
        <v>913.96299999999997</v>
      </c>
      <c r="J4" s="12">
        <v>664.3</v>
      </c>
      <c r="K4" s="5">
        <v>3.2528928266766205E-2</v>
      </c>
      <c r="L4" s="5">
        <v>5.0464307361874884E-2</v>
      </c>
      <c r="M4" s="8">
        <v>9.3200000000000005E-2</v>
      </c>
      <c r="N4" s="12">
        <v>23787.319166666701</v>
      </c>
      <c r="O4" s="3">
        <f t="shared" si="2"/>
        <v>49</v>
      </c>
      <c r="P4" s="13">
        <v>1975</v>
      </c>
      <c r="Q4" s="14">
        <v>139.74</v>
      </c>
      <c r="R4" s="14">
        <v>183.07</v>
      </c>
      <c r="S4" s="2">
        <f t="shared" si="0"/>
        <v>18.15720751816248</v>
      </c>
      <c r="T4" s="8">
        <f t="shared" si="3"/>
        <v>9.0671066553022397E-3</v>
      </c>
      <c r="U4" s="8">
        <f t="shared" si="4"/>
        <v>5.2475771036692518E-3</v>
      </c>
      <c r="V4" s="9">
        <f t="shared" si="5"/>
        <v>0.72786535122318952</v>
      </c>
      <c r="W4">
        <f t="shared" si="6"/>
        <v>1.6884796025891917</v>
      </c>
      <c r="X4">
        <f t="shared" si="1"/>
        <v>6.7599784274594539</v>
      </c>
      <c r="Y4" s="8">
        <f t="shared" si="7"/>
        <v>8.7620036664017662E-3</v>
      </c>
      <c r="Z4" s="8">
        <f t="shared" si="8"/>
        <v>5.8759682244523548E-2</v>
      </c>
      <c r="AA4" s="10">
        <f t="shared" si="9"/>
        <v>6.06710717332338E-2</v>
      </c>
    </row>
    <row r="5" spans="1:27" x14ac:dyDescent="0.3">
      <c r="A5" t="s">
        <v>30</v>
      </c>
      <c r="B5" s="11">
        <v>2023</v>
      </c>
      <c r="C5" s="12">
        <v>63.872</v>
      </c>
      <c r="D5" s="12">
        <v>337.58800000000002</v>
      </c>
      <c r="E5" s="12">
        <v>313.79700000000003</v>
      </c>
      <c r="F5" s="12">
        <v>90.275999999999996</v>
      </c>
      <c r="G5" s="12">
        <v>651.38400000000001</v>
      </c>
      <c r="H5" s="12">
        <v>160.565</v>
      </c>
      <c r="I5" s="12">
        <v>490.81900000000002</v>
      </c>
      <c r="J5" s="12">
        <v>157.46</v>
      </c>
      <c r="K5" s="5">
        <v>3.2528928266766205E-2</v>
      </c>
      <c r="L5" s="5">
        <v>5.0464307361874884E-2</v>
      </c>
      <c r="M5" s="8">
        <v>9.3200000000000005E-2</v>
      </c>
      <c r="N5" s="12">
        <v>23787.319166666701</v>
      </c>
      <c r="O5" s="3">
        <f t="shared" si="2"/>
        <v>47</v>
      </c>
      <c r="P5" s="13">
        <v>1977</v>
      </c>
      <c r="Q5" s="14">
        <v>139.74</v>
      </c>
      <c r="R5" s="14">
        <v>183.07</v>
      </c>
      <c r="S5" s="2">
        <f t="shared" si="0"/>
        <v>18.15720751816248</v>
      </c>
      <c r="T5" s="8">
        <f t="shared" si="3"/>
        <v>0.13013351153887684</v>
      </c>
      <c r="U5" s="8">
        <f t="shared" si="4"/>
        <v>9.8055831890252132E-2</v>
      </c>
      <c r="V5" s="9">
        <f t="shared" si="5"/>
        <v>0.32713688752880388</v>
      </c>
      <c r="W5">
        <f t="shared" si="6"/>
        <v>2.1439603708878447</v>
      </c>
      <c r="X5">
        <f t="shared" si="1"/>
        <v>5.8744009226848277</v>
      </c>
      <c r="Y5" s="8">
        <f t="shared" si="7"/>
        <v>0.13859106149368114</v>
      </c>
      <c r="Z5" s="8">
        <f t="shared" si="8"/>
        <v>5.8759682244523548E-2</v>
      </c>
      <c r="AA5" s="10">
        <f t="shared" si="9"/>
        <v>6.06710717332338E-2</v>
      </c>
    </row>
    <row r="6" spans="1:27" x14ac:dyDescent="0.3">
      <c r="A6" t="s">
        <v>31</v>
      </c>
      <c r="B6" s="11">
        <v>2023</v>
      </c>
      <c r="C6" s="12">
        <v>9.8529999999999998</v>
      </c>
      <c r="D6" s="12">
        <v>1482.105</v>
      </c>
      <c r="E6" s="12">
        <v>267.07499999999999</v>
      </c>
      <c r="F6" s="12">
        <v>250.49600000000001</v>
      </c>
      <c r="G6" s="12">
        <v>1749.18</v>
      </c>
      <c r="H6" s="12">
        <v>950.03800000000001</v>
      </c>
      <c r="I6" s="12">
        <v>799.14200000000005</v>
      </c>
      <c r="J6" s="12">
        <v>950.04</v>
      </c>
      <c r="K6" s="5">
        <v>3.2528928266766205E-2</v>
      </c>
      <c r="L6" s="5">
        <v>5.0464307361874884E-2</v>
      </c>
      <c r="M6" s="8">
        <v>9.3200000000000005E-2</v>
      </c>
      <c r="N6" s="12">
        <v>23787.319166666701</v>
      </c>
      <c r="O6" s="3">
        <f t="shared" si="2"/>
        <v>21</v>
      </c>
      <c r="P6" s="13">
        <v>2003</v>
      </c>
      <c r="Q6" s="14">
        <v>139.74</v>
      </c>
      <c r="R6" s="14">
        <v>183.07</v>
      </c>
      <c r="S6" s="2">
        <f t="shared" si="0"/>
        <v>18.15720751816248</v>
      </c>
      <c r="T6" s="8">
        <f t="shared" si="3"/>
        <v>1.232947336017879E-2</v>
      </c>
      <c r="U6" s="8">
        <f>C6/G6</f>
        <v>5.6329251420665681E-3</v>
      </c>
      <c r="V6" s="9">
        <f t="shared" si="5"/>
        <v>1.1888225121442746</v>
      </c>
      <c r="W6">
        <f t="shared" si="6"/>
        <v>1.560044840217254</v>
      </c>
      <c r="X6">
        <f t="shared" si="1"/>
        <v>6.8622039783002595</v>
      </c>
      <c r="Y6" s="8">
        <f t="shared" si="7"/>
        <v>0.14320767445317234</v>
      </c>
      <c r="Z6" s="8">
        <f t="shared" si="8"/>
        <v>5.8759682244523548E-2</v>
      </c>
      <c r="AA6" s="10">
        <f t="shared" si="9"/>
        <v>6.06710717332338E-2</v>
      </c>
    </row>
    <row r="7" spans="1:27" x14ac:dyDescent="0.3">
      <c r="A7" t="s">
        <v>32</v>
      </c>
      <c r="B7" s="11">
        <v>2023</v>
      </c>
      <c r="C7" s="12">
        <v>74.989999999999995</v>
      </c>
      <c r="D7" s="12">
        <v>1945.3869999999999</v>
      </c>
      <c r="E7" s="12">
        <v>558.40499999999997</v>
      </c>
      <c r="F7" s="12">
        <v>156.62299999999999</v>
      </c>
      <c r="G7" s="12">
        <v>2503.7919999999999</v>
      </c>
      <c r="H7" s="12">
        <v>1585.5409999999999</v>
      </c>
      <c r="I7" s="12">
        <v>918.25099999999998</v>
      </c>
      <c r="J7" s="12">
        <v>1472.93</v>
      </c>
      <c r="K7" s="5">
        <v>3.2528928266766205E-2</v>
      </c>
      <c r="L7" s="5">
        <v>5.0464307361874884E-2</v>
      </c>
      <c r="M7" s="8">
        <v>9.3200000000000005E-2</v>
      </c>
      <c r="N7" s="12">
        <v>23787.319166666701</v>
      </c>
      <c r="O7" s="3">
        <f t="shared" si="2"/>
        <v>18</v>
      </c>
      <c r="P7" s="13">
        <v>2006</v>
      </c>
      <c r="Q7" s="14">
        <v>139.74</v>
      </c>
      <c r="R7" s="14">
        <v>183.07</v>
      </c>
      <c r="S7" s="2">
        <f t="shared" si="0"/>
        <v>18.15720751816248</v>
      </c>
      <c r="T7" s="8">
        <f t="shared" si="3"/>
        <v>8.1666123968283183E-2</v>
      </c>
      <c r="U7" s="8">
        <f t="shared" si="4"/>
        <v>2.9950570973946718E-2</v>
      </c>
      <c r="V7" s="9">
        <f t="shared" si="5"/>
        <v>1.7266967310680847</v>
      </c>
      <c r="W7">
        <f t="shared" si="6"/>
        <v>1.3207599818049736</v>
      </c>
      <c r="X7">
        <f t="shared" si="1"/>
        <v>7.2208632543022437</v>
      </c>
      <c r="Y7" s="8">
        <f t="shared" si="7"/>
        <v>6.2554317611047558E-2</v>
      </c>
      <c r="Z7" s="8">
        <f t="shared" si="8"/>
        <v>5.8759682244523548E-2</v>
      </c>
      <c r="AA7" s="10">
        <f t="shared" si="9"/>
        <v>6.06710717332338E-2</v>
      </c>
    </row>
    <row r="8" spans="1:27" hidden="1" x14ac:dyDescent="0.3">
      <c r="A8" t="s">
        <v>33</v>
      </c>
      <c r="B8" s="11">
        <v>2023</v>
      </c>
      <c r="C8" s="12">
        <v>-220.86600000000001</v>
      </c>
      <c r="D8" s="12">
        <v>344.928</v>
      </c>
      <c r="E8" s="12">
        <v>892.15099999999995</v>
      </c>
      <c r="F8" s="12">
        <v>445.98200000000003</v>
      </c>
      <c r="G8" s="12">
        <v>1237.08</v>
      </c>
      <c r="H8" s="12">
        <v>1215.2529999999999</v>
      </c>
      <c r="I8" s="12">
        <v>21.827000000000002</v>
      </c>
      <c r="J8" s="12">
        <v>1182.33</v>
      </c>
      <c r="K8" s="5">
        <v>3.2528928266766205E-2</v>
      </c>
      <c r="L8" s="5">
        <v>5.0464307361874884E-2</v>
      </c>
      <c r="M8" s="8">
        <v>9.3200000000000005E-2</v>
      </c>
      <c r="N8" s="12">
        <v>23787.319166666701</v>
      </c>
      <c r="O8" s="3">
        <f t="shared" si="2"/>
        <v>48</v>
      </c>
      <c r="P8" s="13">
        <v>1976</v>
      </c>
      <c r="Q8" s="14">
        <v>139.74</v>
      </c>
      <c r="R8" s="14">
        <v>183.07</v>
      </c>
      <c r="S8" s="2">
        <f t="shared" si="0"/>
        <v>18.15720751816248</v>
      </c>
      <c r="T8" s="8">
        <f t="shared" si="3"/>
        <v>-10.11893526366427</v>
      </c>
      <c r="U8" s="8">
        <f t="shared" si="4"/>
        <v>-0.17853817053060433</v>
      </c>
      <c r="V8" s="9">
        <f t="shared" si="5"/>
        <v>55.676593210244185</v>
      </c>
      <c r="W8">
        <f t="shared" si="6"/>
        <v>0.29173580979929464</v>
      </c>
      <c r="X8">
        <f t="shared" si="1"/>
        <v>6.5158106355214613</v>
      </c>
      <c r="Y8" s="8">
        <f t="shared" si="7"/>
        <v>0.36051185048662987</v>
      </c>
      <c r="Z8" s="8">
        <f t="shared" si="8"/>
        <v>5.8759682244523548E-2</v>
      </c>
      <c r="AA8" s="10">
        <f t="shared" si="9"/>
        <v>6.06710717332338E-2</v>
      </c>
    </row>
    <row r="9" spans="1:27" x14ac:dyDescent="0.3">
      <c r="A9" t="s">
        <v>34</v>
      </c>
      <c r="B9" s="11">
        <v>2023</v>
      </c>
      <c r="C9" s="12">
        <v>39.192</v>
      </c>
      <c r="D9" s="12">
        <v>2950.6039999999998</v>
      </c>
      <c r="E9" s="12">
        <v>2162.0659999999998</v>
      </c>
      <c r="F9" s="12">
        <v>1031.788</v>
      </c>
      <c r="G9" s="12">
        <v>5112.67</v>
      </c>
      <c r="H9" s="12">
        <v>2264.8029999999999</v>
      </c>
      <c r="I9" s="12">
        <v>2847.8670000000002</v>
      </c>
      <c r="J9" s="12">
        <v>2103.11</v>
      </c>
      <c r="K9" s="5">
        <v>3.2528928266766205E-2</v>
      </c>
      <c r="L9" s="5">
        <v>5.0464307361874884E-2</v>
      </c>
      <c r="M9" s="8">
        <v>9.3200000000000005E-2</v>
      </c>
      <c r="N9" s="12">
        <v>23787.319166666701</v>
      </c>
      <c r="O9" s="3">
        <f t="shared" si="2"/>
        <v>31</v>
      </c>
      <c r="P9" s="13">
        <v>1993</v>
      </c>
      <c r="Q9" s="14">
        <v>139.74</v>
      </c>
      <c r="R9" s="14">
        <v>183.07</v>
      </c>
      <c r="S9" s="2">
        <f t="shared" si="0"/>
        <v>18.15720751816248</v>
      </c>
      <c r="T9" s="8">
        <f t="shared" si="3"/>
        <v>1.376187862705667E-2</v>
      </c>
      <c r="U9" s="8">
        <f t="shared" si="4"/>
        <v>7.6656619730982051E-3</v>
      </c>
      <c r="V9" s="9">
        <f t="shared" si="5"/>
        <v>0.79526291080306766</v>
      </c>
      <c r="W9">
        <f t="shared" si="6"/>
        <v>1.4029717893976061</v>
      </c>
      <c r="X9">
        <f t="shared" si="1"/>
        <v>7.9347786442571362</v>
      </c>
      <c r="Y9" s="8">
        <f t="shared" si="7"/>
        <v>0.20181001316337646</v>
      </c>
      <c r="Z9" s="8">
        <f t="shared" si="8"/>
        <v>5.8759682244523548E-2</v>
      </c>
      <c r="AA9" s="10">
        <f t="shared" si="9"/>
        <v>6.06710717332338E-2</v>
      </c>
    </row>
    <row r="10" spans="1:27" x14ac:dyDescent="0.3">
      <c r="A10" t="s">
        <v>35</v>
      </c>
      <c r="B10" s="11">
        <v>2023</v>
      </c>
      <c r="C10" s="12">
        <v>251.69900000000001</v>
      </c>
      <c r="D10" s="12">
        <v>11090.13</v>
      </c>
      <c r="E10" s="12">
        <v>9217.3230000000003</v>
      </c>
      <c r="F10" s="12">
        <v>6560.6469999999999</v>
      </c>
      <c r="G10" s="12">
        <v>20307.453000000001</v>
      </c>
      <c r="H10" s="12">
        <v>12481.171</v>
      </c>
      <c r="I10" s="12">
        <v>7826.2820000000002</v>
      </c>
      <c r="J10" s="12">
        <v>8203.9699999999993</v>
      </c>
      <c r="K10" s="5">
        <v>3.2528928266766205E-2</v>
      </c>
      <c r="L10" s="5">
        <v>5.0464307361874884E-2</v>
      </c>
      <c r="M10" s="8">
        <v>9.3200000000000005E-2</v>
      </c>
      <c r="N10" s="12">
        <v>23787.319166666701</v>
      </c>
      <c r="O10" s="3">
        <f t="shared" si="2"/>
        <v>27</v>
      </c>
      <c r="P10" s="13">
        <v>1997</v>
      </c>
      <c r="Q10" s="14">
        <v>139.74</v>
      </c>
      <c r="R10" s="14">
        <v>183.07</v>
      </c>
      <c r="S10" s="2">
        <f t="shared" si="0"/>
        <v>18.15720751816248</v>
      </c>
      <c r="T10" s="8">
        <f t="shared" si="3"/>
        <v>3.2160737371845279E-2</v>
      </c>
      <c r="U10" s="8">
        <f t="shared" si="4"/>
        <v>1.2394414996307021E-2</v>
      </c>
      <c r="V10" s="9">
        <f t="shared" si="5"/>
        <v>1.5947765490688937</v>
      </c>
      <c r="W10">
        <f t="shared" si="6"/>
        <v>1.3518004088264584</v>
      </c>
      <c r="X10">
        <f t="shared" si="1"/>
        <v>9.3140448331317423</v>
      </c>
      <c r="Y10" s="8">
        <f t="shared" si="7"/>
        <v>0.32306596991754699</v>
      </c>
      <c r="Z10" s="8">
        <f t="shared" si="8"/>
        <v>5.8759682244523548E-2</v>
      </c>
      <c r="AA10" s="10">
        <f t="shared" si="9"/>
        <v>6.06710717332338E-2</v>
      </c>
    </row>
    <row r="11" spans="1:27" x14ac:dyDescent="0.3">
      <c r="A11" t="s">
        <v>36</v>
      </c>
      <c r="B11" s="11">
        <v>2023</v>
      </c>
      <c r="C11" s="12">
        <v>30.324999999999999</v>
      </c>
      <c r="D11" s="12">
        <v>3148.0120000000002</v>
      </c>
      <c r="E11" s="12">
        <v>3385.6489999999999</v>
      </c>
      <c r="F11" s="12">
        <v>1617.376</v>
      </c>
      <c r="G11" s="12">
        <v>6533.6610000000001</v>
      </c>
      <c r="H11" s="12">
        <v>4625.3389999999999</v>
      </c>
      <c r="I11" s="12">
        <v>1908.3219999999999</v>
      </c>
      <c r="J11" s="12">
        <v>3011.07</v>
      </c>
      <c r="K11" s="5">
        <v>3.2528928266766205E-2</v>
      </c>
      <c r="L11" s="5">
        <v>5.0464307361874884E-2</v>
      </c>
      <c r="M11" s="8">
        <v>9.3200000000000005E-2</v>
      </c>
      <c r="N11" s="12">
        <v>23787.319166666701</v>
      </c>
      <c r="O11" s="3">
        <f t="shared" si="2"/>
        <v>7</v>
      </c>
      <c r="P11" s="13">
        <v>2017</v>
      </c>
      <c r="Q11" s="14">
        <v>139.74</v>
      </c>
      <c r="R11" s="14">
        <v>183.07</v>
      </c>
      <c r="S11" s="2">
        <f t="shared" si="0"/>
        <v>18.15720751816248</v>
      </c>
      <c r="T11" s="8">
        <f t="shared" si="3"/>
        <v>1.5890924068370015E-2</v>
      </c>
      <c r="U11" s="8">
        <f t="shared" si="4"/>
        <v>4.6413488547997822E-3</v>
      </c>
      <c r="V11" s="9">
        <f t="shared" si="5"/>
        <v>2.4237728224062818</v>
      </c>
      <c r="W11">
        <f t="shared" si="6"/>
        <v>1.0454795139269428</v>
      </c>
      <c r="X11">
        <f t="shared" si="1"/>
        <v>8.1800243009792695</v>
      </c>
      <c r="Y11" s="8">
        <f t="shared" si="7"/>
        <v>0.24754513587405283</v>
      </c>
      <c r="Z11" s="8">
        <f t="shared" si="8"/>
        <v>5.8759682244523548E-2</v>
      </c>
      <c r="AA11" s="10">
        <f t="shared" si="9"/>
        <v>6.06710717332338E-2</v>
      </c>
    </row>
    <row r="12" spans="1:27" x14ac:dyDescent="0.3">
      <c r="A12" t="s">
        <v>37</v>
      </c>
      <c r="B12" s="11">
        <v>2023</v>
      </c>
      <c r="C12" s="12">
        <v>96.162000000000006</v>
      </c>
      <c r="D12" s="12">
        <v>1242.22</v>
      </c>
      <c r="E12" s="12">
        <v>1085.57</v>
      </c>
      <c r="F12" s="12">
        <v>596.68299999999999</v>
      </c>
      <c r="G12" s="12">
        <v>2327.7910000000002</v>
      </c>
      <c r="H12" s="12">
        <v>915.45799999999997</v>
      </c>
      <c r="I12" s="12">
        <v>1412.3320000000001</v>
      </c>
      <c r="J12" s="12">
        <v>900.37</v>
      </c>
      <c r="K12" s="5">
        <v>3.2528928266766205E-2</v>
      </c>
      <c r="L12" s="5">
        <v>5.0464307361874884E-2</v>
      </c>
      <c r="M12" s="8">
        <v>9.3200000000000005E-2</v>
      </c>
      <c r="N12" s="12">
        <v>23787.319166666701</v>
      </c>
      <c r="O12" s="3">
        <f t="shared" si="2"/>
        <v>25</v>
      </c>
      <c r="P12" s="13">
        <v>1999</v>
      </c>
      <c r="Q12" s="14">
        <v>139.74</v>
      </c>
      <c r="R12" s="14">
        <v>183.07</v>
      </c>
      <c r="S12" s="2">
        <f t="shared" si="0"/>
        <v>18.15720751816248</v>
      </c>
      <c r="T12" s="8">
        <f t="shared" si="3"/>
        <v>6.8087390217031127E-2</v>
      </c>
      <c r="U12" s="8">
        <f t="shared" si="4"/>
        <v>4.1310409740393357E-2</v>
      </c>
      <c r="V12" s="9">
        <f t="shared" si="5"/>
        <v>0.64818895273915755</v>
      </c>
      <c r="W12">
        <f t="shared" si="6"/>
        <v>1.3796772437997713</v>
      </c>
      <c r="X12">
        <f t="shared" si="1"/>
        <v>7.1479766208140312</v>
      </c>
      <c r="Y12" s="8">
        <f t="shared" si="7"/>
        <v>0.25633014304119223</v>
      </c>
      <c r="Z12" s="8">
        <f t="shared" si="8"/>
        <v>5.8759682244523548E-2</v>
      </c>
      <c r="AA12" s="10">
        <f t="shared" si="9"/>
        <v>6.06710717332338E-2</v>
      </c>
    </row>
    <row r="13" spans="1:27" x14ac:dyDescent="0.3">
      <c r="A13" t="s">
        <v>38</v>
      </c>
      <c r="B13" s="11">
        <v>2023</v>
      </c>
      <c r="C13" s="12">
        <v>354.685</v>
      </c>
      <c r="D13" s="12">
        <v>5135.8710000000001</v>
      </c>
      <c r="E13" s="12">
        <v>2014.11</v>
      </c>
      <c r="F13" s="12">
        <v>1527.171</v>
      </c>
      <c r="G13" s="12">
        <v>7149.9809999999998</v>
      </c>
      <c r="H13" s="12">
        <v>1842.472</v>
      </c>
      <c r="I13" s="12">
        <v>5307.509</v>
      </c>
      <c r="J13" s="12">
        <v>1726.34</v>
      </c>
      <c r="K13" s="5">
        <v>3.2528928266766205E-2</v>
      </c>
      <c r="L13" s="5">
        <v>5.0464307361874884E-2</v>
      </c>
      <c r="M13" s="8">
        <v>9.3200000000000005E-2</v>
      </c>
      <c r="N13" s="12">
        <v>23787.319166666701</v>
      </c>
      <c r="O13" s="3">
        <f t="shared" si="2"/>
        <v>134</v>
      </c>
      <c r="P13" s="13">
        <v>1890</v>
      </c>
      <c r="Q13" s="14">
        <v>139.74</v>
      </c>
      <c r="R13" s="14">
        <v>183.07</v>
      </c>
      <c r="S13" s="2">
        <f t="shared" si="0"/>
        <v>18.15720751816248</v>
      </c>
      <c r="T13" s="8">
        <f t="shared" si="3"/>
        <v>6.6827018098320701E-2</v>
      </c>
      <c r="U13" s="8">
        <f t="shared" si="4"/>
        <v>4.9606425527564342E-2</v>
      </c>
      <c r="V13" s="9">
        <f t="shared" si="5"/>
        <v>0.34714439485641946</v>
      </c>
      <c r="W13">
        <f t="shared" si="6"/>
        <v>2.9750055029716047</v>
      </c>
      <c r="X13">
        <f t="shared" si="1"/>
        <v>8.2701665709670333</v>
      </c>
      <c r="Y13" s="8">
        <f t="shared" si="7"/>
        <v>0.21359091723460524</v>
      </c>
      <c r="Z13" s="8">
        <f t="shared" si="8"/>
        <v>5.8759682244523548E-2</v>
      </c>
      <c r="AA13" s="10">
        <f t="shared" si="9"/>
        <v>6.06710717332338E-2</v>
      </c>
    </row>
    <row r="14" spans="1:27" x14ac:dyDescent="0.3">
      <c r="A14" t="s">
        <v>39</v>
      </c>
      <c r="B14" s="11">
        <v>2023</v>
      </c>
      <c r="C14" s="12">
        <v>10.77</v>
      </c>
      <c r="D14" s="12">
        <v>667.91499999999996</v>
      </c>
      <c r="E14" s="12">
        <v>247.50299999999999</v>
      </c>
      <c r="F14" s="12">
        <v>56.49</v>
      </c>
      <c r="G14" s="12">
        <v>915.41800000000001</v>
      </c>
      <c r="H14" s="12">
        <v>33.536999999999999</v>
      </c>
      <c r="I14" s="12">
        <v>881.88099999999997</v>
      </c>
      <c r="J14" s="12">
        <v>31.85</v>
      </c>
      <c r="K14" s="5">
        <v>3.2528928266766205E-2</v>
      </c>
      <c r="L14" s="5">
        <v>5.0464307361874884E-2</v>
      </c>
      <c r="M14" s="8">
        <v>9.3200000000000005E-2</v>
      </c>
      <c r="N14" s="12">
        <v>23787.319166666701</v>
      </c>
      <c r="O14" s="3">
        <f t="shared" si="2"/>
        <v>9</v>
      </c>
      <c r="P14" s="13">
        <v>2015</v>
      </c>
      <c r="Q14" s="14">
        <v>139.74</v>
      </c>
      <c r="R14" s="14">
        <v>183.07</v>
      </c>
      <c r="S14" s="2">
        <f t="shared" si="0"/>
        <v>18.15720751816248</v>
      </c>
      <c r="T14" s="8">
        <f t="shared" si="3"/>
        <v>1.2212532076323222E-2</v>
      </c>
      <c r="U14" s="8">
        <f t="shared" si="4"/>
        <v>1.1765117137744724E-2</v>
      </c>
      <c r="V14" s="9">
        <f t="shared" si="5"/>
        <v>3.8028940412595351E-2</v>
      </c>
      <c r="W14">
        <f t="shared" si="6"/>
        <v>20.970643642072211</v>
      </c>
      <c r="X14">
        <f t="shared" si="1"/>
        <v>6.2146823841864514</v>
      </c>
      <c r="Y14" s="8">
        <f t="shared" si="7"/>
        <v>6.1709514123602552E-2</v>
      </c>
      <c r="Z14" s="8">
        <f t="shared" si="8"/>
        <v>5.8759682244523548E-2</v>
      </c>
      <c r="AA14" s="10">
        <f t="shared" si="9"/>
        <v>6.06710717332338E-2</v>
      </c>
    </row>
    <row r="15" spans="1:27" x14ac:dyDescent="0.3">
      <c r="A15" t="s">
        <v>40</v>
      </c>
      <c r="B15" s="11">
        <v>2023</v>
      </c>
      <c r="C15" s="12">
        <v>140.36500000000001</v>
      </c>
      <c r="D15" s="12">
        <v>1452.789</v>
      </c>
      <c r="E15" s="12">
        <v>114.004</v>
      </c>
      <c r="F15" s="12">
        <v>24.861999999999998</v>
      </c>
      <c r="G15" s="12">
        <v>1566.7929999999999</v>
      </c>
      <c r="H15" s="12">
        <v>691.19600000000003</v>
      </c>
      <c r="I15" s="12">
        <v>875.59699999999998</v>
      </c>
      <c r="J15" s="12">
        <v>690.69</v>
      </c>
      <c r="K15" s="5">
        <v>3.2528928266766205E-2</v>
      </c>
      <c r="L15" s="5">
        <v>5.0464307361874884E-2</v>
      </c>
      <c r="M15" s="8">
        <v>9.3200000000000005E-2</v>
      </c>
      <c r="N15" s="12">
        <v>23787.319166666701</v>
      </c>
      <c r="O15" s="3">
        <f t="shared" si="2"/>
        <v>32</v>
      </c>
      <c r="P15" s="13">
        <v>1992</v>
      </c>
      <c r="Q15" s="14">
        <v>139.74</v>
      </c>
      <c r="R15" s="14">
        <v>183.07</v>
      </c>
      <c r="S15" s="2">
        <f t="shared" si="0"/>
        <v>18.15720751816248</v>
      </c>
      <c r="T15" s="8">
        <f t="shared" si="3"/>
        <v>0.1603077671577221</v>
      </c>
      <c r="U15" s="8">
        <f t="shared" si="4"/>
        <v>8.9587456671047172E-2</v>
      </c>
      <c r="V15" s="9">
        <f t="shared" si="5"/>
        <v>0.7893996895832216</v>
      </c>
      <c r="W15">
        <f t="shared" si="6"/>
        <v>2.1033879164313944</v>
      </c>
      <c r="X15">
        <f t="shared" si="1"/>
        <v>6.7520877267019879</v>
      </c>
      <c r="Y15" s="8">
        <f t="shared" si="7"/>
        <v>1.5868082126994441E-2</v>
      </c>
      <c r="Z15" s="8">
        <f t="shared" si="8"/>
        <v>5.8759682244523548E-2</v>
      </c>
      <c r="AA15" s="10">
        <f t="shared" si="9"/>
        <v>6.06710717332338E-2</v>
      </c>
    </row>
    <row r="16" spans="1:27" x14ac:dyDescent="0.3">
      <c r="A16" t="s">
        <v>41</v>
      </c>
      <c r="B16" s="11">
        <v>2023</v>
      </c>
      <c r="C16" s="12">
        <v>66.951999999999998</v>
      </c>
      <c r="D16" s="12">
        <v>2104.402</v>
      </c>
      <c r="E16" s="12">
        <v>1321.36</v>
      </c>
      <c r="F16" s="12">
        <v>485.94499999999999</v>
      </c>
      <c r="G16" s="12">
        <v>3425.7620000000002</v>
      </c>
      <c r="H16" s="12">
        <v>1931.5889999999999</v>
      </c>
      <c r="I16" s="12">
        <v>1494.173</v>
      </c>
      <c r="J16" s="12">
        <v>1575.22</v>
      </c>
      <c r="K16" s="5">
        <v>3.2528928266766205E-2</v>
      </c>
      <c r="L16" s="5">
        <v>5.0464307361874884E-2</v>
      </c>
      <c r="M16" s="8">
        <v>9.3200000000000005E-2</v>
      </c>
      <c r="N16" s="12">
        <v>23787.319166666701</v>
      </c>
      <c r="O16" s="3">
        <f t="shared" si="2"/>
        <v>47</v>
      </c>
      <c r="P16" s="13">
        <v>1977</v>
      </c>
      <c r="Q16" s="14">
        <v>139.74</v>
      </c>
      <c r="R16" s="14">
        <v>183.07</v>
      </c>
      <c r="S16" s="2">
        <f t="shared" si="0"/>
        <v>18.15720751816248</v>
      </c>
      <c r="T16" s="8">
        <f t="shared" si="3"/>
        <v>4.4808733660693906E-2</v>
      </c>
      <c r="U16" s="8">
        <f t="shared" si="4"/>
        <v>1.9543681084675465E-2</v>
      </c>
      <c r="V16" s="9">
        <f t="shared" si="5"/>
        <v>1.2927478946547688</v>
      </c>
      <c r="W16">
        <f t="shared" si="6"/>
        <v>1.3359416462462386</v>
      </c>
      <c r="X16">
        <f t="shared" si="1"/>
        <v>7.5343808003279236</v>
      </c>
      <c r="Y16" s="8">
        <f t="shared" si="7"/>
        <v>0.14185019274543881</v>
      </c>
      <c r="Z16" s="8">
        <f t="shared" si="8"/>
        <v>5.8759682244523548E-2</v>
      </c>
      <c r="AA16" s="10">
        <f t="shared" si="9"/>
        <v>6.06710717332338E-2</v>
      </c>
    </row>
    <row r="17" spans="1:27" x14ac:dyDescent="0.3">
      <c r="A17" t="s">
        <v>42</v>
      </c>
      <c r="B17" s="11">
        <v>2023</v>
      </c>
      <c r="C17" s="12">
        <v>60.375</v>
      </c>
      <c r="D17" s="12">
        <v>2862.5540000000001</v>
      </c>
      <c r="E17" s="12">
        <v>1021.747</v>
      </c>
      <c r="F17" s="12">
        <v>946.697</v>
      </c>
      <c r="G17" s="12">
        <v>3884.3009999999999</v>
      </c>
      <c r="H17" s="12">
        <v>2560.1</v>
      </c>
      <c r="I17" s="12">
        <v>1324.2</v>
      </c>
      <c r="J17" s="12">
        <v>2458.35</v>
      </c>
      <c r="K17" s="5">
        <v>3.2528928266766205E-2</v>
      </c>
      <c r="L17" s="5">
        <v>5.0464307361874884E-2</v>
      </c>
      <c r="M17" s="8">
        <v>9.3200000000000005E-2</v>
      </c>
      <c r="N17" s="12">
        <v>23787.319166666701</v>
      </c>
      <c r="O17" s="3">
        <f t="shared" si="2"/>
        <v>48</v>
      </c>
      <c r="P17" s="13">
        <v>1976</v>
      </c>
      <c r="Q17" s="14">
        <v>139.74</v>
      </c>
      <c r="R17" s="14">
        <v>183.07</v>
      </c>
      <c r="S17" s="2">
        <f t="shared" si="0"/>
        <v>18.15720751816248</v>
      </c>
      <c r="T17" s="8">
        <f t="shared" si="3"/>
        <v>4.559356592659719E-2</v>
      </c>
      <c r="U17" s="8">
        <f t="shared" si="4"/>
        <v>1.5543337140968221E-2</v>
      </c>
      <c r="V17" s="9">
        <f t="shared" si="5"/>
        <v>1.9333182298746412</v>
      </c>
      <c r="W17">
        <f t="shared" si="6"/>
        <v>1.1644208513840586</v>
      </c>
      <c r="X17">
        <f t="shared" si="1"/>
        <v>7.6599999164589478</v>
      </c>
      <c r="Y17" s="8">
        <f t="shared" si="7"/>
        <v>0.24372390296220608</v>
      </c>
      <c r="Z17" s="8">
        <f t="shared" si="8"/>
        <v>5.8759682244523548E-2</v>
      </c>
      <c r="AA17" s="10">
        <f t="shared" si="9"/>
        <v>6.06710717332338E-2</v>
      </c>
    </row>
    <row r="18" spans="1:27" x14ac:dyDescent="0.3">
      <c r="A18" t="s">
        <v>43</v>
      </c>
      <c r="B18" s="11">
        <v>2023</v>
      </c>
      <c r="C18" s="12">
        <v>44.046999999999997</v>
      </c>
      <c r="D18" s="12">
        <v>2591.9929999999999</v>
      </c>
      <c r="E18" s="12">
        <v>1065.463</v>
      </c>
      <c r="F18" s="12">
        <v>189.833</v>
      </c>
      <c r="G18" s="12">
        <v>3657.4569999999999</v>
      </c>
      <c r="H18" s="12">
        <v>2582.799</v>
      </c>
      <c r="I18" s="12">
        <v>1074.6579999999999</v>
      </c>
      <c r="J18" s="12">
        <v>2220.3000000000002</v>
      </c>
      <c r="K18" s="5">
        <v>3.2528928266766205E-2</v>
      </c>
      <c r="L18" s="5">
        <v>5.0464307361874884E-2</v>
      </c>
      <c r="M18" s="8">
        <v>9.3200000000000005E-2</v>
      </c>
      <c r="N18" s="12">
        <v>23787.319166666701</v>
      </c>
      <c r="O18" s="3">
        <f t="shared" si="2"/>
        <v>15</v>
      </c>
      <c r="P18" s="13">
        <v>2009</v>
      </c>
      <c r="Q18" s="14">
        <v>139.74</v>
      </c>
      <c r="R18" s="14">
        <v>183.07</v>
      </c>
      <c r="S18" s="2">
        <f t="shared" si="0"/>
        <v>18.15720751816248</v>
      </c>
      <c r="T18" s="8">
        <f t="shared" si="3"/>
        <v>4.0986993071284075E-2</v>
      </c>
      <c r="U18" s="8">
        <f t="shared" si="4"/>
        <v>1.2043067081854961E-2</v>
      </c>
      <c r="V18" s="9">
        <f t="shared" si="5"/>
        <v>2.4033683274120698</v>
      </c>
      <c r="W18">
        <f t="shared" si="6"/>
        <v>1.1674066567580956</v>
      </c>
      <c r="X18">
        <f t="shared" si="1"/>
        <v>7.5998249687859492</v>
      </c>
      <c r="Y18" s="8">
        <f t="shared" si="7"/>
        <v>5.1903002550679339E-2</v>
      </c>
      <c r="Z18" s="8">
        <f t="shared" si="8"/>
        <v>5.8759682244523548E-2</v>
      </c>
      <c r="AA18" s="10">
        <f t="shared" si="9"/>
        <v>6.06710717332338E-2</v>
      </c>
    </row>
    <row r="19" spans="1:27" x14ac:dyDescent="0.3">
      <c r="A19" t="s">
        <v>44</v>
      </c>
      <c r="B19" s="11">
        <v>2023</v>
      </c>
      <c r="C19" s="12">
        <v>75.313999999999993</v>
      </c>
      <c r="D19" s="12">
        <v>1131.857</v>
      </c>
      <c r="E19" s="12">
        <v>530.74300000000005</v>
      </c>
      <c r="F19" s="12">
        <v>238.102</v>
      </c>
      <c r="G19" s="12">
        <v>1662.6</v>
      </c>
      <c r="H19" s="12">
        <v>820.86199999999997</v>
      </c>
      <c r="I19" s="12">
        <v>841.73800000000006</v>
      </c>
      <c r="J19" s="12">
        <v>795.84</v>
      </c>
      <c r="K19" s="5">
        <v>3.2528928266766205E-2</v>
      </c>
      <c r="L19" s="5">
        <v>5.0464307361874884E-2</v>
      </c>
      <c r="M19" s="8">
        <v>9.3200000000000005E-2</v>
      </c>
      <c r="N19" s="12">
        <v>23787.319166666701</v>
      </c>
      <c r="O19" s="3">
        <f t="shared" si="2"/>
        <v>16</v>
      </c>
      <c r="P19" s="13">
        <v>2008</v>
      </c>
      <c r="Q19" s="14">
        <v>139.74</v>
      </c>
      <c r="R19" s="14">
        <v>183.07</v>
      </c>
      <c r="S19" s="2">
        <f t="shared" si="0"/>
        <v>18.15720751816248</v>
      </c>
      <c r="T19" s="8">
        <f t="shared" si="3"/>
        <v>8.9474397021400948E-2</v>
      </c>
      <c r="U19" s="8">
        <f t="shared" si="4"/>
        <v>4.5298929387706001E-2</v>
      </c>
      <c r="V19" s="9">
        <f t="shared" si="5"/>
        <v>0.97519893363493138</v>
      </c>
      <c r="W19">
        <f t="shared" si="6"/>
        <v>1.4222167772416565</v>
      </c>
      <c r="X19">
        <f t="shared" si="1"/>
        <v>6.8114395137221555</v>
      </c>
      <c r="Y19" s="8">
        <f t="shared" si="7"/>
        <v>0.14321063394683028</v>
      </c>
      <c r="Z19" s="8">
        <f t="shared" si="8"/>
        <v>5.8759682244523548E-2</v>
      </c>
      <c r="AA19" s="10">
        <f t="shared" si="9"/>
        <v>6.06710717332338E-2</v>
      </c>
    </row>
    <row r="20" spans="1:27" x14ac:dyDescent="0.3">
      <c r="A20" t="s">
        <v>45</v>
      </c>
      <c r="B20" s="11">
        <v>2023</v>
      </c>
      <c r="C20" s="12">
        <v>25.007000000000001</v>
      </c>
      <c r="D20" s="12">
        <v>7101.241</v>
      </c>
      <c r="E20" s="12">
        <v>5910.4639999999999</v>
      </c>
      <c r="F20" s="12">
        <v>5148.4290000000001</v>
      </c>
      <c r="G20" s="12">
        <v>13011.704</v>
      </c>
      <c r="H20" s="12">
        <v>8345.4689999999991</v>
      </c>
      <c r="I20" s="12">
        <v>4666.2349999999997</v>
      </c>
      <c r="J20" s="12">
        <v>7141.61</v>
      </c>
      <c r="K20" s="5">
        <v>3.2528928266766205E-2</v>
      </c>
      <c r="L20" s="5">
        <v>5.0464307361874884E-2</v>
      </c>
      <c r="M20" s="8">
        <v>9.3200000000000005E-2</v>
      </c>
      <c r="N20" s="12">
        <v>23787.319166666701</v>
      </c>
      <c r="O20" s="3">
        <f t="shared" si="2"/>
        <v>28</v>
      </c>
      <c r="P20" s="13">
        <v>1996</v>
      </c>
      <c r="Q20" s="14">
        <v>139.74</v>
      </c>
      <c r="R20" s="14">
        <v>183.07</v>
      </c>
      <c r="S20" s="2">
        <f t="shared" si="0"/>
        <v>18.15720751816248</v>
      </c>
      <c r="T20" s="8">
        <f t="shared" si="3"/>
        <v>5.3591385774612726E-3</v>
      </c>
      <c r="U20" s="8">
        <f t="shared" si="4"/>
        <v>1.921885096679113E-3</v>
      </c>
      <c r="V20" s="9">
        <f t="shared" si="5"/>
        <v>1.7884802201346481</v>
      </c>
      <c r="W20">
        <f t="shared" si="6"/>
        <v>0.99434735304784216</v>
      </c>
      <c r="X20">
        <f t="shared" si="1"/>
        <v>8.8689061317272646</v>
      </c>
      <c r="Y20" s="8">
        <f t="shared" si="7"/>
        <v>0.39567676916105687</v>
      </c>
      <c r="Z20" s="8">
        <f t="shared" si="8"/>
        <v>5.8759682244523548E-2</v>
      </c>
      <c r="AA20" s="10">
        <f t="shared" si="9"/>
        <v>6.06710717332338E-2</v>
      </c>
    </row>
    <row r="21" spans="1:27" x14ac:dyDescent="0.3">
      <c r="A21" t="s">
        <v>46</v>
      </c>
      <c r="B21" s="11">
        <v>2023</v>
      </c>
      <c r="C21" s="12">
        <v>-33.414000000000001</v>
      </c>
      <c r="D21" s="12">
        <v>998.36400000000003</v>
      </c>
      <c r="E21" s="12">
        <v>445.69600000000003</v>
      </c>
      <c r="F21" s="12">
        <v>331.75599999999997</v>
      </c>
      <c r="G21" s="12">
        <v>1444.059</v>
      </c>
      <c r="H21" s="12">
        <v>543.51599999999996</v>
      </c>
      <c r="I21" s="12">
        <v>900.54399999999998</v>
      </c>
      <c r="J21" s="12">
        <v>533.80999999999995</v>
      </c>
      <c r="K21" s="5">
        <v>3.2528928266766205E-2</v>
      </c>
      <c r="L21" s="5">
        <v>5.0464307361874884E-2</v>
      </c>
      <c r="M21" s="8">
        <v>9.3200000000000005E-2</v>
      </c>
      <c r="N21" s="12">
        <v>23787.319166666701</v>
      </c>
      <c r="O21" s="3">
        <f t="shared" si="2"/>
        <v>51</v>
      </c>
      <c r="P21" s="13">
        <v>1973</v>
      </c>
      <c r="Q21" s="14">
        <v>139.74</v>
      </c>
      <c r="R21" s="14">
        <v>183.07</v>
      </c>
      <c r="S21" s="2">
        <f t="shared" si="0"/>
        <v>18.15720751816248</v>
      </c>
      <c r="T21" s="8">
        <f t="shared" si="3"/>
        <v>-3.7104239215407578E-2</v>
      </c>
      <c r="U21" s="8">
        <f t="shared" si="4"/>
        <v>-2.3138943768918032E-2</v>
      </c>
      <c r="V21" s="9">
        <f t="shared" si="5"/>
        <v>0.60354185914291802</v>
      </c>
      <c r="W21">
        <f t="shared" si="6"/>
        <v>1.8702609542721196</v>
      </c>
      <c r="X21">
        <f t="shared" si="1"/>
        <v>6.6705147699690066</v>
      </c>
      <c r="Y21" s="8">
        <f t="shared" si="7"/>
        <v>0.22973853561384955</v>
      </c>
      <c r="Z21" s="8">
        <f t="shared" si="8"/>
        <v>5.8759682244523548E-2</v>
      </c>
      <c r="AA21" s="10">
        <f t="shared" si="9"/>
        <v>6.06710717332338E-2</v>
      </c>
    </row>
    <row r="22" spans="1:27" x14ac:dyDescent="0.3">
      <c r="A22" t="s">
        <v>47</v>
      </c>
      <c r="B22" s="11">
        <v>2023</v>
      </c>
      <c r="C22" s="12">
        <v>246.334</v>
      </c>
      <c r="D22" s="12">
        <v>2291.8829999999998</v>
      </c>
      <c r="E22" s="12">
        <v>1092.454</v>
      </c>
      <c r="F22" s="12">
        <v>938.83900000000006</v>
      </c>
      <c r="G22" s="12">
        <v>3384.337</v>
      </c>
      <c r="H22" s="12">
        <v>1532.9590000000001</v>
      </c>
      <c r="I22" s="12">
        <v>1851.3779999999999</v>
      </c>
      <c r="J22" s="12">
        <v>1508.14</v>
      </c>
      <c r="K22" s="5">
        <v>3.2528928266766205E-2</v>
      </c>
      <c r="L22" s="5">
        <v>5.0464307361874884E-2</v>
      </c>
      <c r="M22" s="8">
        <v>9.3200000000000005E-2</v>
      </c>
      <c r="N22" s="12">
        <v>23787.319166666701</v>
      </c>
      <c r="O22" s="3">
        <f t="shared" si="2"/>
        <v>49</v>
      </c>
      <c r="P22" s="13">
        <v>1975</v>
      </c>
      <c r="Q22" s="14">
        <v>139.74</v>
      </c>
      <c r="R22" s="14">
        <v>183.07</v>
      </c>
      <c r="S22" s="2">
        <f t="shared" si="0"/>
        <v>18.15720751816248</v>
      </c>
      <c r="T22" s="8">
        <f t="shared" si="3"/>
        <v>0.13305440596139742</v>
      </c>
      <c r="U22" s="8">
        <f t="shared" si="4"/>
        <v>7.2786486688530133E-2</v>
      </c>
      <c r="V22" s="9">
        <f t="shared" si="5"/>
        <v>0.82800973113000165</v>
      </c>
      <c r="W22">
        <f t="shared" si="6"/>
        <v>1.5196752290901372</v>
      </c>
      <c r="X22">
        <f t="shared" si="1"/>
        <v>7.522214894681313</v>
      </c>
      <c r="Y22" s="8">
        <f t="shared" si="7"/>
        <v>0.27740706673123866</v>
      </c>
      <c r="Z22" s="8">
        <f t="shared" si="8"/>
        <v>5.8759682244523548E-2</v>
      </c>
      <c r="AA22" s="10">
        <f t="shared" si="9"/>
        <v>6.06710717332338E-2</v>
      </c>
    </row>
    <row r="23" spans="1:27" x14ac:dyDescent="0.3">
      <c r="A23" t="s">
        <v>48</v>
      </c>
      <c r="B23" s="11">
        <v>2023</v>
      </c>
      <c r="C23" s="12">
        <v>18.641999999999999</v>
      </c>
      <c r="D23" s="12">
        <v>770.38499999999999</v>
      </c>
      <c r="E23" s="12">
        <v>585.48599999999999</v>
      </c>
      <c r="F23" s="12">
        <v>352.16500000000002</v>
      </c>
      <c r="G23" s="12">
        <v>1355.8710000000001</v>
      </c>
      <c r="H23" s="12">
        <v>355.9</v>
      </c>
      <c r="I23" s="12">
        <v>999.971</v>
      </c>
      <c r="J23" s="12">
        <v>233.68</v>
      </c>
      <c r="K23" s="5">
        <v>3.2528928266766205E-2</v>
      </c>
      <c r="L23" s="5">
        <v>5.0464307361874884E-2</v>
      </c>
      <c r="M23" s="8">
        <v>9.3200000000000005E-2</v>
      </c>
      <c r="N23" s="12">
        <v>23787.319166666701</v>
      </c>
      <c r="O23" s="3">
        <f t="shared" si="2"/>
        <v>31</v>
      </c>
      <c r="P23" s="13">
        <v>1993</v>
      </c>
      <c r="Q23" s="14">
        <v>139.74</v>
      </c>
      <c r="R23" s="14">
        <v>183.07</v>
      </c>
      <c r="S23" s="2">
        <f t="shared" si="0"/>
        <v>18.15720751816248</v>
      </c>
      <c r="T23" s="8">
        <f t="shared" si="3"/>
        <v>1.8642540633678376E-2</v>
      </c>
      <c r="U23" s="8">
        <f t="shared" si="4"/>
        <v>1.3749095599802634E-2</v>
      </c>
      <c r="V23" s="9">
        <f t="shared" si="5"/>
        <v>0.35591032139932055</v>
      </c>
      <c r="W23">
        <f t="shared" si="6"/>
        <v>3.296751968503937</v>
      </c>
      <c r="X23">
        <f t="shared" si="1"/>
        <v>6.6075009238567395</v>
      </c>
      <c r="Y23" s="8">
        <f t="shared" si="7"/>
        <v>0.25973341121684879</v>
      </c>
      <c r="Z23" s="8">
        <f t="shared" si="8"/>
        <v>5.8759682244523548E-2</v>
      </c>
      <c r="AA23" s="10">
        <f t="shared" si="9"/>
        <v>6.06710717332338E-2</v>
      </c>
    </row>
    <row r="24" spans="1:27" x14ac:dyDescent="0.3">
      <c r="A24" t="s">
        <v>49</v>
      </c>
      <c r="B24" s="11">
        <v>2023</v>
      </c>
      <c r="C24" s="12">
        <v>302.33600000000001</v>
      </c>
      <c r="D24" s="12">
        <v>2127.0509999999999</v>
      </c>
      <c r="E24" s="12">
        <v>1229.133</v>
      </c>
      <c r="F24" s="12">
        <v>848.375</v>
      </c>
      <c r="G24" s="12">
        <v>3356.1840000000002</v>
      </c>
      <c r="H24" s="12">
        <v>1122.0440000000001</v>
      </c>
      <c r="I24" s="12">
        <v>2234.1410000000001</v>
      </c>
      <c r="J24" s="12">
        <v>1111.72</v>
      </c>
      <c r="K24" s="5">
        <v>3.2528928266766205E-2</v>
      </c>
      <c r="L24" s="5">
        <v>5.0464307361874884E-2</v>
      </c>
      <c r="M24" s="8">
        <v>9.3200000000000005E-2</v>
      </c>
      <c r="N24" s="12">
        <v>23787.319166666701</v>
      </c>
      <c r="O24" s="3">
        <f t="shared" si="2"/>
        <v>28</v>
      </c>
      <c r="P24" s="13">
        <v>1996</v>
      </c>
      <c r="Q24" s="14">
        <v>139.74</v>
      </c>
      <c r="R24" s="14">
        <v>183.07</v>
      </c>
      <c r="S24" s="2">
        <f t="shared" si="0"/>
        <v>18.15720751816248</v>
      </c>
      <c r="T24" s="8">
        <f t="shared" si="3"/>
        <v>0.13532538904214192</v>
      </c>
      <c r="U24" s="8">
        <f t="shared" si="4"/>
        <v>9.0083261227632327E-2</v>
      </c>
      <c r="V24" s="9">
        <f t="shared" si="5"/>
        <v>0.50222613523497406</v>
      </c>
      <c r="W24">
        <f t="shared" si="6"/>
        <v>1.9132974130176663</v>
      </c>
      <c r="X24">
        <f t="shared" si="1"/>
        <v>7.5138614858845187</v>
      </c>
      <c r="Y24" s="8">
        <f t="shared" si="7"/>
        <v>0.25277964497774852</v>
      </c>
      <c r="Z24" s="8">
        <f t="shared" si="8"/>
        <v>5.8759682244523548E-2</v>
      </c>
      <c r="AA24" s="10">
        <f t="shared" si="9"/>
        <v>6.06710717332338E-2</v>
      </c>
    </row>
    <row r="25" spans="1:27" x14ac:dyDescent="0.3">
      <c r="A25" t="s">
        <v>50</v>
      </c>
      <c r="B25" s="11">
        <v>2023</v>
      </c>
      <c r="C25" s="12">
        <v>36.692</v>
      </c>
      <c r="D25" s="12">
        <v>271.94400000000002</v>
      </c>
      <c r="E25" s="12">
        <v>136.964</v>
      </c>
      <c r="F25" s="12">
        <v>128.70599999999999</v>
      </c>
      <c r="G25" s="12">
        <v>408.90699999999998</v>
      </c>
      <c r="H25" s="12">
        <v>117.251</v>
      </c>
      <c r="I25" s="12">
        <v>291.65600000000001</v>
      </c>
      <c r="J25" s="12">
        <v>114.61</v>
      </c>
      <c r="K25" s="5">
        <v>3.2528928266766205E-2</v>
      </c>
      <c r="L25" s="5">
        <v>5.0464307361874884E-2</v>
      </c>
      <c r="M25" s="8">
        <v>9.3200000000000005E-2</v>
      </c>
      <c r="N25" s="12">
        <v>23787.319166666701</v>
      </c>
      <c r="O25" s="3">
        <f t="shared" si="2"/>
        <v>33</v>
      </c>
      <c r="P25" s="13">
        <v>1991</v>
      </c>
      <c r="Q25" s="14">
        <v>139.74</v>
      </c>
      <c r="R25" s="14">
        <v>183.07</v>
      </c>
      <c r="S25" s="2">
        <f t="shared" si="0"/>
        <v>18.15720751816248</v>
      </c>
      <c r="T25" s="8">
        <f t="shared" si="3"/>
        <v>0.1258057437529144</v>
      </c>
      <c r="U25" s="8">
        <f t="shared" si="4"/>
        <v>8.9731895027475694E-2</v>
      </c>
      <c r="V25" s="9">
        <f t="shared" si="5"/>
        <v>0.40201813094878897</v>
      </c>
      <c r="W25">
        <f t="shared" si="6"/>
        <v>2.3727772445685371</v>
      </c>
      <c r="X25">
        <f t="shared" si="1"/>
        <v>5.4087893389492594</v>
      </c>
      <c r="Y25" s="8">
        <f t="shared" si="7"/>
        <v>0.31475616705020942</v>
      </c>
      <c r="Z25" s="8">
        <f t="shared" si="8"/>
        <v>5.8759682244523548E-2</v>
      </c>
      <c r="AA25" s="10">
        <f t="shared" si="9"/>
        <v>6.06710717332338E-2</v>
      </c>
    </row>
    <row r="26" spans="1:27" x14ac:dyDescent="0.3">
      <c r="A26" t="s">
        <v>51</v>
      </c>
      <c r="B26" s="11">
        <v>2023</v>
      </c>
      <c r="C26" s="12">
        <v>28.881</v>
      </c>
      <c r="D26" s="12">
        <v>2873.1819999999998</v>
      </c>
      <c r="E26" s="12">
        <v>483.97699999999998</v>
      </c>
      <c r="F26" s="12">
        <v>249.25299999999999</v>
      </c>
      <c r="G26" s="12">
        <v>3357.1590000000001</v>
      </c>
      <c r="H26" s="12">
        <v>813.58699999999999</v>
      </c>
      <c r="I26" s="12">
        <v>2543.5720000000001</v>
      </c>
      <c r="J26" s="12">
        <v>641.5</v>
      </c>
      <c r="K26" s="5">
        <v>3.2528928266766205E-2</v>
      </c>
      <c r="L26" s="5">
        <v>5.0464307361874884E-2</v>
      </c>
      <c r="M26" s="8">
        <v>9.3200000000000005E-2</v>
      </c>
      <c r="N26" s="12">
        <v>23787.319166666701</v>
      </c>
      <c r="O26" s="3">
        <f t="shared" si="2"/>
        <v>42</v>
      </c>
      <c r="P26" s="13">
        <v>1982</v>
      </c>
      <c r="Q26" s="14">
        <v>139.74</v>
      </c>
      <c r="R26" s="14">
        <v>183.07</v>
      </c>
      <c r="S26" s="2">
        <f t="shared" si="0"/>
        <v>18.15720751816248</v>
      </c>
      <c r="T26" s="8">
        <f t="shared" si="3"/>
        <v>1.1354504610052319E-2</v>
      </c>
      <c r="U26" s="8">
        <f t="shared" si="4"/>
        <v>8.6028096971278393E-3</v>
      </c>
      <c r="V26" s="9">
        <f t="shared" si="5"/>
        <v>0.31986002362032606</v>
      </c>
      <c r="W26">
        <f t="shared" si="6"/>
        <v>4.4788495713172249</v>
      </c>
      <c r="X26">
        <f t="shared" si="1"/>
        <v>7.5141519522011828</v>
      </c>
      <c r="Y26" s="8">
        <f t="shared" si="7"/>
        <v>7.4245217459167109E-2</v>
      </c>
      <c r="Z26" s="8">
        <f t="shared" si="8"/>
        <v>5.8759682244523548E-2</v>
      </c>
      <c r="AA26" s="10">
        <f t="shared" si="9"/>
        <v>6.06710717332338E-2</v>
      </c>
    </row>
    <row r="27" spans="1:27" x14ac:dyDescent="0.3">
      <c r="A27" t="s">
        <v>52</v>
      </c>
      <c r="B27" s="11">
        <v>2023</v>
      </c>
      <c r="C27" s="12">
        <v>-51.945</v>
      </c>
      <c r="D27" s="12">
        <v>204.68799999999999</v>
      </c>
      <c r="E27" s="12">
        <v>214.39</v>
      </c>
      <c r="F27" s="12">
        <v>152.857</v>
      </c>
      <c r="G27" s="12">
        <v>419.07799999999997</v>
      </c>
      <c r="H27" s="12">
        <v>26.7</v>
      </c>
      <c r="I27" s="12">
        <v>392.37799999999999</v>
      </c>
      <c r="J27" s="12">
        <v>10.61</v>
      </c>
      <c r="K27" s="5">
        <v>3.2528928266766205E-2</v>
      </c>
      <c r="L27" s="5">
        <v>5.0464307361874884E-2</v>
      </c>
      <c r="M27" s="8">
        <v>9.3200000000000005E-2</v>
      </c>
      <c r="N27" s="12">
        <v>23787.319166666701</v>
      </c>
      <c r="O27" s="3">
        <f t="shared" si="2"/>
        <v>48</v>
      </c>
      <c r="P27" s="13">
        <v>1976</v>
      </c>
      <c r="Q27" s="14">
        <v>139.74</v>
      </c>
      <c r="R27" s="14">
        <v>183.07</v>
      </c>
      <c r="S27" s="2">
        <f t="shared" si="0"/>
        <v>18.15720751816248</v>
      </c>
      <c r="T27" s="8">
        <f t="shared" si="3"/>
        <v>-0.13238509804321344</v>
      </c>
      <c r="U27" s="8">
        <f t="shared" si="4"/>
        <v>-0.12395067266714073</v>
      </c>
      <c r="V27" s="9">
        <f t="shared" si="5"/>
        <v>6.8046628506185369E-2</v>
      </c>
      <c r="W27">
        <f t="shared" si="6"/>
        <v>19.291988689915176</v>
      </c>
      <c r="X27">
        <f t="shared" si="1"/>
        <v>5.4333586527400453</v>
      </c>
      <c r="Y27" s="8">
        <f t="shared" si="7"/>
        <v>0.36474594228282087</v>
      </c>
      <c r="Z27" s="8">
        <f t="shared" si="8"/>
        <v>5.8759682244523548E-2</v>
      </c>
      <c r="AA27" s="10">
        <f t="shared" si="9"/>
        <v>6.06710717332338E-2</v>
      </c>
    </row>
    <row r="28" spans="1:27" x14ac:dyDescent="0.3">
      <c r="A28" t="s">
        <v>53</v>
      </c>
      <c r="B28" s="11">
        <v>2023</v>
      </c>
      <c r="C28" s="12">
        <v>1781.6859999999999</v>
      </c>
      <c r="D28" s="12">
        <v>8768.5259999999998</v>
      </c>
      <c r="E28" s="12">
        <v>12134.73</v>
      </c>
      <c r="F28" s="12">
        <v>5997.88</v>
      </c>
      <c r="G28" s="12">
        <v>20903.255000000001</v>
      </c>
      <c r="H28" s="12">
        <v>14225.785</v>
      </c>
      <c r="I28" s="12">
        <v>6677.47</v>
      </c>
      <c r="J28" s="12">
        <v>9710.4</v>
      </c>
      <c r="K28" s="5">
        <v>3.2528928266766205E-2</v>
      </c>
      <c r="L28" s="5">
        <v>5.0464307361874884E-2</v>
      </c>
      <c r="M28" s="8">
        <v>9.3200000000000005E-2</v>
      </c>
      <c r="N28" s="12">
        <v>23787.319166666701</v>
      </c>
      <c r="O28" s="3">
        <f t="shared" si="2"/>
        <v>31</v>
      </c>
      <c r="P28" s="13">
        <v>1993</v>
      </c>
      <c r="Q28" s="14">
        <v>139.74</v>
      </c>
      <c r="R28" s="14">
        <v>183.07</v>
      </c>
      <c r="S28" s="2">
        <f t="shared" si="0"/>
        <v>18.15720751816248</v>
      </c>
      <c r="T28" s="8">
        <f t="shared" si="3"/>
        <v>0.26682051735163165</v>
      </c>
      <c r="U28" s="8">
        <f t="shared" si="4"/>
        <v>8.5234859355636225E-2</v>
      </c>
      <c r="V28" s="9">
        <f t="shared" si="5"/>
        <v>2.1304154118251373</v>
      </c>
      <c r="W28">
        <f t="shared" si="6"/>
        <v>0.90300358378645573</v>
      </c>
      <c r="X28">
        <f t="shared" si="1"/>
        <v>9.3429617600783974</v>
      </c>
      <c r="Y28" s="8">
        <f t="shared" si="7"/>
        <v>0.28693521654881021</v>
      </c>
      <c r="Z28" s="8">
        <f t="shared" si="8"/>
        <v>5.8759682244523548E-2</v>
      </c>
      <c r="AA28" s="10">
        <f t="shared" si="9"/>
        <v>6.06710717332338E-2</v>
      </c>
    </row>
    <row r="29" spans="1:27" x14ac:dyDescent="0.3">
      <c r="A29" t="s">
        <v>54</v>
      </c>
      <c r="B29" s="11">
        <v>2023</v>
      </c>
      <c r="C29" s="12">
        <v>37.055999999999997</v>
      </c>
      <c r="D29" s="12">
        <v>1071.7650000000001</v>
      </c>
      <c r="E29" s="12">
        <v>934.52300000000002</v>
      </c>
      <c r="F29" s="12">
        <v>381.31</v>
      </c>
      <c r="G29" s="12">
        <v>2006.288</v>
      </c>
      <c r="H29" s="12">
        <v>842.28399999999999</v>
      </c>
      <c r="I29" s="12">
        <v>1164.0039999999999</v>
      </c>
      <c r="J29" s="12">
        <v>839.43</v>
      </c>
      <c r="K29" s="5">
        <v>3.2528928266766205E-2</v>
      </c>
      <c r="L29" s="5">
        <v>5.0464307361874884E-2</v>
      </c>
      <c r="M29" s="8">
        <v>9.3200000000000005E-2</v>
      </c>
      <c r="N29" s="12">
        <v>23787.319166666701</v>
      </c>
      <c r="O29" s="3">
        <f t="shared" si="2"/>
        <v>32</v>
      </c>
      <c r="P29" s="13">
        <v>1992</v>
      </c>
      <c r="Q29" s="14">
        <v>139.74</v>
      </c>
      <c r="R29" s="14">
        <v>183.07</v>
      </c>
      <c r="S29" s="2">
        <f t="shared" si="0"/>
        <v>18.15720751816248</v>
      </c>
      <c r="T29" s="8">
        <f t="shared" si="3"/>
        <v>3.1834942147965124E-2</v>
      </c>
      <c r="U29" s="8">
        <f t="shared" si="4"/>
        <v>1.8469930538387309E-2</v>
      </c>
      <c r="V29" s="9">
        <f t="shared" si="5"/>
        <v>0.72360919721925354</v>
      </c>
      <c r="W29">
        <f t="shared" si="6"/>
        <v>1.2767770987455775</v>
      </c>
      <c r="X29">
        <f t="shared" si="1"/>
        <v>6.9993431201340881</v>
      </c>
      <c r="Y29" s="8">
        <f t="shared" si="7"/>
        <v>0.19005745934781049</v>
      </c>
      <c r="Z29" s="8">
        <f t="shared" si="8"/>
        <v>5.8759682244523548E-2</v>
      </c>
      <c r="AA29" s="10">
        <f t="shared" si="9"/>
        <v>6.06710717332338E-2</v>
      </c>
    </row>
    <row r="30" spans="1:27" x14ac:dyDescent="0.3">
      <c r="A30" t="s">
        <v>55</v>
      </c>
      <c r="B30" s="11">
        <v>2023</v>
      </c>
      <c r="C30" s="12">
        <v>351.851</v>
      </c>
      <c r="D30" s="12">
        <v>1036.383</v>
      </c>
      <c r="E30" s="12">
        <v>3637.2080000000001</v>
      </c>
      <c r="F30" s="12">
        <v>7.1130000000000004</v>
      </c>
      <c r="G30" s="12">
        <v>4673.5910000000003</v>
      </c>
      <c r="H30" s="12">
        <v>172.31</v>
      </c>
      <c r="I30" s="12">
        <v>4501.2809999999999</v>
      </c>
      <c r="J30" s="12">
        <v>171.64</v>
      </c>
      <c r="K30" s="5">
        <v>3.2528928266766205E-2</v>
      </c>
      <c r="L30" s="5">
        <v>5.0464307361874884E-2</v>
      </c>
      <c r="M30" s="8">
        <v>9.3200000000000005E-2</v>
      </c>
      <c r="N30" s="12">
        <v>23787.319166666701</v>
      </c>
      <c r="O30" s="3">
        <f t="shared" si="2"/>
        <v>16</v>
      </c>
      <c r="P30" s="13">
        <v>2008</v>
      </c>
      <c r="Q30" s="14">
        <v>139.74</v>
      </c>
      <c r="R30" s="14">
        <v>183.07</v>
      </c>
      <c r="S30" s="2">
        <f t="shared" si="0"/>
        <v>18.15720751816248</v>
      </c>
      <c r="T30" s="8">
        <f t="shared" si="3"/>
        <v>7.8166859611741635E-2</v>
      </c>
      <c r="U30" s="8">
        <f t="shared" si="4"/>
        <v>7.5284936144390899E-2</v>
      </c>
      <c r="V30" s="9">
        <f t="shared" si="5"/>
        <v>3.8280214010189544E-2</v>
      </c>
      <c r="W30">
        <f t="shared" si="6"/>
        <v>6.0381204847354937</v>
      </c>
      <c r="X30">
        <f t="shared" si="1"/>
        <v>7.8449845985464171</v>
      </c>
      <c r="Y30" s="8">
        <f t="shared" si="7"/>
        <v>1.5219560291005352E-3</v>
      </c>
      <c r="Z30" s="8">
        <f t="shared" si="8"/>
        <v>5.8759682244523548E-2</v>
      </c>
      <c r="AA30" s="10">
        <f t="shared" si="9"/>
        <v>6.06710717332338E-2</v>
      </c>
    </row>
    <row r="31" spans="1:27" hidden="1" x14ac:dyDescent="0.3">
      <c r="A31" t="s">
        <v>56</v>
      </c>
      <c r="B31" s="11">
        <v>2023</v>
      </c>
      <c r="C31" s="12">
        <v>-1098.461</v>
      </c>
      <c r="D31" s="12">
        <v>2658.7829999999999</v>
      </c>
      <c r="E31" s="12">
        <v>11436.995999999999</v>
      </c>
      <c r="F31" s="12">
        <v>5585.165</v>
      </c>
      <c r="G31" s="12">
        <v>14095.779</v>
      </c>
      <c r="H31" s="12">
        <v>11840.072</v>
      </c>
      <c r="I31" s="12">
        <v>2255.7069999999999</v>
      </c>
      <c r="J31" s="12">
        <v>9609.41</v>
      </c>
      <c r="K31" s="5">
        <v>3.2528928266766205E-2</v>
      </c>
      <c r="L31" s="5">
        <v>5.0464307361874884E-2</v>
      </c>
      <c r="M31" s="8">
        <v>9.3200000000000005E-2</v>
      </c>
      <c r="N31" s="12">
        <v>23787.319166666701</v>
      </c>
      <c r="O31" s="3">
        <f t="shared" si="2"/>
        <v>14</v>
      </c>
      <c r="P31" s="13">
        <v>2010</v>
      </c>
      <c r="Q31" s="14">
        <v>139.74</v>
      </c>
      <c r="R31" s="14">
        <v>183.07</v>
      </c>
      <c r="S31" s="2">
        <f t="shared" si="0"/>
        <v>18.15720751816248</v>
      </c>
      <c r="T31" s="8">
        <f t="shared" si="3"/>
        <v>-0.48696971725494492</v>
      </c>
      <c r="U31" s="8">
        <f t="shared" si="4"/>
        <v>-7.7928364228752448E-2</v>
      </c>
      <c r="V31" s="9">
        <f t="shared" si="5"/>
        <v>5.2489405760588594</v>
      </c>
      <c r="W31">
        <f t="shared" si="6"/>
        <v>0.27668535321107124</v>
      </c>
      <c r="X31">
        <f t="shared" si="1"/>
        <v>8.9489322624716419</v>
      </c>
      <c r="Y31" s="8">
        <f t="shared" si="7"/>
        <v>0.3962296088779485</v>
      </c>
      <c r="Z31" s="8">
        <f t="shared" si="8"/>
        <v>5.8759682244523548E-2</v>
      </c>
      <c r="AA31" s="10">
        <f t="shared" si="9"/>
        <v>6.06710717332338E-2</v>
      </c>
    </row>
    <row r="32" spans="1:27" x14ac:dyDescent="0.3">
      <c r="A32" t="s">
        <v>57</v>
      </c>
      <c r="B32" s="11">
        <v>2023</v>
      </c>
      <c r="C32" s="12">
        <v>12.061999999999999</v>
      </c>
      <c r="D32" s="12">
        <v>266.16300000000001</v>
      </c>
      <c r="E32" s="12">
        <v>213.952</v>
      </c>
      <c r="F32" s="12">
        <v>46.207000000000001</v>
      </c>
      <c r="G32" s="12">
        <v>480.11500000000001</v>
      </c>
      <c r="H32" s="12">
        <v>40.009</v>
      </c>
      <c r="I32" s="12">
        <v>440.10599999999999</v>
      </c>
      <c r="J32" s="12">
        <v>31.77</v>
      </c>
      <c r="K32" s="5">
        <v>3.2528928266766205E-2</v>
      </c>
      <c r="L32" s="5">
        <v>5.0464307361874884E-2</v>
      </c>
      <c r="M32" s="8">
        <v>9.3200000000000005E-2</v>
      </c>
      <c r="N32" s="12">
        <v>23787.319166666701</v>
      </c>
      <c r="O32" s="3">
        <f t="shared" si="2"/>
        <v>9</v>
      </c>
      <c r="P32" s="13">
        <v>2015</v>
      </c>
      <c r="Q32" s="14">
        <v>139.74</v>
      </c>
      <c r="R32" s="14">
        <v>183.07</v>
      </c>
      <c r="S32" s="2">
        <f t="shared" si="0"/>
        <v>18.15720751816248</v>
      </c>
      <c r="T32" s="8">
        <f t="shared" si="3"/>
        <v>2.7407033760048716E-2</v>
      </c>
      <c r="U32" s="8">
        <f t="shared" si="4"/>
        <v>2.5123147579225808E-2</v>
      </c>
      <c r="V32" s="9">
        <f t="shared" si="5"/>
        <v>9.0907644976437496E-2</v>
      </c>
      <c r="W32">
        <f t="shared" si="6"/>
        <v>8.3778092540132203</v>
      </c>
      <c r="X32">
        <f t="shared" si="1"/>
        <v>5.5693272511649345</v>
      </c>
      <c r="Y32" s="8">
        <f t="shared" si="7"/>
        <v>9.6241525467856665E-2</v>
      </c>
      <c r="Z32" s="8">
        <f t="shared" si="8"/>
        <v>5.8759682244523548E-2</v>
      </c>
      <c r="AA32" s="10">
        <f t="shared" si="9"/>
        <v>6.06710717332338E-2</v>
      </c>
    </row>
    <row r="33" spans="1:27" x14ac:dyDescent="0.3">
      <c r="A33" t="s">
        <v>58</v>
      </c>
      <c r="B33" s="11">
        <v>2023</v>
      </c>
      <c r="C33" s="12">
        <v>169.87299999999999</v>
      </c>
      <c r="D33" s="12">
        <v>1761.376</v>
      </c>
      <c r="E33" s="12">
        <v>746.34500000000003</v>
      </c>
      <c r="F33" s="12">
        <v>665.74400000000003</v>
      </c>
      <c r="G33" s="12">
        <v>2507.721</v>
      </c>
      <c r="H33" s="12">
        <v>1670.915</v>
      </c>
      <c r="I33" s="12">
        <v>836.80600000000004</v>
      </c>
      <c r="J33" s="12">
        <v>1441.46</v>
      </c>
      <c r="K33" s="5">
        <v>3.2528928266766205E-2</v>
      </c>
      <c r="L33" s="5">
        <v>5.0464307361874884E-2</v>
      </c>
      <c r="M33" s="8">
        <v>9.3200000000000005E-2</v>
      </c>
      <c r="N33" s="12">
        <v>23787.319166666701</v>
      </c>
      <c r="O33" s="3">
        <f t="shared" si="2"/>
        <v>62</v>
      </c>
      <c r="P33" s="13">
        <v>1962</v>
      </c>
      <c r="Q33" s="14">
        <v>139.74</v>
      </c>
      <c r="R33" s="14">
        <v>183.07</v>
      </c>
      <c r="S33" s="2">
        <f t="shared" si="0"/>
        <v>18.15720751816248</v>
      </c>
      <c r="T33" s="8">
        <f t="shared" si="3"/>
        <v>0.20300165151779503</v>
      </c>
      <c r="U33" s="8">
        <f t="shared" si="4"/>
        <v>6.7739991809296171E-2</v>
      </c>
      <c r="V33" s="9">
        <f t="shared" si="5"/>
        <v>1.9967770307574275</v>
      </c>
      <c r="W33">
        <f t="shared" si="6"/>
        <v>1.2219388675370804</v>
      </c>
      <c r="X33">
        <f t="shared" si="1"/>
        <v>7.2224312441707657</v>
      </c>
      <c r="Y33" s="8">
        <f t="shared" si="7"/>
        <v>0.26547769867541088</v>
      </c>
      <c r="Z33" s="8">
        <f t="shared" si="8"/>
        <v>5.8759682244523548E-2</v>
      </c>
      <c r="AA33" s="10">
        <f t="shared" si="9"/>
        <v>6.06710717332338E-2</v>
      </c>
    </row>
    <row r="34" spans="1:27" x14ac:dyDescent="0.3">
      <c r="A34" t="s">
        <v>59</v>
      </c>
      <c r="B34" s="11">
        <v>2023</v>
      </c>
      <c r="C34" s="12">
        <v>38.323</v>
      </c>
      <c r="D34" s="12">
        <v>387.89100000000002</v>
      </c>
      <c r="E34" s="12">
        <v>60.304000000000002</v>
      </c>
      <c r="F34" s="12">
        <v>30.574000000000002</v>
      </c>
      <c r="G34" s="12">
        <v>448.19499999999999</v>
      </c>
      <c r="H34" s="12">
        <v>189.44399999999999</v>
      </c>
      <c r="I34" s="12">
        <v>258.75099999999998</v>
      </c>
      <c r="J34" s="12">
        <v>188</v>
      </c>
      <c r="K34" s="5">
        <v>3.2528928266766205E-2</v>
      </c>
      <c r="L34" s="5">
        <v>5.0464307361874884E-2</v>
      </c>
      <c r="M34" s="8">
        <v>9.3200000000000005E-2</v>
      </c>
      <c r="N34" s="12">
        <v>23787.319166666701</v>
      </c>
      <c r="O34" s="3">
        <f t="shared" si="2"/>
        <v>26</v>
      </c>
      <c r="P34" s="13">
        <v>1998</v>
      </c>
      <c r="Q34" s="14">
        <v>139.74</v>
      </c>
      <c r="R34" s="14">
        <v>183.07</v>
      </c>
      <c r="S34" s="2">
        <f t="shared" si="0"/>
        <v>18.15720751816248</v>
      </c>
      <c r="T34" s="8">
        <f t="shared" si="3"/>
        <v>0.14810764016370953</v>
      </c>
      <c r="U34" s="8">
        <f t="shared" si="4"/>
        <v>8.5505193052131334E-2</v>
      </c>
      <c r="V34" s="9">
        <f t="shared" si="5"/>
        <v>0.73214789508059874</v>
      </c>
      <c r="W34">
        <f t="shared" si="6"/>
        <v>2.06325</v>
      </c>
      <c r="X34">
        <f t="shared" si="1"/>
        <v>5.5005299981957219</v>
      </c>
      <c r="Y34" s="8">
        <f t="shared" si="7"/>
        <v>6.8215843550240407E-2</v>
      </c>
      <c r="Z34" s="8">
        <f t="shared" si="8"/>
        <v>5.8759682244523548E-2</v>
      </c>
      <c r="AA34" s="10">
        <f t="shared" si="9"/>
        <v>6.06710717332338E-2</v>
      </c>
    </row>
    <row r="35" spans="1:27" x14ac:dyDescent="0.3">
      <c r="A35" t="s">
        <v>60</v>
      </c>
      <c r="B35" s="11">
        <v>2023</v>
      </c>
      <c r="C35" s="12">
        <v>73.353999999999999</v>
      </c>
      <c r="D35" s="12">
        <v>5537.2860000000001</v>
      </c>
      <c r="E35" s="12">
        <v>2740.1619999999998</v>
      </c>
      <c r="F35" s="12">
        <v>909.00300000000004</v>
      </c>
      <c r="G35" s="12">
        <v>8277.4480000000003</v>
      </c>
      <c r="H35" s="12">
        <v>4855.8919999999998</v>
      </c>
      <c r="I35" s="12">
        <v>3421.5569999999998</v>
      </c>
      <c r="J35" s="12">
        <v>4530.16</v>
      </c>
      <c r="K35" s="5">
        <v>3.2528928266766205E-2</v>
      </c>
      <c r="L35" s="5">
        <v>5.0464307361874884E-2</v>
      </c>
      <c r="M35" s="8">
        <v>9.3200000000000005E-2</v>
      </c>
      <c r="N35" s="12">
        <v>23787.319166666701</v>
      </c>
      <c r="O35" s="3">
        <f t="shared" si="2"/>
        <v>21</v>
      </c>
      <c r="P35" s="13">
        <v>2003</v>
      </c>
      <c r="Q35" s="14">
        <v>139.74</v>
      </c>
      <c r="R35" s="14">
        <v>183.07</v>
      </c>
      <c r="S35" s="2">
        <f t="shared" si="0"/>
        <v>18.15720751816248</v>
      </c>
      <c r="T35" s="8">
        <f t="shared" si="3"/>
        <v>2.1438777726046944E-2</v>
      </c>
      <c r="U35" s="8">
        <f t="shared" si="4"/>
        <v>8.8619100959619439E-3</v>
      </c>
      <c r="V35" s="9">
        <f t="shared" si="5"/>
        <v>1.4192053500789261</v>
      </c>
      <c r="W35">
        <f t="shared" si="6"/>
        <v>1.2223157680964911</v>
      </c>
      <c r="X35">
        <f t="shared" si="1"/>
        <v>8.4165915799368332</v>
      </c>
      <c r="Y35" s="8">
        <f t="shared" si="7"/>
        <v>0.10981681793712265</v>
      </c>
      <c r="Z35" s="8">
        <f t="shared" si="8"/>
        <v>5.8759682244523548E-2</v>
      </c>
      <c r="AA35" s="10">
        <f t="shared" si="9"/>
        <v>6.06710717332338E-2</v>
      </c>
    </row>
    <row r="36" spans="1:27" x14ac:dyDescent="0.3">
      <c r="A36" t="s">
        <v>61</v>
      </c>
      <c r="B36" s="11">
        <v>2023</v>
      </c>
      <c r="C36" s="12">
        <v>135.184</v>
      </c>
      <c r="D36" s="12">
        <v>6964.1360000000004</v>
      </c>
      <c r="E36" s="12">
        <v>5426.8779999999997</v>
      </c>
      <c r="F36" s="12">
        <v>2582.1799999999998</v>
      </c>
      <c r="G36" s="12">
        <v>12391.013999999999</v>
      </c>
      <c r="H36" s="12">
        <v>5277.0950000000003</v>
      </c>
      <c r="I36" s="12">
        <v>7113.92</v>
      </c>
      <c r="J36" s="12">
        <v>4214.0600000000004</v>
      </c>
      <c r="K36" s="5">
        <v>3.2528928266766205E-2</v>
      </c>
      <c r="L36" s="5">
        <v>5.0464307361874884E-2</v>
      </c>
      <c r="M36" s="8">
        <v>9.3200000000000005E-2</v>
      </c>
      <c r="N36" s="12">
        <v>23787.319166666701</v>
      </c>
      <c r="O36" s="3">
        <f t="shared" si="2"/>
        <v>31</v>
      </c>
      <c r="P36" s="13">
        <v>1993</v>
      </c>
      <c r="Q36" s="14">
        <v>139.74</v>
      </c>
      <c r="R36" s="14">
        <v>183.07</v>
      </c>
      <c r="S36" s="2">
        <f t="shared" si="0"/>
        <v>18.15720751816248</v>
      </c>
      <c r="T36" s="8">
        <f t="shared" si="3"/>
        <v>1.9002743916153118E-2</v>
      </c>
      <c r="U36" s="8">
        <f t="shared" si="4"/>
        <v>1.0909841599727028E-2</v>
      </c>
      <c r="V36" s="9">
        <f t="shared" si="5"/>
        <v>0.74179847397777876</v>
      </c>
      <c r="W36">
        <f t="shared" si="6"/>
        <v>1.6525953593446698</v>
      </c>
      <c r="X36">
        <f t="shared" si="1"/>
        <v>8.8200284040933354</v>
      </c>
      <c r="Y36" s="8">
        <f t="shared" si="7"/>
        <v>0.20839133907846444</v>
      </c>
      <c r="Z36" s="8">
        <f t="shared" si="8"/>
        <v>5.8759682244523548E-2</v>
      </c>
      <c r="AA36" s="10">
        <f t="shared" si="9"/>
        <v>6.06710717332338E-2</v>
      </c>
    </row>
    <row r="37" spans="1:27" x14ac:dyDescent="0.3">
      <c r="A37" t="s">
        <v>62</v>
      </c>
      <c r="B37" s="11">
        <v>2023</v>
      </c>
      <c r="C37" s="12">
        <v>9.8149999999999995</v>
      </c>
      <c r="D37" s="12">
        <v>663.04700000000003</v>
      </c>
      <c r="E37" s="12">
        <v>216.358</v>
      </c>
      <c r="F37" s="12">
        <v>196.601</v>
      </c>
      <c r="G37" s="12">
        <v>879.404</v>
      </c>
      <c r="H37" s="12">
        <v>238.36199999999999</v>
      </c>
      <c r="I37" s="12">
        <v>641.04300000000001</v>
      </c>
      <c r="J37" s="12">
        <v>234.28</v>
      </c>
      <c r="K37" s="5">
        <v>3.2528928266766205E-2</v>
      </c>
      <c r="L37" s="5">
        <v>5.0464307361874884E-2</v>
      </c>
      <c r="M37" s="8">
        <v>9.3200000000000005E-2</v>
      </c>
      <c r="N37" s="12">
        <v>23787.319166666701</v>
      </c>
      <c r="O37" s="3">
        <f t="shared" si="2"/>
        <v>23</v>
      </c>
      <c r="P37" s="13">
        <v>2001</v>
      </c>
      <c r="Q37" s="14">
        <v>139.74</v>
      </c>
      <c r="R37" s="14">
        <v>183.07</v>
      </c>
      <c r="S37" s="2">
        <f t="shared" si="0"/>
        <v>18.15720751816248</v>
      </c>
      <c r="T37" s="8">
        <f t="shared" si="3"/>
        <v>1.5310985378515949E-2</v>
      </c>
      <c r="U37" s="8">
        <f t="shared" si="4"/>
        <v>1.1160968110220102E-2</v>
      </c>
      <c r="V37" s="9">
        <f t="shared" si="5"/>
        <v>0.37183465071765853</v>
      </c>
      <c r="W37">
        <f t="shared" si="6"/>
        <v>2.8301476865289397</v>
      </c>
      <c r="X37">
        <f t="shared" si="1"/>
        <v>6.1745459979173667</v>
      </c>
      <c r="Y37" s="8">
        <f t="shared" si="7"/>
        <v>0.2235616394740074</v>
      </c>
      <c r="Z37" s="8">
        <f t="shared" si="8"/>
        <v>5.8759682244523548E-2</v>
      </c>
      <c r="AA37" s="10">
        <f t="shared" si="9"/>
        <v>6.06710717332338E-2</v>
      </c>
    </row>
    <row r="38" spans="1:27" x14ac:dyDescent="0.3">
      <c r="A38" t="s">
        <v>63</v>
      </c>
      <c r="B38" s="11">
        <v>2023</v>
      </c>
      <c r="C38" s="12">
        <v>28.617999999999999</v>
      </c>
      <c r="D38" s="12">
        <v>230.00299999999999</v>
      </c>
      <c r="E38" s="12">
        <v>102.133</v>
      </c>
      <c r="F38" s="12">
        <v>75.078000000000003</v>
      </c>
      <c r="G38" s="12">
        <v>332.13600000000002</v>
      </c>
      <c r="H38" s="12">
        <v>110.38800000000001</v>
      </c>
      <c r="I38" s="12">
        <v>221.749</v>
      </c>
      <c r="J38" s="12">
        <v>107.75</v>
      </c>
      <c r="K38" s="5">
        <v>3.2528928266766205E-2</v>
      </c>
      <c r="L38" s="5">
        <v>5.0464307361874884E-2</v>
      </c>
      <c r="M38" s="8">
        <v>9.3200000000000005E-2</v>
      </c>
      <c r="N38" s="12">
        <v>23787.319166666701</v>
      </c>
      <c r="O38" s="3">
        <f t="shared" si="2"/>
        <v>39</v>
      </c>
      <c r="P38" s="13">
        <v>1985</v>
      </c>
      <c r="Q38" s="14">
        <v>139.74</v>
      </c>
      <c r="R38" s="14">
        <v>183.07</v>
      </c>
      <c r="S38" s="2">
        <f t="shared" si="0"/>
        <v>18.15720751816248</v>
      </c>
      <c r="T38" s="8">
        <f t="shared" si="3"/>
        <v>0.12905582437801297</v>
      </c>
      <c r="U38" s="8">
        <f t="shared" si="4"/>
        <v>8.6163499289447679E-2</v>
      </c>
      <c r="V38" s="9">
        <f t="shared" si="5"/>
        <v>0.49780607804319299</v>
      </c>
      <c r="W38">
        <f t="shared" si="6"/>
        <v>2.134598607888631</v>
      </c>
      <c r="X38">
        <f t="shared" si="1"/>
        <v>5.2008461162169066</v>
      </c>
      <c r="Y38" s="8">
        <f t="shared" si="7"/>
        <v>0.22604595707782354</v>
      </c>
      <c r="Z38" s="8">
        <f t="shared" si="8"/>
        <v>5.8759682244523548E-2</v>
      </c>
      <c r="AA38" s="10">
        <f t="shared" si="9"/>
        <v>6.06710717332338E-2</v>
      </c>
    </row>
    <row r="39" spans="1:27" x14ac:dyDescent="0.3">
      <c r="A39" t="s">
        <v>64</v>
      </c>
      <c r="B39" s="11">
        <v>2023</v>
      </c>
      <c r="C39" s="12">
        <v>190.041</v>
      </c>
      <c r="D39" s="12">
        <v>824.47799999999995</v>
      </c>
      <c r="E39" s="12">
        <v>481.55799999999999</v>
      </c>
      <c r="F39" s="12">
        <v>418.69</v>
      </c>
      <c r="G39" s="12">
        <v>1306.037</v>
      </c>
      <c r="H39" s="12">
        <v>423.70100000000002</v>
      </c>
      <c r="I39" s="12">
        <v>882.33500000000004</v>
      </c>
      <c r="J39" s="12">
        <v>415.66</v>
      </c>
      <c r="K39" s="5">
        <v>3.2528928266766205E-2</v>
      </c>
      <c r="L39" s="5">
        <v>5.0464307361874884E-2</v>
      </c>
      <c r="M39" s="8">
        <v>9.3200000000000005E-2</v>
      </c>
      <c r="N39" s="12">
        <v>23787.319166666701</v>
      </c>
      <c r="O39" s="3">
        <f t="shared" si="2"/>
        <v>52</v>
      </c>
      <c r="P39" s="13">
        <v>1972</v>
      </c>
      <c r="Q39" s="14">
        <v>139.74</v>
      </c>
      <c r="R39" s="14">
        <v>183.07</v>
      </c>
      <c r="S39" s="2">
        <f t="shared" si="0"/>
        <v>18.15720751816248</v>
      </c>
      <c r="T39" s="8">
        <f t="shared" si="3"/>
        <v>0.21538417947831603</v>
      </c>
      <c r="U39" s="8">
        <f t="shared" si="4"/>
        <v>0.14550966013979696</v>
      </c>
      <c r="V39" s="9">
        <f t="shared" si="5"/>
        <v>0.48020423081935998</v>
      </c>
      <c r="W39">
        <f t="shared" si="6"/>
        <v>1.9835394312659382</v>
      </c>
      <c r="X39">
        <f t="shared" si="1"/>
        <v>6.5700542328412457</v>
      </c>
      <c r="Y39" s="8">
        <f t="shared" si="7"/>
        <v>0.32058050422767503</v>
      </c>
      <c r="Z39" s="8">
        <f t="shared" si="8"/>
        <v>5.8759682244523548E-2</v>
      </c>
      <c r="AA39" s="10">
        <f t="shared" si="9"/>
        <v>6.06710717332338E-2</v>
      </c>
    </row>
    <row r="40" spans="1:27" x14ac:dyDescent="0.3">
      <c r="A40" t="s">
        <v>65</v>
      </c>
      <c r="B40" s="11">
        <v>2023</v>
      </c>
      <c r="C40" s="12">
        <v>79.736000000000004</v>
      </c>
      <c r="D40" s="12">
        <v>1293.6210000000001</v>
      </c>
      <c r="E40" s="12">
        <v>1421.3430000000001</v>
      </c>
      <c r="F40" s="12">
        <v>914.35799999999995</v>
      </c>
      <c r="G40" s="12">
        <v>2714.9639999999999</v>
      </c>
      <c r="H40" s="12">
        <v>1009.319</v>
      </c>
      <c r="I40" s="12">
        <v>1705.646</v>
      </c>
      <c r="J40" s="12">
        <v>949.3</v>
      </c>
      <c r="K40" s="5">
        <v>3.2528928266766205E-2</v>
      </c>
      <c r="L40" s="5">
        <v>5.0464307361874884E-2</v>
      </c>
      <c r="M40" s="8">
        <v>9.3200000000000005E-2</v>
      </c>
      <c r="N40" s="12">
        <v>23787.319166666701</v>
      </c>
      <c r="O40" s="3">
        <f t="shared" si="2"/>
        <v>44</v>
      </c>
      <c r="P40" s="13">
        <v>1980</v>
      </c>
      <c r="Q40" s="14">
        <v>139.74</v>
      </c>
      <c r="R40" s="14">
        <v>183.07</v>
      </c>
      <c r="S40" s="2">
        <f t="shared" si="0"/>
        <v>18.15720751816248</v>
      </c>
      <c r="T40" s="8">
        <f t="shared" si="3"/>
        <v>4.6748270156878984E-2</v>
      </c>
      <c r="U40" s="8">
        <f t="shared" si="4"/>
        <v>2.9369081873645474E-2</v>
      </c>
      <c r="V40" s="9">
        <f t="shared" si="5"/>
        <v>0.59175174684547671</v>
      </c>
      <c r="W40">
        <f t="shared" si="6"/>
        <v>1.3627104182028864</v>
      </c>
      <c r="X40">
        <f t="shared" si="1"/>
        <v>7.3018355652367859</v>
      </c>
      <c r="Y40" s="8">
        <f t="shared" si="7"/>
        <v>0.33678457614907598</v>
      </c>
      <c r="Z40" s="8">
        <f t="shared" si="8"/>
        <v>5.8759682244523548E-2</v>
      </c>
      <c r="AA40" s="10">
        <f t="shared" si="9"/>
        <v>6.06710717332338E-2</v>
      </c>
    </row>
    <row r="41" spans="1:27" x14ac:dyDescent="0.3">
      <c r="A41" t="s">
        <v>66</v>
      </c>
      <c r="B41" s="11">
        <v>2023</v>
      </c>
      <c r="C41" s="12">
        <v>374.41699999999997</v>
      </c>
      <c r="D41" s="12">
        <v>2077.665</v>
      </c>
      <c r="E41" s="12">
        <v>528.39800000000002</v>
      </c>
      <c r="F41" s="12">
        <v>392.57799999999997</v>
      </c>
      <c r="G41" s="12">
        <v>2606.0630000000001</v>
      </c>
      <c r="H41" s="12">
        <v>278.80799999999999</v>
      </c>
      <c r="I41" s="12">
        <v>2327.2550000000001</v>
      </c>
      <c r="J41" s="12">
        <v>274.45999999999998</v>
      </c>
      <c r="K41" s="5">
        <v>3.2528928266766205E-2</v>
      </c>
      <c r="L41" s="5">
        <v>5.0464307361874884E-2</v>
      </c>
      <c r="M41" s="8">
        <v>9.3200000000000005E-2</v>
      </c>
      <c r="N41" s="12">
        <v>23787.319166666701</v>
      </c>
      <c r="O41" s="3">
        <f t="shared" si="2"/>
        <v>66</v>
      </c>
      <c r="P41" s="13">
        <v>1958</v>
      </c>
      <c r="Q41" s="14">
        <v>139.74</v>
      </c>
      <c r="R41" s="14">
        <v>183.07</v>
      </c>
      <c r="S41" s="2">
        <f t="shared" si="0"/>
        <v>18.15720751816248</v>
      </c>
      <c r="T41" s="8">
        <f t="shared" si="3"/>
        <v>0.16088353016751492</v>
      </c>
      <c r="U41" s="8">
        <f t="shared" si="4"/>
        <v>0.14367150755756863</v>
      </c>
      <c r="V41" s="9">
        <f t="shared" si="5"/>
        <v>0.11980122504839391</v>
      </c>
      <c r="W41">
        <f t="shared" si="6"/>
        <v>7.5700102018509074</v>
      </c>
      <c r="X41">
        <f t="shared" si="1"/>
        <v>7.2608975249985619</v>
      </c>
      <c r="Y41" s="8">
        <f t="shared" si="7"/>
        <v>0.1506402569699965</v>
      </c>
      <c r="Z41" s="8">
        <f t="shared" si="8"/>
        <v>5.8759682244523548E-2</v>
      </c>
      <c r="AA41" s="10">
        <f t="shared" si="9"/>
        <v>6.06710717332338E-2</v>
      </c>
    </row>
    <row r="42" spans="1:27" hidden="1" x14ac:dyDescent="0.3">
      <c r="A42" t="s">
        <v>67</v>
      </c>
      <c r="B42" s="11">
        <v>2023</v>
      </c>
      <c r="C42" s="12">
        <v>245.245</v>
      </c>
      <c r="D42" s="12">
        <v>2552.5940000000001</v>
      </c>
      <c r="E42" s="12">
        <v>900.495</v>
      </c>
      <c r="F42" s="12">
        <v>773.81899999999996</v>
      </c>
      <c r="G42" s="12">
        <v>3453.0889999999999</v>
      </c>
      <c r="H42" s="12">
        <v>1643.3340000000001</v>
      </c>
      <c r="I42" s="12">
        <v>1809.7550000000001</v>
      </c>
      <c r="J42" s="12">
        <v>1335.42</v>
      </c>
      <c r="K42" s="5">
        <v>3.2528928266766205E-2</v>
      </c>
      <c r="L42" s="5">
        <v>5.0464307361874884E-2</v>
      </c>
      <c r="M42" s="8">
        <v>9.3200000000000005E-2</v>
      </c>
      <c r="N42" s="12">
        <v>23787.319166666701</v>
      </c>
      <c r="O42" s="3">
        <f t="shared" si="2"/>
        <v>36</v>
      </c>
      <c r="P42" s="13">
        <v>1988</v>
      </c>
      <c r="Q42" s="14">
        <v>139.74</v>
      </c>
      <c r="R42" s="14">
        <v>183.07</v>
      </c>
      <c r="S42" s="2">
        <f t="shared" si="0"/>
        <v>18.15720751816248</v>
      </c>
      <c r="T42" s="8">
        <f t="shared" si="3"/>
        <v>0.13551281803338019</v>
      </c>
      <c r="U42" s="8">
        <f t="shared" si="4"/>
        <v>7.1021916898174359E-2</v>
      </c>
      <c r="V42" s="9">
        <f t="shared" si="5"/>
        <v>0.90804224881268458</v>
      </c>
      <c r="W42">
        <f t="shared" si="6"/>
        <v>1.9114540743736053</v>
      </c>
      <c r="X42">
        <f t="shared" si="1"/>
        <v>7.5423260643716752</v>
      </c>
      <c r="Y42" s="8">
        <f t="shared" si="7"/>
        <v>0.22409471635396597</v>
      </c>
      <c r="Z42" s="8">
        <f t="shared" si="8"/>
        <v>5.8759682244523548E-2</v>
      </c>
      <c r="AA42" s="10">
        <f t="shared" si="9"/>
        <v>6.06710717332338E-2</v>
      </c>
    </row>
    <row r="43" spans="1:27" x14ac:dyDescent="0.3">
      <c r="A43" t="s">
        <v>68</v>
      </c>
      <c r="B43" s="11">
        <v>2023</v>
      </c>
      <c r="C43" s="12">
        <v>1869.9269999999999</v>
      </c>
      <c r="D43" s="12">
        <v>43763.476999999999</v>
      </c>
      <c r="E43" s="12">
        <v>103619.995</v>
      </c>
      <c r="F43" s="12">
        <v>42885.822999999997</v>
      </c>
      <c r="G43" s="12">
        <v>147383.47200000001</v>
      </c>
      <c r="H43" s="12">
        <v>109146.231</v>
      </c>
      <c r="I43" s="12">
        <v>38237.241000000002</v>
      </c>
      <c r="J43" s="12">
        <v>50422.5</v>
      </c>
      <c r="K43" s="5">
        <v>3.2528928266766205E-2</v>
      </c>
      <c r="L43" s="5">
        <v>5.0464307361874884E-2</v>
      </c>
      <c r="M43" s="8">
        <v>9.3200000000000005E-2</v>
      </c>
      <c r="N43" s="12">
        <v>23787.319166666701</v>
      </c>
      <c r="O43" s="3">
        <f t="shared" si="2"/>
        <v>20</v>
      </c>
      <c r="P43" s="13">
        <v>2004</v>
      </c>
      <c r="Q43" s="14">
        <v>139.74</v>
      </c>
      <c r="R43" s="14">
        <v>183.07</v>
      </c>
      <c r="S43" s="2">
        <f t="shared" si="0"/>
        <v>18.15720751816248</v>
      </c>
      <c r="T43" s="8">
        <f t="shared" si="3"/>
        <v>4.8903292996479525E-2</v>
      </c>
      <c r="U43" s="8">
        <f t="shared" si="4"/>
        <v>1.268749456519792E-2</v>
      </c>
      <c r="V43" s="9">
        <f t="shared" si="5"/>
        <v>2.8544483897256079</v>
      </c>
      <c r="W43">
        <f t="shared" si="6"/>
        <v>0.86793548515047847</v>
      </c>
      <c r="X43">
        <f t="shared" si="1"/>
        <v>11.296094714817672</v>
      </c>
      <c r="Y43" s="8">
        <f t="shared" si="7"/>
        <v>0.29098122345767508</v>
      </c>
      <c r="Z43" s="8">
        <f t="shared" si="8"/>
        <v>5.8759682244523548E-2</v>
      </c>
      <c r="AA43" s="10">
        <f t="shared" si="9"/>
        <v>6.06710717332338E-2</v>
      </c>
    </row>
    <row r="44" spans="1:27" x14ac:dyDescent="0.3">
      <c r="A44" t="s">
        <v>69</v>
      </c>
      <c r="B44" s="11">
        <v>2023</v>
      </c>
      <c r="C44" s="12">
        <v>109.929</v>
      </c>
      <c r="D44" s="12">
        <v>1016.6420000000001</v>
      </c>
      <c r="E44" s="12">
        <v>1026.5940000000001</v>
      </c>
      <c r="F44" s="12">
        <v>664.05</v>
      </c>
      <c r="G44" s="12">
        <v>2043.2349999999999</v>
      </c>
      <c r="H44" s="12">
        <v>1055.2729999999999</v>
      </c>
      <c r="I44" s="12">
        <v>987.96199999999999</v>
      </c>
      <c r="J44" s="12">
        <v>964.51</v>
      </c>
      <c r="K44" s="5">
        <v>3.2528928266766205E-2</v>
      </c>
      <c r="L44" s="5">
        <v>5.0464307361874884E-2</v>
      </c>
      <c r="M44" s="8">
        <v>9.3200000000000005E-2</v>
      </c>
      <c r="N44" s="12">
        <v>23787.319166666701</v>
      </c>
      <c r="O44" s="3">
        <f t="shared" si="2"/>
        <v>29</v>
      </c>
      <c r="P44" s="13">
        <v>1995</v>
      </c>
      <c r="Q44" s="14">
        <v>139.74</v>
      </c>
      <c r="R44" s="14">
        <v>183.07</v>
      </c>
      <c r="S44" s="2">
        <f t="shared" si="0"/>
        <v>18.15720751816248</v>
      </c>
      <c r="T44" s="8">
        <f t="shared" si="3"/>
        <v>0.11126844959623954</v>
      </c>
      <c r="U44" s="8">
        <f t="shared" si="4"/>
        <v>5.3801447214833341E-2</v>
      </c>
      <c r="V44" s="9">
        <f t="shared" si="5"/>
        <v>1.0681311629394652</v>
      </c>
      <c r="W44">
        <f t="shared" si="6"/>
        <v>1.0540502431286354</v>
      </c>
      <c r="X44">
        <f t="shared" si="1"/>
        <v>7.0175912077488958</v>
      </c>
      <c r="Y44" s="8">
        <f t="shared" si="7"/>
        <v>0.32499932704754958</v>
      </c>
      <c r="Z44" s="8">
        <f t="shared" si="8"/>
        <v>5.8759682244523548E-2</v>
      </c>
      <c r="AA44" s="10">
        <f t="shared" si="9"/>
        <v>6.06710717332338E-2</v>
      </c>
    </row>
    <row r="45" spans="1:27" x14ac:dyDescent="0.3">
      <c r="A45" t="s">
        <v>70</v>
      </c>
      <c r="B45" s="11">
        <v>2023</v>
      </c>
      <c r="C45" s="12">
        <v>-20.399999999999999</v>
      </c>
      <c r="D45" s="12">
        <v>174.23699999999999</v>
      </c>
      <c r="E45" s="12">
        <v>424.97699999999998</v>
      </c>
      <c r="F45" s="12">
        <v>228.20099999999999</v>
      </c>
      <c r="G45" s="12">
        <v>599.21400000000006</v>
      </c>
      <c r="H45" s="12">
        <v>219.61</v>
      </c>
      <c r="I45" s="12">
        <v>379.60300000000001</v>
      </c>
      <c r="J45" s="12">
        <v>172.22</v>
      </c>
      <c r="K45" s="5">
        <v>3.2528928266766205E-2</v>
      </c>
      <c r="L45" s="5">
        <v>5.0464307361874884E-2</v>
      </c>
      <c r="M45" s="8">
        <v>9.3200000000000005E-2</v>
      </c>
      <c r="N45" s="12">
        <v>23787.319166666701</v>
      </c>
      <c r="O45" s="3">
        <f t="shared" si="2"/>
        <v>31</v>
      </c>
      <c r="P45" s="13">
        <v>1993</v>
      </c>
      <c r="Q45" s="14">
        <v>139.74</v>
      </c>
      <c r="R45" s="14">
        <v>183.07</v>
      </c>
      <c r="S45" s="2">
        <f t="shared" si="0"/>
        <v>18.15720751816248</v>
      </c>
      <c r="T45" s="8">
        <f t="shared" si="3"/>
        <v>-5.3740355055149715E-2</v>
      </c>
      <c r="U45" s="8">
        <f t="shared" si="4"/>
        <v>-3.4044598423935347E-2</v>
      </c>
      <c r="V45" s="9">
        <f t="shared" si="5"/>
        <v>0.57852545949320744</v>
      </c>
      <c r="W45">
        <f t="shared" si="6"/>
        <v>1.0117117640227615</v>
      </c>
      <c r="X45">
        <f t="shared" si="1"/>
        <v>5.7909203890412142</v>
      </c>
      <c r="Y45" s="8">
        <f t="shared" si="7"/>
        <v>0.38083389239904269</v>
      </c>
      <c r="Z45" s="8">
        <f t="shared" si="8"/>
        <v>5.8759682244523548E-2</v>
      </c>
      <c r="AA45" s="10">
        <f t="shared" si="9"/>
        <v>6.06710717332338E-2</v>
      </c>
    </row>
    <row r="46" spans="1:27" x14ac:dyDescent="0.3">
      <c r="A46" t="s">
        <v>71</v>
      </c>
      <c r="B46" s="11">
        <v>2023</v>
      </c>
      <c r="C46" s="12">
        <v>230.12899999999999</v>
      </c>
      <c r="D46" s="12">
        <v>1366.0160000000001</v>
      </c>
      <c r="E46" s="12">
        <v>855.149</v>
      </c>
      <c r="F46" s="12">
        <v>742.94299999999998</v>
      </c>
      <c r="G46" s="12">
        <v>2221.165</v>
      </c>
      <c r="H46" s="12">
        <v>775.03</v>
      </c>
      <c r="I46" s="12">
        <v>1446.135</v>
      </c>
      <c r="J46" s="12">
        <v>742.91</v>
      </c>
      <c r="K46" s="5">
        <v>3.2528928266766205E-2</v>
      </c>
      <c r="L46" s="5">
        <v>5.0464307361874884E-2</v>
      </c>
      <c r="M46" s="8">
        <v>9.3200000000000005E-2</v>
      </c>
      <c r="N46" s="12">
        <v>23787.319166666701</v>
      </c>
      <c r="O46" s="3">
        <f t="shared" si="2"/>
        <v>56</v>
      </c>
      <c r="P46" s="13">
        <v>1968</v>
      </c>
      <c r="Q46" s="14">
        <v>139.74</v>
      </c>
      <c r="R46" s="14">
        <v>183.07</v>
      </c>
      <c r="S46" s="2">
        <f t="shared" si="0"/>
        <v>18.15720751816248</v>
      </c>
      <c r="T46" s="8">
        <f t="shared" si="3"/>
        <v>0.15913382913766694</v>
      </c>
      <c r="U46" s="8">
        <f t="shared" si="4"/>
        <v>0.10360734119257237</v>
      </c>
      <c r="V46" s="9">
        <f t="shared" si="5"/>
        <v>0.5359319842200071</v>
      </c>
      <c r="W46">
        <f t="shared" si="6"/>
        <v>1.8387368591081021</v>
      </c>
      <c r="X46">
        <f t="shared" si="1"/>
        <v>7.101088704620139</v>
      </c>
      <c r="Y46" s="8">
        <f t="shared" si="7"/>
        <v>0.33448348051585541</v>
      </c>
      <c r="Z46" s="8">
        <f t="shared" si="8"/>
        <v>5.8759682244523548E-2</v>
      </c>
      <c r="AA46" s="10">
        <f t="shared" si="9"/>
        <v>6.06710717332338E-2</v>
      </c>
    </row>
    <row r="47" spans="1:27" x14ac:dyDescent="0.3">
      <c r="A47" t="s">
        <v>72</v>
      </c>
      <c r="B47" s="11">
        <v>2023</v>
      </c>
      <c r="C47" s="12">
        <v>817.11699999999996</v>
      </c>
      <c r="D47" s="12">
        <v>14280.779</v>
      </c>
      <c r="E47" s="12">
        <v>5907.3620000000001</v>
      </c>
      <c r="F47" s="12">
        <v>4122.1350000000002</v>
      </c>
      <c r="G47" s="12">
        <v>20188.141</v>
      </c>
      <c r="H47" s="12">
        <v>11844.691999999999</v>
      </c>
      <c r="I47" s="12">
        <v>8343.4480000000003</v>
      </c>
      <c r="J47" s="12">
        <v>10865.68</v>
      </c>
      <c r="K47" s="5">
        <v>3.2528928266766205E-2</v>
      </c>
      <c r="L47" s="5">
        <v>5.0464307361874884E-2</v>
      </c>
      <c r="M47" s="8">
        <v>9.3200000000000005E-2</v>
      </c>
      <c r="N47" s="12">
        <v>23787.319166666701</v>
      </c>
      <c r="O47" s="3">
        <f t="shared" si="2"/>
        <v>26</v>
      </c>
      <c r="P47" s="13">
        <v>1998</v>
      </c>
      <c r="Q47" s="14">
        <v>139.74</v>
      </c>
      <c r="R47" s="14">
        <v>183.07</v>
      </c>
      <c r="S47" s="2">
        <f t="shared" si="0"/>
        <v>18.15720751816248</v>
      </c>
      <c r="T47" s="8">
        <f t="shared" si="3"/>
        <v>9.7935170207808564E-2</v>
      </c>
      <c r="U47" s="8">
        <f t="shared" si="4"/>
        <v>4.0475098722561921E-2</v>
      </c>
      <c r="V47" s="9">
        <f t="shared" si="5"/>
        <v>1.4196399378290605</v>
      </c>
      <c r="W47">
        <f t="shared" si="6"/>
        <v>1.314301451910971</v>
      </c>
      <c r="X47">
        <f t="shared" si="1"/>
        <v>9.308152224408067</v>
      </c>
      <c r="Y47" s="8">
        <f t="shared" si="7"/>
        <v>0.2041859624420099</v>
      </c>
      <c r="Z47" s="8">
        <f t="shared" si="8"/>
        <v>5.8759682244523548E-2</v>
      </c>
      <c r="AA47" s="10">
        <f t="shared" si="9"/>
        <v>6.06710717332338E-2</v>
      </c>
    </row>
    <row r="48" spans="1:27" x14ac:dyDescent="0.3">
      <c r="A48" t="s">
        <v>73</v>
      </c>
      <c r="B48" s="11">
        <v>2023</v>
      </c>
      <c r="C48" s="12">
        <v>1971.0989999999999</v>
      </c>
      <c r="D48" s="12">
        <v>12958.118</v>
      </c>
      <c r="E48" s="12">
        <v>1469.44</v>
      </c>
      <c r="F48" s="12">
        <v>882.71500000000003</v>
      </c>
      <c r="G48" s="12">
        <v>14427.558000000001</v>
      </c>
      <c r="H48" s="12">
        <v>4621.3770000000004</v>
      </c>
      <c r="I48" s="12">
        <v>9806.1810000000005</v>
      </c>
      <c r="J48" s="12">
        <v>4611.96</v>
      </c>
      <c r="K48" s="5">
        <v>3.2528928266766205E-2</v>
      </c>
      <c r="L48" s="5">
        <v>5.0464307361874884E-2</v>
      </c>
      <c r="M48" s="8">
        <v>9.3200000000000005E-2</v>
      </c>
      <c r="N48" s="12">
        <v>23787.319166666701</v>
      </c>
      <c r="O48" s="3">
        <f t="shared" si="2"/>
        <v>36</v>
      </c>
      <c r="P48" s="13">
        <v>1988</v>
      </c>
      <c r="Q48" s="14">
        <v>139.74</v>
      </c>
      <c r="R48" s="14">
        <v>183.07</v>
      </c>
      <c r="S48" s="2">
        <f t="shared" si="0"/>
        <v>18.15720751816248</v>
      </c>
      <c r="T48" s="8">
        <f t="shared" si="3"/>
        <v>0.20100577380735679</v>
      </c>
      <c r="U48" s="8">
        <f t="shared" si="4"/>
        <v>0.13662041767567318</v>
      </c>
      <c r="V48" s="9">
        <f t="shared" si="5"/>
        <v>0.47127184374834608</v>
      </c>
      <c r="W48">
        <f t="shared" si="6"/>
        <v>2.809677013677482</v>
      </c>
      <c r="X48">
        <f t="shared" si="1"/>
        <v>8.972196999302712</v>
      </c>
      <c r="Y48" s="8">
        <f t="shared" si="7"/>
        <v>6.1182564644689005E-2</v>
      </c>
      <c r="Z48" s="8">
        <f t="shared" si="8"/>
        <v>5.8759682244523548E-2</v>
      </c>
      <c r="AA48" s="10">
        <f t="shared" si="9"/>
        <v>6.06710717332338E-2</v>
      </c>
    </row>
    <row r="49" spans="1:27" x14ac:dyDescent="0.3">
      <c r="A49" t="s">
        <v>74</v>
      </c>
      <c r="B49" s="11">
        <v>2023</v>
      </c>
      <c r="C49" s="12">
        <v>584.27200000000005</v>
      </c>
      <c r="D49" s="12">
        <v>7310.9</v>
      </c>
      <c r="E49" s="12">
        <v>440.78800000000001</v>
      </c>
      <c r="F49" s="12">
        <v>309.64999999999998</v>
      </c>
      <c r="G49" s="12">
        <v>7751.6880000000001</v>
      </c>
      <c r="H49" s="12">
        <v>4777.4160000000002</v>
      </c>
      <c r="I49" s="12">
        <v>2974.2719999999999</v>
      </c>
      <c r="J49" s="12">
        <v>4776.58</v>
      </c>
      <c r="K49" s="5">
        <v>3.2528928266766205E-2</v>
      </c>
      <c r="L49" s="5">
        <v>5.0464307361874884E-2</v>
      </c>
      <c r="M49" s="8">
        <v>9.3200000000000005E-2</v>
      </c>
      <c r="N49" s="12">
        <v>23787.319166666701</v>
      </c>
      <c r="O49" s="3">
        <f t="shared" si="2"/>
        <v>20</v>
      </c>
      <c r="P49" s="13">
        <v>2004</v>
      </c>
      <c r="Q49" s="14">
        <v>139.74</v>
      </c>
      <c r="R49" s="14">
        <v>183.07</v>
      </c>
      <c r="S49" s="2">
        <f t="shared" si="0"/>
        <v>18.15720751816248</v>
      </c>
      <c r="T49" s="8">
        <f t="shared" si="3"/>
        <v>0.19644202009769116</v>
      </c>
      <c r="U49" s="8">
        <f t="shared" si="4"/>
        <v>7.5373518645229273E-2</v>
      </c>
      <c r="V49" s="9">
        <f t="shared" si="5"/>
        <v>1.6062471757794849</v>
      </c>
      <c r="W49">
        <f t="shared" si="6"/>
        <v>1.53057208295475</v>
      </c>
      <c r="X49">
        <f t="shared" si="1"/>
        <v>8.3509674977077921</v>
      </c>
      <c r="Y49" s="8">
        <f t="shared" si="7"/>
        <v>3.9946138183064125E-2</v>
      </c>
      <c r="Z49" s="8">
        <f t="shared" si="8"/>
        <v>5.8759682244523548E-2</v>
      </c>
      <c r="AA49" s="10">
        <f t="shared" si="9"/>
        <v>6.06710717332338E-2</v>
      </c>
    </row>
    <row r="50" spans="1:27" x14ac:dyDescent="0.3">
      <c r="A50" t="s">
        <v>75</v>
      </c>
      <c r="B50" s="11">
        <v>2023</v>
      </c>
      <c r="C50" s="12">
        <v>4255.0529999999999</v>
      </c>
      <c r="D50" s="12">
        <v>26553.405999999999</v>
      </c>
      <c r="E50" s="12">
        <v>7503.2190000000001</v>
      </c>
      <c r="F50" s="12">
        <v>3969.7240000000002</v>
      </c>
      <c r="G50" s="12">
        <v>34056.625</v>
      </c>
      <c r="H50" s="12">
        <v>8571.4670000000006</v>
      </c>
      <c r="I50" s="12">
        <v>25485.157999999999</v>
      </c>
      <c r="J50" s="12">
        <v>8224.61</v>
      </c>
      <c r="K50" s="5">
        <v>3.2528928266766205E-2</v>
      </c>
      <c r="L50" s="5">
        <v>5.0464307361874884E-2</v>
      </c>
      <c r="M50" s="8">
        <v>9.3200000000000005E-2</v>
      </c>
      <c r="N50" s="12">
        <v>23787.319166666701</v>
      </c>
      <c r="O50" s="3">
        <f t="shared" si="2"/>
        <v>21</v>
      </c>
      <c r="P50" s="13">
        <v>2003</v>
      </c>
      <c r="Q50" s="14">
        <v>139.74</v>
      </c>
      <c r="R50" s="14">
        <v>183.07</v>
      </c>
      <c r="S50" s="2">
        <f t="shared" si="0"/>
        <v>18.15720751816248</v>
      </c>
      <c r="T50" s="8">
        <f t="shared" si="3"/>
        <v>0.16696200196208319</v>
      </c>
      <c r="U50" s="8">
        <f t="shared" si="4"/>
        <v>0.12494053653290658</v>
      </c>
      <c r="V50" s="9">
        <f t="shared" si="5"/>
        <v>0.33633171903427089</v>
      </c>
      <c r="W50">
        <f t="shared" si="6"/>
        <v>3.2285307145262809</v>
      </c>
      <c r="X50">
        <f t="shared" si="1"/>
        <v>9.8310814520906682</v>
      </c>
      <c r="Y50" s="8">
        <f t="shared" si="7"/>
        <v>0.11656246031425604</v>
      </c>
      <c r="Z50" s="8">
        <f t="shared" si="8"/>
        <v>5.8759682244523548E-2</v>
      </c>
      <c r="AA50" s="10">
        <f t="shared" si="9"/>
        <v>6.06710717332338E-2</v>
      </c>
    </row>
    <row r="51" spans="1:27" x14ac:dyDescent="0.3">
      <c r="A51" t="s">
        <v>76</v>
      </c>
      <c r="B51" s="11">
        <v>2023</v>
      </c>
      <c r="C51" s="12">
        <v>610.173</v>
      </c>
      <c r="D51" s="12">
        <v>24204.387999999999</v>
      </c>
      <c r="E51" s="12">
        <v>9932.8279999999995</v>
      </c>
      <c r="F51" s="12">
        <v>3996.473</v>
      </c>
      <c r="G51" s="12">
        <v>34137.216</v>
      </c>
      <c r="H51" s="12">
        <v>23037.024000000001</v>
      </c>
      <c r="I51" s="12">
        <v>11100.191999999999</v>
      </c>
      <c r="J51" s="12">
        <v>20031.22</v>
      </c>
      <c r="K51" s="5">
        <v>3.2528928266766205E-2</v>
      </c>
      <c r="L51" s="5">
        <v>5.0464307361874884E-2</v>
      </c>
      <c r="M51" s="8">
        <v>9.3200000000000005E-2</v>
      </c>
      <c r="N51" s="12">
        <v>23787.319166666701</v>
      </c>
      <c r="O51" s="3">
        <f t="shared" si="2"/>
        <v>29</v>
      </c>
      <c r="P51" s="13">
        <v>1995</v>
      </c>
      <c r="Q51" s="14">
        <v>139.74</v>
      </c>
      <c r="R51" s="14">
        <v>183.07</v>
      </c>
      <c r="S51" s="2">
        <f t="shared" si="0"/>
        <v>18.15720751816248</v>
      </c>
      <c r="T51" s="8">
        <f t="shared" si="3"/>
        <v>5.4969589715204929E-2</v>
      </c>
      <c r="U51" s="8">
        <f t="shared" si="4"/>
        <v>1.7874128927209531E-2</v>
      </c>
      <c r="V51" s="9">
        <f t="shared" si="5"/>
        <v>2.0753716692468025</v>
      </c>
      <c r="W51">
        <f t="shared" si="6"/>
        <v>1.2083331918874636</v>
      </c>
      <c r="X51">
        <f t="shared" si="1"/>
        <v>9.8334450390755617</v>
      </c>
      <c r="Y51" s="8">
        <f t="shared" si="7"/>
        <v>0.11707085311233346</v>
      </c>
      <c r="Z51" s="8">
        <f t="shared" si="8"/>
        <v>5.8759682244523548E-2</v>
      </c>
      <c r="AA51" s="10">
        <f t="shared" si="9"/>
        <v>6.06710717332338E-2</v>
      </c>
    </row>
    <row r="52" spans="1:27" x14ac:dyDescent="0.3">
      <c r="A52" t="s">
        <v>77</v>
      </c>
      <c r="B52" s="11">
        <v>2023</v>
      </c>
      <c r="C52" s="12">
        <v>154.27699999999999</v>
      </c>
      <c r="D52" s="12">
        <v>638.19600000000003</v>
      </c>
      <c r="E52" s="12">
        <v>378.37099999999998</v>
      </c>
      <c r="F52" s="12">
        <v>313.48599999999999</v>
      </c>
      <c r="G52" s="12">
        <v>1016.567</v>
      </c>
      <c r="H52" s="12">
        <v>418.18799999999999</v>
      </c>
      <c r="I52" s="12">
        <v>598.37800000000004</v>
      </c>
      <c r="J52" s="12">
        <v>400.97</v>
      </c>
      <c r="K52" s="5">
        <v>3.2528928266766205E-2</v>
      </c>
      <c r="L52" s="5">
        <v>5.0464307361874884E-2</v>
      </c>
      <c r="M52" s="8">
        <v>9.3200000000000005E-2</v>
      </c>
      <c r="N52" s="12">
        <v>23787.319166666701</v>
      </c>
      <c r="O52" s="3">
        <f t="shared" si="2"/>
        <v>16</v>
      </c>
      <c r="P52" s="13">
        <v>2008</v>
      </c>
      <c r="Q52" s="14">
        <v>139.74</v>
      </c>
      <c r="R52" s="14">
        <v>183.07</v>
      </c>
      <c r="S52" s="2">
        <f t="shared" si="0"/>
        <v>18.15720751816248</v>
      </c>
      <c r="T52" s="8">
        <f t="shared" si="3"/>
        <v>0.2578253211180892</v>
      </c>
      <c r="U52" s="8">
        <f t="shared" si="4"/>
        <v>0.15176274657745134</v>
      </c>
      <c r="V52" s="9">
        <f t="shared" si="5"/>
        <v>0.69886927661110532</v>
      </c>
      <c r="W52">
        <f t="shared" si="6"/>
        <v>1.5916302965309126</v>
      </c>
      <c r="X52">
        <f t="shared" si="1"/>
        <v>6.319488135966103</v>
      </c>
      <c r="Y52" s="8">
        <f t="shared" si="7"/>
        <v>0.30837711631402553</v>
      </c>
      <c r="Z52" s="8">
        <f t="shared" si="8"/>
        <v>5.8759682244523548E-2</v>
      </c>
      <c r="AA52" s="10">
        <f t="shared" si="9"/>
        <v>6.06710717332338E-2</v>
      </c>
    </row>
    <row r="53" spans="1:27" x14ac:dyDescent="0.3">
      <c r="A53" t="s">
        <v>78</v>
      </c>
      <c r="B53" s="11">
        <v>2023</v>
      </c>
      <c r="C53" s="12">
        <v>29.401</v>
      </c>
      <c r="D53" s="12">
        <v>631.10299999999995</v>
      </c>
      <c r="E53" s="12">
        <v>715.73699999999997</v>
      </c>
      <c r="F53" s="12">
        <v>52.201000000000001</v>
      </c>
      <c r="G53" s="12">
        <v>1346.84</v>
      </c>
      <c r="H53" s="12">
        <v>903.49</v>
      </c>
      <c r="I53" s="12">
        <v>443.35</v>
      </c>
      <c r="J53" s="12">
        <v>621.09</v>
      </c>
      <c r="K53" s="5">
        <v>3.2528928266766205E-2</v>
      </c>
      <c r="L53" s="5">
        <v>5.0464307361874884E-2</v>
      </c>
      <c r="M53" s="8">
        <v>9.3200000000000005E-2</v>
      </c>
      <c r="N53" s="12">
        <v>23787.319166666701</v>
      </c>
      <c r="O53" s="3">
        <f t="shared" si="2"/>
        <v>64</v>
      </c>
      <c r="P53" s="13">
        <v>1960</v>
      </c>
      <c r="Q53" s="14">
        <v>139.74</v>
      </c>
      <c r="R53" s="14">
        <v>183.07</v>
      </c>
      <c r="S53" s="2">
        <f t="shared" si="0"/>
        <v>18.15720751816248</v>
      </c>
      <c r="T53" s="8">
        <f t="shared" si="3"/>
        <v>6.6315552046915527E-2</v>
      </c>
      <c r="U53" s="8">
        <f t="shared" si="4"/>
        <v>2.1829615990021086E-2</v>
      </c>
      <c r="V53" s="9">
        <f t="shared" si="5"/>
        <v>2.0378707567384682</v>
      </c>
      <c r="W53">
        <f t="shared" si="6"/>
        <v>1.0161216570867344</v>
      </c>
      <c r="X53">
        <f t="shared" si="1"/>
        <v>6.6008179795007509</v>
      </c>
      <c r="Y53" s="8">
        <f t="shared" si="7"/>
        <v>3.8758130141664938E-2</v>
      </c>
      <c r="Z53" s="8">
        <f t="shared" si="8"/>
        <v>5.8759682244523548E-2</v>
      </c>
      <c r="AA53" s="10">
        <f t="shared" si="9"/>
        <v>6.06710717332338E-2</v>
      </c>
    </row>
    <row r="54" spans="1:27" x14ac:dyDescent="0.3">
      <c r="A54" t="s">
        <v>79</v>
      </c>
      <c r="B54" s="11">
        <v>2023</v>
      </c>
      <c r="C54" s="12">
        <v>54.706000000000003</v>
      </c>
      <c r="D54" s="12">
        <v>330.17099999999999</v>
      </c>
      <c r="E54" s="12">
        <v>215.89500000000001</v>
      </c>
      <c r="F54" s="12">
        <v>105.95099999999999</v>
      </c>
      <c r="G54" s="12">
        <v>546.06700000000001</v>
      </c>
      <c r="H54" s="12">
        <v>156.869</v>
      </c>
      <c r="I54" s="12">
        <v>389.19799999999998</v>
      </c>
      <c r="J54" s="12">
        <v>156.87</v>
      </c>
      <c r="K54" s="5">
        <v>3.2528928266766205E-2</v>
      </c>
      <c r="L54" s="5">
        <v>5.0464307361874884E-2</v>
      </c>
      <c r="M54" s="8">
        <v>9.3200000000000005E-2</v>
      </c>
      <c r="N54" s="12">
        <v>23787.319166666701</v>
      </c>
      <c r="O54" s="3">
        <f t="shared" si="2"/>
        <v>48</v>
      </c>
      <c r="P54" s="13">
        <v>1976</v>
      </c>
      <c r="Q54" s="14">
        <v>139.74</v>
      </c>
      <c r="R54" s="14">
        <v>183.07</v>
      </c>
      <c r="S54" s="2">
        <f t="shared" si="0"/>
        <v>18.15720751816248</v>
      </c>
      <c r="T54" s="8">
        <f t="shared" si="3"/>
        <v>0.1405608456364113</v>
      </c>
      <c r="U54" s="8">
        <f t="shared" si="4"/>
        <v>0.10018184581745464</v>
      </c>
      <c r="V54" s="9">
        <f t="shared" si="5"/>
        <v>0.40305705579165363</v>
      </c>
      <c r="W54">
        <f t="shared" si="6"/>
        <v>2.104742780646395</v>
      </c>
      <c r="X54">
        <f t="shared" si="1"/>
        <v>5.6980432714644511</v>
      </c>
      <c r="Y54" s="8">
        <f t="shared" si="7"/>
        <v>0.19402564154215507</v>
      </c>
      <c r="Z54" s="8">
        <f t="shared" si="8"/>
        <v>5.8759682244523548E-2</v>
      </c>
      <c r="AA54" s="10">
        <f t="shared" si="9"/>
        <v>6.06710717332338E-2</v>
      </c>
    </row>
    <row r="55" spans="1:27" x14ac:dyDescent="0.3">
      <c r="A55" t="s">
        <v>80</v>
      </c>
      <c r="B55" s="11">
        <v>2023</v>
      </c>
      <c r="C55" s="12">
        <v>87.799000000000007</v>
      </c>
      <c r="D55" s="12">
        <v>1395.9359999999999</v>
      </c>
      <c r="E55" s="12">
        <v>1577.923</v>
      </c>
      <c r="F55" s="12">
        <v>642.36900000000003</v>
      </c>
      <c r="G55" s="12">
        <v>2973.8589999999999</v>
      </c>
      <c r="H55" s="12">
        <v>1344.97</v>
      </c>
      <c r="I55" s="12">
        <v>1628.8889999999999</v>
      </c>
      <c r="J55" s="12">
        <v>935.58</v>
      </c>
      <c r="K55" s="5">
        <v>3.2528928266766205E-2</v>
      </c>
      <c r="L55" s="5">
        <v>5.0464307361874884E-2</v>
      </c>
      <c r="M55" s="8">
        <v>9.3200000000000005E-2</v>
      </c>
      <c r="N55" s="12">
        <v>23787.319166666701</v>
      </c>
      <c r="O55" s="3">
        <f t="shared" si="2"/>
        <v>24</v>
      </c>
      <c r="P55" s="13">
        <v>2000</v>
      </c>
      <c r="Q55" s="14">
        <v>139.74</v>
      </c>
      <c r="R55" s="14">
        <v>183.07</v>
      </c>
      <c r="S55" s="2">
        <f t="shared" si="0"/>
        <v>18.15720751816248</v>
      </c>
      <c r="T55" s="8">
        <f t="shared" si="3"/>
        <v>5.3901155941258126E-2</v>
      </c>
      <c r="U55" s="8">
        <f t="shared" si="4"/>
        <v>2.9523592073464146E-2</v>
      </c>
      <c r="V55" s="9">
        <f t="shared" si="5"/>
        <v>0.82569776086645563</v>
      </c>
      <c r="W55">
        <f t="shared" si="6"/>
        <v>1.4920541268517924</v>
      </c>
      <c r="X55">
        <f t="shared" si="1"/>
        <v>7.3929173076269183</v>
      </c>
      <c r="Y55" s="8">
        <f t="shared" si="7"/>
        <v>0.21600519728743026</v>
      </c>
      <c r="Z55" s="8">
        <f t="shared" si="8"/>
        <v>5.8759682244523548E-2</v>
      </c>
      <c r="AA55" s="10">
        <f t="shared" si="9"/>
        <v>6.06710717332338E-2</v>
      </c>
    </row>
    <row r="56" spans="1:27" x14ac:dyDescent="0.3">
      <c r="A56" t="s">
        <v>81</v>
      </c>
      <c r="B56" s="11">
        <v>2023</v>
      </c>
      <c r="C56" s="12">
        <v>44.432000000000002</v>
      </c>
      <c r="D56" s="12">
        <v>3968.4969999999998</v>
      </c>
      <c r="E56" s="12">
        <v>3205.366</v>
      </c>
      <c r="F56" s="12">
        <v>911.83500000000004</v>
      </c>
      <c r="G56" s="12">
        <v>7173.8630000000003</v>
      </c>
      <c r="H56" s="12">
        <v>4733.9319999999998</v>
      </c>
      <c r="I56" s="12">
        <v>2439.931</v>
      </c>
      <c r="J56" s="12">
        <v>2878.58</v>
      </c>
      <c r="K56" s="5">
        <v>3.2528928266766205E-2</v>
      </c>
      <c r="L56" s="5">
        <v>5.0464307361874884E-2</v>
      </c>
      <c r="M56" s="8">
        <v>9.3200000000000005E-2</v>
      </c>
      <c r="N56" s="12">
        <v>23787.319166666701</v>
      </c>
      <c r="O56" s="3">
        <f t="shared" si="2"/>
        <v>42</v>
      </c>
      <c r="P56" s="13">
        <v>1982</v>
      </c>
      <c r="Q56" s="14">
        <v>139.74</v>
      </c>
      <c r="R56" s="14">
        <v>183.07</v>
      </c>
      <c r="S56" s="2">
        <f t="shared" si="0"/>
        <v>18.15720751816248</v>
      </c>
      <c r="T56" s="8">
        <f t="shared" si="3"/>
        <v>1.8210351030418483E-2</v>
      </c>
      <c r="U56" s="8">
        <f t="shared" si="4"/>
        <v>6.1935947201668057E-3</v>
      </c>
      <c r="V56" s="9">
        <f t="shared" si="5"/>
        <v>1.9401909316288042</v>
      </c>
      <c r="W56">
        <f t="shared" si="6"/>
        <v>1.3786300884463867</v>
      </c>
      <c r="X56">
        <f t="shared" si="1"/>
        <v>8.273501153796829</v>
      </c>
      <c r="Y56" s="8">
        <f t="shared" si="7"/>
        <v>0.12710515938205119</v>
      </c>
      <c r="Z56" s="8">
        <f t="shared" si="8"/>
        <v>5.8759682244523548E-2</v>
      </c>
      <c r="AA56" s="10">
        <f t="shared" si="9"/>
        <v>6.06710717332338E-2</v>
      </c>
    </row>
    <row r="57" spans="1:27" x14ac:dyDescent="0.3">
      <c r="A57" t="s">
        <v>82</v>
      </c>
      <c r="B57" s="11">
        <v>2023</v>
      </c>
      <c r="C57" s="12">
        <v>133.804</v>
      </c>
      <c r="D57" s="12">
        <v>2130.7539999999999</v>
      </c>
      <c r="E57" s="12">
        <v>1148.6099999999999</v>
      </c>
      <c r="F57" s="12">
        <v>960.92100000000005</v>
      </c>
      <c r="G57" s="12">
        <v>3279.364</v>
      </c>
      <c r="H57" s="12">
        <v>1269.2280000000001</v>
      </c>
      <c r="I57" s="12">
        <v>2010.1369999999999</v>
      </c>
      <c r="J57" s="12">
        <v>1173.4100000000001</v>
      </c>
      <c r="K57" s="5">
        <v>3.2528928266766205E-2</v>
      </c>
      <c r="L57" s="5">
        <v>5.0464307361874884E-2</v>
      </c>
      <c r="M57" s="8">
        <v>9.3200000000000005E-2</v>
      </c>
      <c r="N57" s="12">
        <v>23787.319166666701</v>
      </c>
      <c r="O57" s="3">
        <f t="shared" si="2"/>
        <v>48</v>
      </c>
      <c r="P57" s="13">
        <v>1976</v>
      </c>
      <c r="Q57" s="14">
        <v>139.74</v>
      </c>
      <c r="R57" s="14">
        <v>183.07</v>
      </c>
      <c r="S57" s="2">
        <f t="shared" si="0"/>
        <v>18.15720751816248</v>
      </c>
      <c r="T57" s="8">
        <f t="shared" si="3"/>
        <v>6.656461723753157E-2</v>
      </c>
      <c r="U57" s="8">
        <f t="shared" si="4"/>
        <v>4.0801814010277604E-2</v>
      </c>
      <c r="V57" s="9">
        <f t="shared" si="5"/>
        <v>0.63141367976411567</v>
      </c>
      <c r="W57">
        <f t="shared" si="6"/>
        <v>1.8158648724657194</v>
      </c>
      <c r="X57">
        <f t="shared" si="1"/>
        <v>7.4907063727628245</v>
      </c>
      <c r="Y57" s="8">
        <f t="shared" si="7"/>
        <v>0.293020536908986</v>
      </c>
      <c r="Z57" s="8">
        <f t="shared" si="8"/>
        <v>5.8759682244523548E-2</v>
      </c>
      <c r="AA57" s="10">
        <f t="shared" si="9"/>
        <v>6.06710717332338E-2</v>
      </c>
    </row>
    <row r="58" spans="1:27" x14ac:dyDescent="0.3">
      <c r="A58" t="s">
        <v>83</v>
      </c>
      <c r="B58" s="11">
        <v>2023</v>
      </c>
      <c r="C58" s="12">
        <v>356.17399999999998</v>
      </c>
      <c r="D58" s="12">
        <v>2074.4549999999999</v>
      </c>
      <c r="E58" s="12">
        <v>733.99300000000005</v>
      </c>
      <c r="F58" s="12">
        <v>575.58600000000001</v>
      </c>
      <c r="G58" s="12">
        <v>2808.4479999999999</v>
      </c>
      <c r="H58" s="12">
        <v>714.46799999999996</v>
      </c>
      <c r="I58" s="12">
        <v>2093.98</v>
      </c>
      <c r="J58" s="12">
        <v>659.54</v>
      </c>
      <c r="K58" s="5">
        <v>3.2528928266766205E-2</v>
      </c>
      <c r="L58" s="5">
        <v>5.0464307361874884E-2</v>
      </c>
      <c r="M58" s="8">
        <v>9.3200000000000005E-2</v>
      </c>
      <c r="N58" s="12">
        <v>23787.319166666701</v>
      </c>
      <c r="O58" s="3">
        <f t="shared" si="2"/>
        <v>43</v>
      </c>
      <c r="P58" s="13">
        <v>1981</v>
      </c>
      <c r="Q58" s="14">
        <v>139.74</v>
      </c>
      <c r="R58" s="14">
        <v>183.07</v>
      </c>
      <c r="S58" s="2">
        <f t="shared" si="0"/>
        <v>18.15720751816248</v>
      </c>
      <c r="T58" s="8">
        <f t="shared" si="3"/>
        <v>0.17009427024135854</v>
      </c>
      <c r="U58" s="8">
        <f t="shared" si="4"/>
        <v>0.12682235882594231</v>
      </c>
      <c r="V58" s="9">
        <f t="shared" si="5"/>
        <v>0.34120096658038757</v>
      </c>
      <c r="W58">
        <f t="shared" si="6"/>
        <v>3.1453058192073264</v>
      </c>
      <c r="X58">
        <f t="shared" si="1"/>
        <v>7.3356888892045982</v>
      </c>
      <c r="Y58" s="8">
        <f t="shared" si="7"/>
        <v>0.20494807096303724</v>
      </c>
      <c r="Z58" s="8">
        <f t="shared" si="8"/>
        <v>5.8759682244523548E-2</v>
      </c>
      <c r="AA58" s="10">
        <f t="shared" si="9"/>
        <v>6.06710717332338E-2</v>
      </c>
    </row>
    <row r="59" spans="1:27" x14ac:dyDescent="0.3">
      <c r="A59" t="s">
        <v>84</v>
      </c>
      <c r="B59" s="11">
        <v>2023</v>
      </c>
      <c r="C59" s="12">
        <v>2.395</v>
      </c>
      <c r="D59" s="12">
        <v>1637.454</v>
      </c>
      <c r="E59" s="12">
        <v>532.298</v>
      </c>
      <c r="F59" s="12">
        <v>302.19099999999997</v>
      </c>
      <c r="G59" s="12">
        <v>2169.752</v>
      </c>
      <c r="H59" s="12">
        <v>1732.299</v>
      </c>
      <c r="I59" s="12">
        <v>437.45299999999997</v>
      </c>
      <c r="J59" s="12">
        <v>1545.48</v>
      </c>
      <c r="K59" s="5">
        <v>3.2528928266766205E-2</v>
      </c>
      <c r="L59" s="5">
        <v>5.0464307361874884E-2</v>
      </c>
      <c r="M59" s="8">
        <v>9.3200000000000005E-2</v>
      </c>
      <c r="N59" s="12">
        <v>23787.319166666701</v>
      </c>
      <c r="O59" s="3">
        <f t="shared" si="2"/>
        <v>48</v>
      </c>
      <c r="P59" s="13">
        <v>1976</v>
      </c>
      <c r="Q59" s="14">
        <v>139.74</v>
      </c>
      <c r="R59" s="14">
        <v>183.07</v>
      </c>
      <c r="S59" s="2">
        <f t="shared" si="0"/>
        <v>18.15720751816248</v>
      </c>
      <c r="T59" s="8">
        <f t="shared" si="3"/>
        <v>5.4748738721645531E-3</v>
      </c>
      <c r="U59" s="8">
        <f t="shared" si="4"/>
        <v>1.1038127859773837E-3</v>
      </c>
      <c r="V59" s="9">
        <f t="shared" si="5"/>
        <v>3.9599659849172371</v>
      </c>
      <c r="W59">
        <f t="shared" si="6"/>
        <v>1.0595116080441027</v>
      </c>
      <c r="X59">
        <f t="shared" si="1"/>
        <v>7.0776697469142773</v>
      </c>
      <c r="Y59" s="8">
        <f t="shared" si="7"/>
        <v>0.13927444242475637</v>
      </c>
      <c r="Z59" s="8">
        <f t="shared" si="8"/>
        <v>5.8759682244523548E-2</v>
      </c>
      <c r="AA59" s="10">
        <f t="shared" si="9"/>
        <v>6.06710717332338E-2</v>
      </c>
    </row>
    <row r="60" spans="1:27" x14ac:dyDescent="0.3">
      <c r="A60" t="s">
        <v>85</v>
      </c>
      <c r="B60" s="11">
        <v>2023</v>
      </c>
      <c r="C60" s="12">
        <v>12.686</v>
      </c>
      <c r="D60" s="12">
        <v>974.26400000000001</v>
      </c>
      <c r="E60" s="12">
        <v>482.036</v>
      </c>
      <c r="F60" s="12">
        <v>368.49799999999999</v>
      </c>
      <c r="G60" s="12">
        <v>1456.3</v>
      </c>
      <c r="H60" s="12">
        <v>880.43399999999997</v>
      </c>
      <c r="I60" s="12">
        <v>575.86599999999999</v>
      </c>
      <c r="J60" s="12">
        <v>776.12</v>
      </c>
      <c r="K60" s="5">
        <v>3.2528928266766205E-2</v>
      </c>
      <c r="L60" s="5">
        <v>5.0464307361874884E-2</v>
      </c>
      <c r="M60" s="8">
        <v>9.3200000000000005E-2</v>
      </c>
      <c r="N60" s="12">
        <v>23787.319166666701</v>
      </c>
      <c r="O60" s="3">
        <f t="shared" si="2"/>
        <v>64</v>
      </c>
      <c r="P60" s="13">
        <v>1960</v>
      </c>
      <c r="Q60" s="14">
        <v>139.74</v>
      </c>
      <c r="R60" s="14">
        <v>183.07</v>
      </c>
      <c r="S60" s="2">
        <f t="shared" si="0"/>
        <v>18.15720751816248</v>
      </c>
      <c r="T60" s="8">
        <f t="shared" si="3"/>
        <v>2.2029430457780108E-2</v>
      </c>
      <c r="U60" s="8">
        <f t="shared" si="4"/>
        <v>8.7111172148595754E-3</v>
      </c>
      <c r="V60" s="9">
        <f t="shared" si="5"/>
        <v>1.528886928556296</v>
      </c>
      <c r="W60">
        <f t="shared" si="6"/>
        <v>1.2553007266917486</v>
      </c>
      <c r="X60">
        <f t="shared" si="1"/>
        <v>6.6789558441137027</v>
      </c>
      <c r="Y60" s="8">
        <f t="shared" si="7"/>
        <v>0.25303714893909224</v>
      </c>
      <c r="Z60" s="8">
        <f t="shared" si="8"/>
        <v>5.8759682244523548E-2</v>
      </c>
      <c r="AA60" s="10">
        <f t="shared" si="9"/>
        <v>6.06710717332338E-2</v>
      </c>
    </row>
    <row r="61" spans="1:27" hidden="1" x14ac:dyDescent="0.3">
      <c r="A61" t="s">
        <v>86</v>
      </c>
      <c r="B61" s="11">
        <v>2023</v>
      </c>
      <c r="C61" s="12">
        <v>449.95299999999997</v>
      </c>
      <c r="D61" s="12">
        <v>1791.914</v>
      </c>
      <c r="E61" s="12">
        <v>866.49300000000005</v>
      </c>
      <c r="F61" s="12">
        <v>264.61500000000001</v>
      </c>
      <c r="G61" s="12">
        <v>2658.4070000000002</v>
      </c>
      <c r="H61" s="12">
        <v>545.62199999999996</v>
      </c>
      <c r="I61" s="12">
        <v>2112.7849999999999</v>
      </c>
      <c r="J61" s="12">
        <v>540.92999999999995</v>
      </c>
      <c r="K61" s="5">
        <v>3.2528928266766205E-2</v>
      </c>
      <c r="L61" s="5">
        <v>5.0464307361874884E-2</v>
      </c>
      <c r="M61" s="8">
        <v>9.3200000000000005E-2</v>
      </c>
      <c r="N61" s="12">
        <v>23787.319166666701</v>
      </c>
      <c r="O61" s="3">
        <f t="shared" si="2"/>
        <v>55</v>
      </c>
      <c r="P61" s="13">
        <v>1969</v>
      </c>
      <c r="Q61" s="14">
        <v>139.74</v>
      </c>
      <c r="R61" s="14">
        <v>183.07</v>
      </c>
      <c r="S61" s="2">
        <f t="shared" si="0"/>
        <v>18.15720751816248</v>
      </c>
      <c r="T61" s="8">
        <f t="shared" si="3"/>
        <v>0.21296677134682421</v>
      </c>
      <c r="U61" s="8">
        <f t="shared" si="4"/>
        <v>0.16925662624270849</v>
      </c>
      <c r="V61" s="9">
        <f t="shared" si="5"/>
        <v>0.25824776302368674</v>
      </c>
      <c r="W61">
        <f t="shared" si="6"/>
        <v>3.312654132697392</v>
      </c>
      <c r="X61">
        <f t="shared" si="1"/>
        <v>7.2807839428248906</v>
      </c>
      <c r="Y61" s="8">
        <f t="shared" si="7"/>
        <v>9.9538934406958754E-2</v>
      </c>
      <c r="Z61" s="8">
        <f t="shared" si="8"/>
        <v>5.8759682244523548E-2</v>
      </c>
      <c r="AA61" s="10">
        <f t="shared" si="9"/>
        <v>6.06710717332338E-2</v>
      </c>
    </row>
    <row r="62" spans="1:27" x14ac:dyDescent="0.3">
      <c r="A62" t="s">
        <v>87</v>
      </c>
      <c r="B62" s="11">
        <v>2023</v>
      </c>
      <c r="C62" s="12">
        <v>973.75699999999995</v>
      </c>
      <c r="D62" s="12">
        <v>7888.1570000000002</v>
      </c>
      <c r="E62" s="12">
        <v>4054.393</v>
      </c>
      <c r="F62" s="12">
        <v>3383.3389999999999</v>
      </c>
      <c r="G62" s="12">
        <v>11942.549000000001</v>
      </c>
      <c r="H62" s="12">
        <v>3351.4940000000001</v>
      </c>
      <c r="I62" s="12">
        <v>8591.0560000000005</v>
      </c>
      <c r="J62" s="12">
        <v>3232.91</v>
      </c>
      <c r="K62" s="5">
        <v>3.2528928266766205E-2</v>
      </c>
      <c r="L62" s="5">
        <v>5.0464307361874884E-2</v>
      </c>
      <c r="M62" s="8">
        <v>9.3200000000000005E-2</v>
      </c>
      <c r="N62" s="12">
        <v>23787.319166666701</v>
      </c>
      <c r="O62" s="3">
        <f t="shared" si="2"/>
        <v>27</v>
      </c>
      <c r="P62" s="13">
        <v>1997</v>
      </c>
      <c r="Q62" s="14">
        <v>139.74</v>
      </c>
      <c r="R62" s="14">
        <v>183.07</v>
      </c>
      <c r="S62" s="2">
        <f t="shared" si="0"/>
        <v>18.15720751816248</v>
      </c>
      <c r="T62" s="8">
        <f t="shared" si="3"/>
        <v>0.11334543739442507</v>
      </c>
      <c r="U62" s="8">
        <f t="shared" si="4"/>
        <v>8.1536780799475878E-2</v>
      </c>
      <c r="V62" s="9">
        <f t="shared" si="5"/>
        <v>0.39011432354765235</v>
      </c>
      <c r="W62">
        <f t="shared" si="6"/>
        <v>2.4399556436770591</v>
      </c>
      <c r="X62">
        <f t="shared" si="1"/>
        <v>8.7831644408743781</v>
      </c>
      <c r="Y62" s="8">
        <f t="shared" si="7"/>
        <v>0.28330124498547166</v>
      </c>
      <c r="Z62" s="8">
        <f t="shared" si="8"/>
        <v>5.8759682244523548E-2</v>
      </c>
      <c r="AA62" s="10">
        <f t="shared" si="9"/>
        <v>6.06710717332338E-2</v>
      </c>
    </row>
    <row r="63" spans="1:27" x14ac:dyDescent="0.3">
      <c r="A63" t="s">
        <v>88</v>
      </c>
      <c r="B63" s="11">
        <v>2023</v>
      </c>
      <c r="C63" s="12">
        <v>9019.3539999999994</v>
      </c>
      <c r="D63" s="12">
        <v>35935.879999999997</v>
      </c>
      <c r="E63" s="12">
        <v>16737.491000000002</v>
      </c>
      <c r="F63" s="12">
        <v>12689.652</v>
      </c>
      <c r="G63" s="12">
        <v>52673.370999999999</v>
      </c>
      <c r="H63" s="12">
        <v>17647.627</v>
      </c>
      <c r="I63" s="12">
        <v>35025.743999999999</v>
      </c>
      <c r="J63" s="12">
        <v>17138.689999999999</v>
      </c>
      <c r="K63" s="5">
        <v>3.2528928266766205E-2</v>
      </c>
      <c r="L63" s="5">
        <v>5.0464307361874884E-2</v>
      </c>
      <c r="M63" s="8">
        <v>9.3200000000000005E-2</v>
      </c>
      <c r="N63" s="12">
        <v>23787.319166666701</v>
      </c>
      <c r="O63" s="3">
        <f t="shared" si="2"/>
        <v>48</v>
      </c>
      <c r="P63" s="13">
        <v>1976</v>
      </c>
      <c r="Q63" s="14">
        <v>139.74</v>
      </c>
      <c r="R63" s="14">
        <v>183.07</v>
      </c>
      <c r="S63" s="2">
        <f t="shared" si="0"/>
        <v>18.15720751816248</v>
      </c>
      <c r="T63" s="8">
        <f t="shared" si="3"/>
        <v>0.25750642156237996</v>
      </c>
      <c r="U63" s="8">
        <f t="shared" si="4"/>
        <v>0.17123175959252732</v>
      </c>
      <c r="V63" s="9">
        <f t="shared" si="5"/>
        <v>0.50384731299355123</v>
      </c>
      <c r="W63">
        <f t="shared" si="6"/>
        <v>2.0967693563510399</v>
      </c>
      <c r="X63">
        <f t="shared" si="1"/>
        <v>10.267166905332882</v>
      </c>
      <c r="Y63" s="8">
        <f t="shared" si="7"/>
        <v>0.24091209199426405</v>
      </c>
      <c r="Z63" s="8">
        <f t="shared" si="8"/>
        <v>5.8759682244523548E-2</v>
      </c>
      <c r="AA63" s="10">
        <f t="shared" si="9"/>
        <v>6.06710717332338E-2</v>
      </c>
    </row>
    <row r="64" spans="1:27" x14ac:dyDescent="0.3">
      <c r="A64" s="2" t="s">
        <v>27</v>
      </c>
      <c r="B64" s="3">
        <v>2022</v>
      </c>
      <c r="C64" s="4">
        <v>16.899999999999999</v>
      </c>
      <c r="D64" s="4">
        <v>180.89699999999999</v>
      </c>
      <c r="E64" s="4">
        <v>37.682000000000002</v>
      </c>
      <c r="F64" s="4">
        <v>26.114000000000001</v>
      </c>
      <c r="G64" s="4">
        <v>218.58</v>
      </c>
      <c r="H64" s="4">
        <v>9.0429999999999993</v>
      </c>
      <c r="I64" s="4">
        <v>209.536</v>
      </c>
      <c r="J64" s="4">
        <v>7.94</v>
      </c>
      <c r="K64" s="5">
        <v>3.1565074996312899E-2</v>
      </c>
      <c r="L64" s="5">
        <v>8.1235144676734303E-2</v>
      </c>
      <c r="M64" s="5">
        <v>8.0100000000000005E-2</v>
      </c>
      <c r="N64" s="4">
        <v>23271.212500000001</v>
      </c>
      <c r="O64" s="3">
        <f t="shared" si="2"/>
        <v>44</v>
      </c>
      <c r="P64" s="6">
        <v>1979</v>
      </c>
      <c r="Q64" s="7">
        <v>134.21</v>
      </c>
      <c r="R64" s="7">
        <v>177.31</v>
      </c>
      <c r="S64" s="2">
        <f t="shared" si="0"/>
        <v>17.614513730895045</v>
      </c>
      <c r="T64" s="8">
        <f t="shared" si="3"/>
        <v>8.065439828955405E-2</v>
      </c>
      <c r="U64" s="8">
        <f t="shared" si="4"/>
        <v>7.7317229389697123E-2</v>
      </c>
      <c r="V64" s="9">
        <f t="shared" si="5"/>
        <v>4.3157261759315821E-2</v>
      </c>
      <c r="W64">
        <f t="shared" si="6"/>
        <v>22.78299748110831</v>
      </c>
      <c r="X64">
        <f t="shared" si="1"/>
        <v>4.8144226531677212</v>
      </c>
      <c r="Y64" s="8">
        <f t="shared" si="7"/>
        <v>0.11947113185103851</v>
      </c>
      <c r="Z64" s="8">
        <f t="shared" si="8"/>
        <v>4.7049794705254611E-2</v>
      </c>
      <c r="AA64" s="10">
        <f t="shared" si="9"/>
        <v>4.8534925003687106E-2</v>
      </c>
    </row>
    <row r="65" spans="1:27" x14ac:dyDescent="0.3">
      <c r="A65" t="s">
        <v>28</v>
      </c>
      <c r="B65" s="11">
        <v>2022</v>
      </c>
      <c r="C65" s="12">
        <v>89.028000000000006</v>
      </c>
      <c r="D65" s="12">
        <v>443.74900000000002</v>
      </c>
      <c r="E65" s="12">
        <v>609.697</v>
      </c>
      <c r="F65" s="12">
        <v>180.167</v>
      </c>
      <c r="G65" s="12">
        <v>1053.4459999999999</v>
      </c>
      <c r="H65" s="12">
        <v>321.964</v>
      </c>
      <c r="I65" s="12">
        <v>731.48199999999997</v>
      </c>
      <c r="J65" s="12">
        <v>212.85</v>
      </c>
      <c r="K65" s="5">
        <v>3.1565074996312899E-2</v>
      </c>
      <c r="L65" s="5">
        <v>8.1235144676734303E-2</v>
      </c>
      <c r="M65" s="8">
        <v>8.0100000000000005E-2</v>
      </c>
      <c r="N65" s="12">
        <v>23271.212500000001</v>
      </c>
      <c r="O65" s="3">
        <f t="shared" si="2"/>
        <v>28</v>
      </c>
      <c r="P65" s="13">
        <v>1995</v>
      </c>
      <c r="Q65" s="14">
        <v>134.21</v>
      </c>
      <c r="R65" s="14">
        <v>177.31</v>
      </c>
      <c r="S65" s="2">
        <f t="shared" si="0"/>
        <v>17.614513730895045</v>
      </c>
      <c r="T65" s="8">
        <f t="shared" si="3"/>
        <v>0.12170907828217237</v>
      </c>
      <c r="U65" s="8">
        <f t="shared" si="4"/>
        <v>8.4511213673980456E-2</v>
      </c>
      <c r="V65" s="9">
        <f t="shared" si="5"/>
        <v>0.44015300444850319</v>
      </c>
      <c r="W65">
        <f t="shared" si="6"/>
        <v>2.0847968052619219</v>
      </c>
      <c r="X65">
        <f t="shared" si="1"/>
        <v>6.3870925471373292</v>
      </c>
      <c r="Y65" s="8">
        <f t="shared" si="7"/>
        <v>0.17102632693085362</v>
      </c>
      <c r="Z65" s="8">
        <f t="shared" si="8"/>
        <v>4.7049794705254611E-2</v>
      </c>
      <c r="AA65" s="10">
        <f t="shared" si="9"/>
        <v>4.8534925003687106E-2</v>
      </c>
    </row>
    <row r="66" spans="1:27" x14ac:dyDescent="0.3">
      <c r="A66" t="s">
        <v>29</v>
      </c>
      <c r="B66" s="11">
        <v>2022</v>
      </c>
      <c r="C66" s="12">
        <v>22.54</v>
      </c>
      <c r="D66" s="12">
        <v>1356.9590000000001</v>
      </c>
      <c r="E66" s="12">
        <v>312.31200000000001</v>
      </c>
      <c r="F66" s="12">
        <v>14.808</v>
      </c>
      <c r="G66" s="12">
        <v>1669.271</v>
      </c>
      <c r="H66" s="12">
        <v>763.59500000000003</v>
      </c>
      <c r="I66" s="12">
        <v>905.67600000000004</v>
      </c>
      <c r="J66" s="12">
        <v>762.42</v>
      </c>
      <c r="K66" s="5">
        <v>3.1565074996312899E-2</v>
      </c>
      <c r="L66" s="5">
        <v>8.1235144676734303E-2</v>
      </c>
      <c r="M66" s="8">
        <v>8.0100000000000005E-2</v>
      </c>
      <c r="N66" s="12">
        <v>23271.212500000001</v>
      </c>
      <c r="O66" s="3">
        <f t="shared" si="2"/>
        <v>48</v>
      </c>
      <c r="P66" s="13">
        <v>1975</v>
      </c>
      <c r="Q66" s="14">
        <v>134.21</v>
      </c>
      <c r="R66" s="14">
        <v>177.31</v>
      </c>
      <c r="S66" s="2">
        <f t="shared" ref="S66:S129" si="10">N66*Q66/(R66*1000)</f>
        <v>17.614513730895045</v>
      </c>
      <c r="T66" s="8">
        <f t="shared" si="3"/>
        <v>2.4887487357509747E-2</v>
      </c>
      <c r="U66" s="8">
        <f t="shared" si="4"/>
        <v>1.3502900367885142E-2</v>
      </c>
      <c r="V66" s="9">
        <f t="shared" si="5"/>
        <v>0.84312160198569908</v>
      </c>
      <c r="W66">
        <f t="shared" si="6"/>
        <v>1.7798050943049764</v>
      </c>
      <c r="X66">
        <f t="shared" ref="X66:X129" si="11">LN(100*G66/R66)</f>
        <v>6.8474128560782628</v>
      </c>
      <c r="Y66" s="8">
        <f t="shared" si="7"/>
        <v>8.8709382718563969E-3</v>
      </c>
      <c r="Z66" s="8">
        <f t="shared" si="8"/>
        <v>4.7049794705254611E-2</v>
      </c>
      <c r="AA66" s="10">
        <f t="shared" si="9"/>
        <v>4.8534925003687106E-2</v>
      </c>
    </row>
    <row r="67" spans="1:27" x14ac:dyDescent="0.3">
      <c r="A67" t="s">
        <v>30</v>
      </c>
      <c r="B67" s="11">
        <v>2022</v>
      </c>
      <c r="C67" s="12">
        <v>64.289000000000001</v>
      </c>
      <c r="D67" s="12">
        <v>299.92599999999999</v>
      </c>
      <c r="E67" s="12">
        <v>322.61399999999998</v>
      </c>
      <c r="F67" s="12">
        <v>92.004999999999995</v>
      </c>
      <c r="G67" s="12">
        <v>622.54</v>
      </c>
      <c r="H67" s="12">
        <v>151.648</v>
      </c>
      <c r="I67" s="12">
        <v>470.89100000000002</v>
      </c>
      <c r="J67" s="12">
        <v>148.07</v>
      </c>
      <c r="K67" s="5">
        <v>3.1565074996312899E-2</v>
      </c>
      <c r="L67" s="5">
        <v>8.1235144676734303E-2</v>
      </c>
      <c r="M67" s="8">
        <v>8.0100000000000005E-2</v>
      </c>
      <c r="N67" s="12">
        <v>23271.212500000001</v>
      </c>
      <c r="O67" s="3">
        <f t="shared" ref="O67:O130" si="12">B67-P67+1</f>
        <v>46</v>
      </c>
      <c r="P67" s="13">
        <v>1977</v>
      </c>
      <c r="Q67" s="14">
        <v>134.21</v>
      </c>
      <c r="R67" s="14">
        <v>177.31</v>
      </c>
      <c r="S67" s="2">
        <f t="shared" si="10"/>
        <v>17.614513730895045</v>
      </c>
      <c r="T67" s="8">
        <f t="shared" ref="T67:T130" si="13">C67/I67</f>
        <v>0.13652628739984413</v>
      </c>
      <c r="U67" s="8">
        <f t="shared" ref="U67:U130" si="14">C67/G67</f>
        <v>0.10326886625758988</v>
      </c>
      <c r="V67" s="9">
        <f t="shared" ref="V67:V130" si="15">H67/I67</f>
        <v>0.32204480442395372</v>
      </c>
      <c r="W67">
        <f t="shared" ref="W67:W130" si="16">D67/J67</f>
        <v>2.0255689876409808</v>
      </c>
      <c r="X67">
        <f t="shared" si="11"/>
        <v>5.861078456221775</v>
      </c>
      <c r="Y67" s="8">
        <f t="shared" ref="Y67:Y130" si="17">F67/G67</f>
        <v>0.14778970026022425</v>
      </c>
      <c r="Z67" s="8">
        <f t="shared" ref="Z67:Z130" si="18">(M67+1)/(K67+1)-1</f>
        <v>4.7049794705254611E-2</v>
      </c>
      <c r="AA67" s="10">
        <f t="shared" ref="AA67:AA130" si="19">M67-K67</f>
        <v>4.8534925003687106E-2</v>
      </c>
    </row>
    <row r="68" spans="1:27" x14ac:dyDescent="0.3">
      <c r="A68" t="s">
        <v>31</v>
      </c>
      <c r="B68" s="11">
        <v>2022</v>
      </c>
      <c r="C68" s="12">
        <v>117.94799999999999</v>
      </c>
      <c r="D68" s="12">
        <v>1208.2339999999999</v>
      </c>
      <c r="E68" s="12">
        <v>273.13600000000002</v>
      </c>
      <c r="F68" s="12">
        <v>257.61500000000001</v>
      </c>
      <c r="G68" s="12">
        <v>1481.37</v>
      </c>
      <c r="H68" s="12">
        <v>656.97</v>
      </c>
      <c r="I68" s="12">
        <v>824.4</v>
      </c>
      <c r="J68" s="12">
        <v>656.97</v>
      </c>
      <c r="K68" s="5">
        <v>3.1565074996312899E-2</v>
      </c>
      <c r="L68" s="5">
        <v>8.1235144676734303E-2</v>
      </c>
      <c r="M68" s="8">
        <v>8.0100000000000005E-2</v>
      </c>
      <c r="N68" s="12">
        <v>23271.212500000001</v>
      </c>
      <c r="O68" s="3">
        <f t="shared" si="12"/>
        <v>20</v>
      </c>
      <c r="P68" s="13">
        <v>2003</v>
      </c>
      <c r="Q68" s="14">
        <v>134.21</v>
      </c>
      <c r="R68" s="14">
        <v>177.31</v>
      </c>
      <c r="S68" s="2">
        <f t="shared" si="10"/>
        <v>17.614513730895045</v>
      </c>
      <c r="T68" s="8">
        <f t="shared" si="13"/>
        <v>0.14307132459970887</v>
      </c>
      <c r="U68" s="8">
        <f t="shared" si="14"/>
        <v>7.9620891472083274E-2</v>
      </c>
      <c r="V68" s="9">
        <f t="shared" si="15"/>
        <v>0.79690684133915579</v>
      </c>
      <c r="W68">
        <f t="shared" si="16"/>
        <v>1.8391007199719924</v>
      </c>
      <c r="X68">
        <f t="shared" si="11"/>
        <v>6.7279931871795151</v>
      </c>
      <c r="Y68" s="8">
        <f t="shared" si="17"/>
        <v>0.17390321121664407</v>
      </c>
      <c r="Z68" s="8">
        <f t="shared" si="18"/>
        <v>4.7049794705254611E-2</v>
      </c>
      <c r="AA68" s="10">
        <f t="shared" si="19"/>
        <v>4.8534925003687106E-2</v>
      </c>
    </row>
    <row r="69" spans="1:27" x14ac:dyDescent="0.3">
      <c r="A69" t="s">
        <v>32</v>
      </c>
      <c r="B69" s="11">
        <v>2022</v>
      </c>
      <c r="C69" s="12">
        <v>74.944000000000003</v>
      </c>
      <c r="D69" s="12">
        <v>1670.1949999999999</v>
      </c>
      <c r="E69" s="12">
        <v>511.5</v>
      </c>
      <c r="F69" s="12">
        <v>180.333</v>
      </c>
      <c r="G69" s="12">
        <v>2181.6950000000002</v>
      </c>
      <c r="H69" s="12">
        <v>1524.6</v>
      </c>
      <c r="I69" s="12">
        <v>657.09500000000003</v>
      </c>
      <c r="J69" s="12">
        <v>1364.73</v>
      </c>
      <c r="K69" s="5">
        <v>3.1565074996312899E-2</v>
      </c>
      <c r="L69" s="5">
        <v>8.1235144676734303E-2</v>
      </c>
      <c r="M69" s="8">
        <v>8.0100000000000005E-2</v>
      </c>
      <c r="N69" s="12">
        <v>23271.212500000001</v>
      </c>
      <c r="O69" s="3">
        <f t="shared" si="12"/>
        <v>17</v>
      </c>
      <c r="P69" s="13">
        <v>2006</v>
      </c>
      <c r="Q69" s="14">
        <v>134.21</v>
      </c>
      <c r="R69" s="14">
        <v>177.31</v>
      </c>
      <c r="S69" s="2">
        <f t="shared" si="10"/>
        <v>17.614513730895045</v>
      </c>
      <c r="T69" s="8">
        <f t="shared" si="13"/>
        <v>0.11405352346312177</v>
      </c>
      <c r="U69" s="8">
        <f t="shared" si="14"/>
        <v>3.4351272748940613E-2</v>
      </c>
      <c r="V69" s="9">
        <f t="shared" si="15"/>
        <v>2.3202124502545294</v>
      </c>
      <c r="W69">
        <f t="shared" si="16"/>
        <v>1.2238281564851654</v>
      </c>
      <c r="X69">
        <f t="shared" si="11"/>
        <v>7.1151279495237416</v>
      </c>
      <c r="Y69" s="8">
        <f t="shared" si="17"/>
        <v>8.2657291692926821E-2</v>
      </c>
      <c r="Z69" s="8">
        <f t="shared" si="18"/>
        <v>4.7049794705254611E-2</v>
      </c>
      <c r="AA69" s="10">
        <f t="shared" si="19"/>
        <v>4.8534925003687106E-2</v>
      </c>
    </row>
    <row r="70" spans="1:27" hidden="1" x14ac:dyDescent="0.3">
      <c r="A70" t="s">
        <v>33</v>
      </c>
      <c r="B70" s="11">
        <v>2022</v>
      </c>
      <c r="C70" s="12">
        <v>-232.983</v>
      </c>
      <c r="D70" s="12">
        <v>783.97900000000004</v>
      </c>
      <c r="E70" s="12">
        <v>796.82</v>
      </c>
      <c r="F70" s="12">
        <v>646.28</v>
      </c>
      <c r="G70" s="12">
        <v>1580.799</v>
      </c>
      <c r="H70" s="12">
        <v>1288.7860000000001</v>
      </c>
      <c r="I70" s="12">
        <v>292.01299999999998</v>
      </c>
      <c r="J70" s="12">
        <v>1028.8900000000001</v>
      </c>
      <c r="K70" s="5">
        <v>3.1565074996312899E-2</v>
      </c>
      <c r="L70" s="5">
        <v>8.1235144676734303E-2</v>
      </c>
      <c r="M70" s="8">
        <v>8.0100000000000005E-2</v>
      </c>
      <c r="N70" s="12">
        <v>23271.212500000001</v>
      </c>
      <c r="O70" s="3">
        <f t="shared" si="12"/>
        <v>47</v>
      </c>
      <c r="P70" s="13">
        <v>1976</v>
      </c>
      <c r="Q70" s="14">
        <v>134.21</v>
      </c>
      <c r="R70" s="14">
        <v>177.31</v>
      </c>
      <c r="S70" s="2">
        <f t="shared" si="10"/>
        <v>17.614513730895045</v>
      </c>
      <c r="T70" s="8">
        <f t="shared" si="13"/>
        <v>-0.79785146551694619</v>
      </c>
      <c r="U70" s="8">
        <f t="shared" si="14"/>
        <v>-0.14738306388098676</v>
      </c>
      <c r="V70" s="9">
        <f t="shared" si="15"/>
        <v>4.4134541955323909</v>
      </c>
      <c r="W70">
        <f t="shared" si="16"/>
        <v>0.7619658078123025</v>
      </c>
      <c r="X70">
        <f t="shared" si="11"/>
        <v>6.7929562673215047</v>
      </c>
      <c r="Y70" s="8">
        <f t="shared" si="17"/>
        <v>0.4088312302829139</v>
      </c>
      <c r="Z70" s="8">
        <f t="shared" si="18"/>
        <v>4.7049794705254611E-2</v>
      </c>
      <c r="AA70" s="10">
        <f t="shared" si="19"/>
        <v>4.8534925003687106E-2</v>
      </c>
    </row>
    <row r="71" spans="1:27" x14ac:dyDescent="0.3">
      <c r="A71" t="s">
        <v>34</v>
      </c>
      <c r="B71" s="11">
        <v>2022</v>
      </c>
      <c r="C71" s="12">
        <v>673.745</v>
      </c>
      <c r="D71" s="12">
        <v>3255.1010000000001</v>
      </c>
      <c r="E71" s="12">
        <v>2212.5520000000001</v>
      </c>
      <c r="F71" s="12">
        <v>1102.095</v>
      </c>
      <c r="G71" s="12">
        <v>5467.6530000000002</v>
      </c>
      <c r="H71" s="12">
        <v>2585.4499999999998</v>
      </c>
      <c r="I71" s="12">
        <v>2882.203</v>
      </c>
      <c r="J71" s="12">
        <v>2417.5100000000002</v>
      </c>
      <c r="K71" s="5">
        <v>3.1565074996312899E-2</v>
      </c>
      <c r="L71" s="5">
        <v>8.1235144676734303E-2</v>
      </c>
      <c r="M71" s="8">
        <v>8.0100000000000005E-2</v>
      </c>
      <c r="N71" s="12">
        <v>23271.212500000001</v>
      </c>
      <c r="O71" s="3">
        <f t="shared" si="12"/>
        <v>30</v>
      </c>
      <c r="P71" s="13">
        <v>1993</v>
      </c>
      <c r="Q71" s="14">
        <v>134.21</v>
      </c>
      <c r="R71" s="14">
        <v>177.31</v>
      </c>
      <c r="S71" s="2">
        <f t="shared" si="10"/>
        <v>17.614513730895045</v>
      </c>
      <c r="T71" s="8">
        <f t="shared" si="13"/>
        <v>0.23376042561887556</v>
      </c>
      <c r="U71" s="8">
        <f t="shared" si="14"/>
        <v>0.12322380370517294</v>
      </c>
      <c r="V71" s="9">
        <f t="shared" si="15"/>
        <v>0.8970395215049044</v>
      </c>
      <c r="W71">
        <f t="shared" si="16"/>
        <v>1.3464684737601913</v>
      </c>
      <c r="X71">
        <f t="shared" si="11"/>
        <v>8.0338753086176808</v>
      </c>
      <c r="Y71" s="8">
        <f t="shared" si="17"/>
        <v>0.2015663759203446</v>
      </c>
      <c r="Z71" s="8">
        <f t="shared" si="18"/>
        <v>4.7049794705254611E-2</v>
      </c>
      <c r="AA71" s="10">
        <f t="shared" si="19"/>
        <v>4.8534925003687106E-2</v>
      </c>
    </row>
    <row r="72" spans="1:27" x14ac:dyDescent="0.3">
      <c r="A72" t="s">
        <v>35</v>
      </c>
      <c r="B72" s="11">
        <v>2022</v>
      </c>
      <c r="C72" s="12">
        <v>962.58500000000004</v>
      </c>
      <c r="D72" s="12">
        <v>9248.6270000000004</v>
      </c>
      <c r="E72" s="12">
        <v>9837.7189999999991</v>
      </c>
      <c r="F72" s="12">
        <v>6845.6589999999997</v>
      </c>
      <c r="G72" s="12">
        <v>19086.345000000001</v>
      </c>
      <c r="H72" s="12">
        <v>11246.527</v>
      </c>
      <c r="I72" s="12">
        <v>7839.8180000000002</v>
      </c>
      <c r="J72" s="12">
        <v>7597.61</v>
      </c>
      <c r="K72" s="5">
        <v>3.1565074996312899E-2</v>
      </c>
      <c r="L72" s="5">
        <v>8.1235144676734303E-2</v>
      </c>
      <c r="M72" s="8">
        <v>8.0100000000000005E-2</v>
      </c>
      <c r="N72" s="12">
        <v>23271.212500000001</v>
      </c>
      <c r="O72" s="3">
        <f t="shared" si="12"/>
        <v>26</v>
      </c>
      <c r="P72" s="13">
        <v>1997</v>
      </c>
      <c r="Q72" s="14">
        <v>134.21</v>
      </c>
      <c r="R72" s="14">
        <v>177.31</v>
      </c>
      <c r="S72" s="2">
        <f t="shared" si="10"/>
        <v>17.614513730895045</v>
      </c>
      <c r="T72" s="8">
        <f t="shared" si="13"/>
        <v>0.12278154926555693</v>
      </c>
      <c r="U72" s="8">
        <f t="shared" si="14"/>
        <v>5.0433176179095575E-2</v>
      </c>
      <c r="V72" s="9">
        <f t="shared" si="15"/>
        <v>1.4345392967030612</v>
      </c>
      <c r="W72">
        <f t="shared" si="16"/>
        <v>1.2173074164112136</v>
      </c>
      <c r="X72">
        <f t="shared" si="11"/>
        <v>9.2839990098097278</v>
      </c>
      <c r="Y72" s="8">
        <f t="shared" si="17"/>
        <v>0.35866788533896876</v>
      </c>
      <c r="Z72" s="8">
        <f t="shared" si="18"/>
        <v>4.7049794705254611E-2</v>
      </c>
      <c r="AA72" s="10">
        <f t="shared" si="19"/>
        <v>4.8534925003687106E-2</v>
      </c>
    </row>
    <row r="73" spans="1:27" x14ac:dyDescent="0.3">
      <c r="A73" t="s">
        <v>36</v>
      </c>
      <c r="B73" s="11">
        <v>2022</v>
      </c>
      <c r="C73" s="12">
        <v>287.779</v>
      </c>
      <c r="D73" s="12">
        <v>2662.7</v>
      </c>
      <c r="E73" s="12">
        <v>2066.3960000000002</v>
      </c>
      <c r="F73" s="12">
        <v>1096.1010000000001</v>
      </c>
      <c r="G73" s="12">
        <v>4729.0959999999995</v>
      </c>
      <c r="H73" s="12">
        <v>2986.4279999999999</v>
      </c>
      <c r="I73" s="12">
        <v>1742.6679999999999</v>
      </c>
      <c r="J73" s="12">
        <v>2291.7199999999998</v>
      </c>
      <c r="K73" s="5">
        <v>3.1565074996312899E-2</v>
      </c>
      <c r="L73" s="5">
        <v>8.1235144676734303E-2</v>
      </c>
      <c r="M73" s="8">
        <v>8.0100000000000005E-2</v>
      </c>
      <c r="N73" s="12">
        <v>23271.212500000001</v>
      </c>
      <c r="O73" s="3">
        <f t="shared" si="12"/>
        <v>6</v>
      </c>
      <c r="P73" s="13">
        <v>2017</v>
      </c>
      <c r="Q73" s="14">
        <v>134.21</v>
      </c>
      <c r="R73" s="14">
        <v>177.31</v>
      </c>
      <c r="S73" s="2">
        <f t="shared" si="10"/>
        <v>17.614513730895045</v>
      </c>
      <c r="T73" s="8">
        <f t="shared" si="13"/>
        <v>0.16513701978804915</v>
      </c>
      <c r="U73" s="8">
        <f t="shared" si="14"/>
        <v>6.08528564444452E-2</v>
      </c>
      <c r="V73" s="9">
        <f t="shared" si="15"/>
        <v>1.7137102419967545</v>
      </c>
      <c r="W73">
        <f t="shared" si="16"/>
        <v>1.1618784144659906</v>
      </c>
      <c r="X73">
        <f t="shared" si="11"/>
        <v>7.8887599156319217</v>
      </c>
      <c r="Y73" s="8">
        <f t="shared" si="17"/>
        <v>0.23177812419117738</v>
      </c>
      <c r="Z73" s="8">
        <f t="shared" si="18"/>
        <v>4.7049794705254611E-2</v>
      </c>
      <c r="AA73" s="10">
        <f t="shared" si="19"/>
        <v>4.8534925003687106E-2</v>
      </c>
    </row>
    <row r="74" spans="1:27" x14ac:dyDescent="0.3">
      <c r="A74" t="s">
        <v>37</v>
      </c>
      <c r="B74" s="11">
        <v>2022</v>
      </c>
      <c r="C74" s="12">
        <v>192.917</v>
      </c>
      <c r="D74" s="12">
        <v>694.73800000000006</v>
      </c>
      <c r="E74" s="12">
        <v>1155.6389999999999</v>
      </c>
      <c r="F74" s="12">
        <v>657.40800000000002</v>
      </c>
      <c r="G74" s="12">
        <v>1850.3779999999999</v>
      </c>
      <c r="H74" s="12">
        <v>487.05599999999998</v>
      </c>
      <c r="I74" s="12">
        <v>1363.3209999999999</v>
      </c>
      <c r="J74" s="12">
        <v>472.47</v>
      </c>
      <c r="K74" s="5">
        <v>3.1565074996312899E-2</v>
      </c>
      <c r="L74" s="5">
        <v>8.1235144676734303E-2</v>
      </c>
      <c r="M74" s="8">
        <v>8.0100000000000005E-2</v>
      </c>
      <c r="N74" s="12">
        <v>23271.212500000001</v>
      </c>
      <c r="O74" s="3">
        <f t="shared" si="12"/>
        <v>24</v>
      </c>
      <c r="P74" s="13">
        <v>1999</v>
      </c>
      <c r="Q74" s="14">
        <v>134.21</v>
      </c>
      <c r="R74" s="14">
        <v>177.31</v>
      </c>
      <c r="S74" s="2">
        <f t="shared" si="10"/>
        <v>17.614513730895045</v>
      </c>
      <c r="T74" s="8">
        <f t="shared" si="13"/>
        <v>0.14150519210075985</v>
      </c>
      <c r="U74" s="8">
        <f t="shared" si="14"/>
        <v>0.10425815698197882</v>
      </c>
      <c r="V74" s="9">
        <f t="shared" si="15"/>
        <v>0.35725702164053807</v>
      </c>
      <c r="W74">
        <f t="shared" si="16"/>
        <v>1.4704383347090821</v>
      </c>
      <c r="X74">
        <f t="shared" si="11"/>
        <v>6.9504157944445168</v>
      </c>
      <c r="Y74" s="8">
        <f t="shared" si="17"/>
        <v>0.3552830826998592</v>
      </c>
      <c r="Z74" s="8">
        <f t="shared" si="18"/>
        <v>4.7049794705254611E-2</v>
      </c>
      <c r="AA74" s="10">
        <f t="shared" si="19"/>
        <v>4.8534925003687106E-2</v>
      </c>
    </row>
    <row r="75" spans="1:27" x14ac:dyDescent="0.3">
      <c r="A75" t="s">
        <v>38</v>
      </c>
      <c r="B75" s="11">
        <v>2022</v>
      </c>
      <c r="C75" s="12">
        <v>502.76900000000001</v>
      </c>
      <c r="D75" s="12">
        <v>4843.3090000000002</v>
      </c>
      <c r="E75" s="12">
        <v>2389.87</v>
      </c>
      <c r="F75" s="12">
        <v>1840.3150000000001</v>
      </c>
      <c r="G75" s="12">
        <v>7233.1779999999999</v>
      </c>
      <c r="H75" s="12">
        <v>1928.325</v>
      </c>
      <c r="I75" s="12">
        <v>5304.8530000000001</v>
      </c>
      <c r="J75" s="12">
        <v>1815.51</v>
      </c>
      <c r="K75" s="5">
        <v>3.1565074996312899E-2</v>
      </c>
      <c r="L75" s="5">
        <v>8.1235144676734303E-2</v>
      </c>
      <c r="M75" s="8">
        <v>8.0100000000000005E-2</v>
      </c>
      <c r="N75" s="12">
        <v>23271.212500000001</v>
      </c>
      <c r="O75" s="3">
        <f t="shared" si="12"/>
        <v>133</v>
      </c>
      <c r="P75" s="13">
        <v>1890</v>
      </c>
      <c r="Q75" s="14">
        <v>134.21</v>
      </c>
      <c r="R75" s="14">
        <v>177.31</v>
      </c>
      <c r="S75" s="2">
        <f t="shared" si="10"/>
        <v>17.614513730895045</v>
      </c>
      <c r="T75" s="8">
        <f t="shared" si="13"/>
        <v>9.4775293490696161E-2</v>
      </c>
      <c r="U75" s="8">
        <f t="shared" si="14"/>
        <v>6.9508727698945061E-2</v>
      </c>
      <c r="V75" s="9">
        <f t="shared" si="15"/>
        <v>0.36350206122582474</v>
      </c>
      <c r="W75">
        <f t="shared" si="16"/>
        <v>2.6677401942153995</v>
      </c>
      <c r="X75">
        <f t="shared" si="11"/>
        <v>8.3137043488946745</v>
      </c>
      <c r="Y75" s="8">
        <f t="shared" si="17"/>
        <v>0.25442689230100518</v>
      </c>
      <c r="Z75" s="8">
        <f t="shared" si="18"/>
        <v>4.7049794705254611E-2</v>
      </c>
      <c r="AA75" s="10">
        <f t="shared" si="19"/>
        <v>4.8534925003687106E-2</v>
      </c>
    </row>
    <row r="76" spans="1:27" x14ac:dyDescent="0.3">
      <c r="A76" t="s">
        <v>39</v>
      </c>
      <c r="B76" s="11">
        <v>2022</v>
      </c>
      <c r="C76" s="12">
        <v>26.34</v>
      </c>
      <c r="D76" s="12">
        <v>788.45799999999997</v>
      </c>
      <c r="E76" s="12">
        <v>135.858</v>
      </c>
      <c r="F76" s="12">
        <v>60.73</v>
      </c>
      <c r="G76" s="12">
        <v>924.31600000000003</v>
      </c>
      <c r="H76" s="12">
        <v>52.892000000000003</v>
      </c>
      <c r="I76" s="12">
        <v>871.42399999999998</v>
      </c>
      <c r="J76" s="12">
        <v>51.49</v>
      </c>
      <c r="K76" s="5">
        <v>3.1565074996312899E-2</v>
      </c>
      <c r="L76" s="5">
        <v>8.1235144676734303E-2</v>
      </c>
      <c r="M76" s="8">
        <v>8.0100000000000005E-2</v>
      </c>
      <c r="N76" s="12">
        <v>23271.212500000001</v>
      </c>
      <c r="O76" s="3">
        <f t="shared" si="12"/>
        <v>8</v>
      </c>
      <c r="P76" s="13">
        <v>2015</v>
      </c>
      <c r="Q76" s="14">
        <v>134.21</v>
      </c>
      <c r="R76" s="14">
        <v>177.31</v>
      </c>
      <c r="S76" s="2">
        <f t="shared" si="10"/>
        <v>17.614513730895045</v>
      </c>
      <c r="T76" s="8">
        <f t="shared" si="13"/>
        <v>3.0226388072855465E-2</v>
      </c>
      <c r="U76" s="8">
        <f t="shared" si="14"/>
        <v>2.8496747865448611E-2</v>
      </c>
      <c r="V76" s="9">
        <f t="shared" si="15"/>
        <v>6.0696056110458287E-2</v>
      </c>
      <c r="W76">
        <f t="shared" si="16"/>
        <v>15.312837444163915</v>
      </c>
      <c r="X76">
        <f t="shared" si="11"/>
        <v>6.2563245774371605</v>
      </c>
      <c r="Y76" s="8">
        <f t="shared" si="17"/>
        <v>6.5702638491598103E-2</v>
      </c>
      <c r="Z76" s="8">
        <f t="shared" si="18"/>
        <v>4.7049794705254611E-2</v>
      </c>
      <c r="AA76" s="10">
        <f t="shared" si="19"/>
        <v>4.8534925003687106E-2</v>
      </c>
    </row>
    <row r="77" spans="1:27" x14ac:dyDescent="0.3">
      <c r="A77" t="s">
        <v>40</v>
      </c>
      <c r="B77" s="11">
        <v>2022</v>
      </c>
      <c r="C77" s="12">
        <v>140.44999999999999</v>
      </c>
      <c r="D77" s="12">
        <v>1340.989</v>
      </c>
      <c r="E77" s="12">
        <v>44.124000000000002</v>
      </c>
      <c r="F77" s="12">
        <v>37.664999999999999</v>
      </c>
      <c r="G77" s="12">
        <v>1385.1130000000001</v>
      </c>
      <c r="H77" s="12">
        <v>543.47199999999998</v>
      </c>
      <c r="I77" s="12">
        <v>841.64099999999996</v>
      </c>
      <c r="J77" s="12">
        <v>542.97</v>
      </c>
      <c r="K77" s="5">
        <v>3.1565074996312899E-2</v>
      </c>
      <c r="L77" s="5">
        <v>8.1235144676734303E-2</v>
      </c>
      <c r="M77" s="8">
        <v>8.0100000000000005E-2</v>
      </c>
      <c r="N77" s="12">
        <v>23271.212500000001</v>
      </c>
      <c r="O77" s="3">
        <f t="shared" si="12"/>
        <v>31</v>
      </c>
      <c r="P77" s="13">
        <v>1992</v>
      </c>
      <c r="Q77" s="14">
        <v>134.21</v>
      </c>
      <c r="R77" s="14">
        <v>177.31</v>
      </c>
      <c r="S77" s="2">
        <f t="shared" si="10"/>
        <v>17.614513730895045</v>
      </c>
      <c r="T77" s="8">
        <f t="shared" si="13"/>
        <v>0.16687637603206118</v>
      </c>
      <c r="U77" s="8">
        <f t="shared" si="14"/>
        <v>0.10139966919666481</v>
      </c>
      <c r="V77" s="9">
        <f t="shared" si="15"/>
        <v>0.64572899846846821</v>
      </c>
      <c r="W77">
        <f t="shared" si="16"/>
        <v>2.4697294509825589</v>
      </c>
      <c r="X77">
        <f t="shared" si="11"/>
        <v>6.6608075766601305</v>
      </c>
      <c r="Y77" s="8">
        <f t="shared" si="17"/>
        <v>2.7192727235972804E-2</v>
      </c>
      <c r="Z77" s="8">
        <f t="shared" si="18"/>
        <v>4.7049794705254611E-2</v>
      </c>
      <c r="AA77" s="10">
        <f t="shared" si="19"/>
        <v>4.8534925003687106E-2</v>
      </c>
    </row>
    <row r="78" spans="1:27" x14ac:dyDescent="0.3">
      <c r="A78" t="s">
        <v>41</v>
      </c>
      <c r="B78" s="11">
        <v>2022</v>
      </c>
      <c r="C78" s="12">
        <v>90.879000000000005</v>
      </c>
      <c r="D78" s="12">
        <v>2149.652</v>
      </c>
      <c r="E78" s="12">
        <v>764.38</v>
      </c>
      <c r="F78" s="12">
        <v>373.68700000000001</v>
      </c>
      <c r="G78" s="12">
        <v>2914.0320000000002</v>
      </c>
      <c r="H78" s="12">
        <v>1518.981</v>
      </c>
      <c r="I78" s="12">
        <v>1395.05</v>
      </c>
      <c r="J78" s="12">
        <v>1491.1</v>
      </c>
      <c r="K78" s="5">
        <v>3.1565074996312899E-2</v>
      </c>
      <c r="L78" s="5">
        <v>8.1235144676734303E-2</v>
      </c>
      <c r="M78" s="8">
        <v>8.0100000000000005E-2</v>
      </c>
      <c r="N78" s="12">
        <v>23271.212500000001</v>
      </c>
      <c r="O78" s="3">
        <f t="shared" si="12"/>
        <v>46</v>
      </c>
      <c r="P78" s="13">
        <v>1977</v>
      </c>
      <c r="Q78" s="14">
        <v>134.21</v>
      </c>
      <c r="R78" s="14">
        <v>177.31</v>
      </c>
      <c r="S78" s="2">
        <f t="shared" si="10"/>
        <v>17.614513730895045</v>
      </c>
      <c r="T78" s="8">
        <f t="shared" si="13"/>
        <v>6.5143901652270533E-2</v>
      </c>
      <c r="U78" s="8">
        <f t="shared" si="14"/>
        <v>3.1186685664399017E-2</v>
      </c>
      <c r="V78" s="9">
        <f t="shared" si="15"/>
        <v>1.0888362424285869</v>
      </c>
      <c r="W78">
        <f t="shared" si="16"/>
        <v>1.4416551539132185</v>
      </c>
      <c r="X78">
        <f t="shared" si="11"/>
        <v>7.4045635410828199</v>
      </c>
      <c r="Y78" s="8">
        <f t="shared" si="17"/>
        <v>0.12823709554321983</v>
      </c>
      <c r="Z78" s="8">
        <f t="shared" si="18"/>
        <v>4.7049794705254611E-2</v>
      </c>
      <c r="AA78" s="10">
        <f t="shared" si="19"/>
        <v>4.8534925003687106E-2</v>
      </c>
    </row>
    <row r="79" spans="1:27" x14ac:dyDescent="0.3">
      <c r="A79" t="s">
        <v>42</v>
      </c>
      <c r="B79" s="11">
        <v>2022</v>
      </c>
      <c r="C79" s="12">
        <v>79.185000000000002</v>
      </c>
      <c r="D79" s="12">
        <v>3012.424</v>
      </c>
      <c r="E79" s="12">
        <v>1191.8130000000001</v>
      </c>
      <c r="F79" s="12">
        <v>1097.47</v>
      </c>
      <c r="G79" s="12">
        <v>4204.2370000000001</v>
      </c>
      <c r="H79" s="12">
        <v>2902.8029999999999</v>
      </c>
      <c r="I79" s="12">
        <v>1301.434</v>
      </c>
      <c r="J79" s="12">
        <v>2751.26</v>
      </c>
      <c r="K79" s="5">
        <v>3.1565074996312899E-2</v>
      </c>
      <c r="L79" s="5">
        <v>8.1235144676734303E-2</v>
      </c>
      <c r="M79" s="8">
        <v>8.0100000000000005E-2</v>
      </c>
      <c r="N79" s="12">
        <v>23271.212500000001</v>
      </c>
      <c r="O79" s="3">
        <f t="shared" si="12"/>
        <v>47</v>
      </c>
      <c r="P79" s="13">
        <v>1976</v>
      </c>
      <c r="Q79" s="14">
        <v>134.21</v>
      </c>
      <c r="R79" s="14">
        <v>177.31</v>
      </c>
      <c r="S79" s="2">
        <f t="shared" si="10"/>
        <v>17.614513730895045</v>
      </c>
      <c r="T79" s="8">
        <f t="shared" si="13"/>
        <v>6.084442238330949E-2</v>
      </c>
      <c r="U79" s="8">
        <f t="shared" si="14"/>
        <v>1.8834570934036308E-2</v>
      </c>
      <c r="V79" s="9">
        <f t="shared" si="15"/>
        <v>2.2304650101349743</v>
      </c>
      <c r="W79">
        <f t="shared" si="16"/>
        <v>1.0949252342563043</v>
      </c>
      <c r="X79">
        <f t="shared" si="11"/>
        <v>7.7711186782080981</v>
      </c>
      <c r="Y79" s="8">
        <f t="shared" si="17"/>
        <v>0.26103904228044233</v>
      </c>
      <c r="Z79" s="8">
        <f t="shared" si="18"/>
        <v>4.7049794705254611E-2</v>
      </c>
      <c r="AA79" s="10">
        <f t="shared" si="19"/>
        <v>4.8534925003687106E-2</v>
      </c>
    </row>
    <row r="80" spans="1:27" x14ac:dyDescent="0.3">
      <c r="A80" t="s">
        <v>43</v>
      </c>
      <c r="B80" s="11">
        <v>2022</v>
      </c>
      <c r="C80" s="12">
        <v>117.53</v>
      </c>
      <c r="D80" s="12">
        <v>1733.807</v>
      </c>
      <c r="E80" s="12">
        <v>792.88900000000001</v>
      </c>
      <c r="F80" s="12">
        <v>173.36099999999999</v>
      </c>
      <c r="G80" s="12">
        <v>2526.6959999999999</v>
      </c>
      <c r="H80" s="12">
        <v>1602.0509999999999</v>
      </c>
      <c r="I80" s="12">
        <v>924.64499999999998</v>
      </c>
      <c r="J80" s="12">
        <v>1473.3</v>
      </c>
      <c r="K80" s="5">
        <v>3.1565074996312899E-2</v>
      </c>
      <c r="L80" s="5">
        <v>8.1235144676734303E-2</v>
      </c>
      <c r="M80" s="8">
        <v>8.0100000000000005E-2</v>
      </c>
      <c r="N80" s="12">
        <v>23271.212500000001</v>
      </c>
      <c r="O80" s="3">
        <f t="shared" si="12"/>
        <v>14</v>
      </c>
      <c r="P80" s="13">
        <v>2009</v>
      </c>
      <c r="Q80" s="14">
        <v>134.21</v>
      </c>
      <c r="R80" s="14">
        <v>177.31</v>
      </c>
      <c r="S80" s="2">
        <f t="shared" si="10"/>
        <v>17.614513730895045</v>
      </c>
      <c r="T80" s="8">
        <f t="shared" si="13"/>
        <v>0.12710824154134831</v>
      </c>
      <c r="U80" s="8">
        <f t="shared" si="14"/>
        <v>4.651529111535381E-2</v>
      </c>
      <c r="V80" s="9">
        <f t="shared" si="15"/>
        <v>1.7326119754067777</v>
      </c>
      <c r="W80">
        <f t="shared" si="16"/>
        <v>1.1768187063055726</v>
      </c>
      <c r="X80">
        <f t="shared" si="11"/>
        <v>7.2619383723187925</v>
      </c>
      <c r="Y80" s="8">
        <f t="shared" si="17"/>
        <v>6.8611736433666734E-2</v>
      </c>
      <c r="Z80" s="8">
        <f t="shared" si="18"/>
        <v>4.7049794705254611E-2</v>
      </c>
      <c r="AA80" s="10">
        <f t="shared" si="19"/>
        <v>4.8534925003687106E-2</v>
      </c>
    </row>
    <row r="81" spans="1:27" x14ac:dyDescent="0.3">
      <c r="A81" t="s">
        <v>44</v>
      </c>
      <c r="B81" s="11">
        <v>2022</v>
      </c>
      <c r="C81" s="12">
        <v>80.099000000000004</v>
      </c>
      <c r="D81" s="12">
        <v>1286.5</v>
      </c>
      <c r="E81" s="12">
        <v>466.16399999999999</v>
      </c>
      <c r="F81" s="12">
        <v>271.42099999999999</v>
      </c>
      <c r="G81" s="12">
        <v>1752.664</v>
      </c>
      <c r="H81" s="12">
        <v>986.37199999999996</v>
      </c>
      <c r="I81" s="12">
        <v>766.29200000000003</v>
      </c>
      <c r="J81" s="12">
        <v>942.67</v>
      </c>
      <c r="K81" s="5">
        <v>3.1565074996312899E-2</v>
      </c>
      <c r="L81" s="5">
        <v>8.1235144676734303E-2</v>
      </c>
      <c r="M81" s="8">
        <v>8.0100000000000005E-2</v>
      </c>
      <c r="N81" s="12">
        <v>23271.212500000001</v>
      </c>
      <c r="O81" s="3">
        <f t="shared" si="12"/>
        <v>15</v>
      </c>
      <c r="P81" s="13">
        <v>2008</v>
      </c>
      <c r="Q81" s="14">
        <v>134.21</v>
      </c>
      <c r="R81" s="14">
        <v>177.31</v>
      </c>
      <c r="S81" s="2">
        <f t="shared" si="10"/>
        <v>17.614513730895045</v>
      </c>
      <c r="T81" s="8">
        <f t="shared" si="13"/>
        <v>0.10452803891988954</v>
      </c>
      <c r="U81" s="8">
        <f t="shared" si="14"/>
        <v>4.5701286726948238E-2</v>
      </c>
      <c r="V81" s="9">
        <f t="shared" si="15"/>
        <v>1.2872012235544674</v>
      </c>
      <c r="W81">
        <f t="shared" si="16"/>
        <v>1.3647405772964027</v>
      </c>
      <c r="X81">
        <f t="shared" si="11"/>
        <v>6.8961627680486925</v>
      </c>
      <c r="Y81" s="8">
        <f t="shared" si="17"/>
        <v>0.15486197012091307</v>
      </c>
      <c r="Z81" s="8">
        <f t="shared" si="18"/>
        <v>4.7049794705254611E-2</v>
      </c>
      <c r="AA81" s="10">
        <f t="shared" si="19"/>
        <v>4.8534925003687106E-2</v>
      </c>
    </row>
    <row r="82" spans="1:27" x14ac:dyDescent="0.3">
      <c r="A82" t="s">
        <v>45</v>
      </c>
      <c r="B82" s="11">
        <v>2022</v>
      </c>
      <c r="C82" s="12">
        <v>5.1950000000000003</v>
      </c>
      <c r="D82" s="12">
        <v>7065.13</v>
      </c>
      <c r="E82" s="12">
        <v>5908.9740000000002</v>
      </c>
      <c r="F82" s="12">
        <v>4301.7650000000003</v>
      </c>
      <c r="G82" s="12">
        <v>12974.103999999999</v>
      </c>
      <c r="H82" s="12">
        <v>8332.8760000000002</v>
      </c>
      <c r="I82" s="12">
        <v>4641.2280000000001</v>
      </c>
      <c r="J82" s="12">
        <v>7213.03</v>
      </c>
      <c r="K82" s="5">
        <v>3.1565074996312899E-2</v>
      </c>
      <c r="L82" s="5">
        <v>8.1235144676734303E-2</v>
      </c>
      <c r="M82" s="8">
        <v>8.0100000000000005E-2</v>
      </c>
      <c r="N82" s="12">
        <v>23271.212500000001</v>
      </c>
      <c r="O82" s="3">
        <f t="shared" si="12"/>
        <v>27</v>
      </c>
      <c r="P82" s="13">
        <v>1996</v>
      </c>
      <c r="Q82" s="14">
        <v>134.21</v>
      </c>
      <c r="R82" s="14">
        <v>177.31</v>
      </c>
      <c r="S82" s="2">
        <f t="shared" si="10"/>
        <v>17.614513730895045</v>
      </c>
      <c r="T82" s="8">
        <f t="shared" si="13"/>
        <v>1.1193158362398916E-3</v>
      </c>
      <c r="U82" s="8">
        <f t="shared" si="14"/>
        <v>4.00413007325978E-4</v>
      </c>
      <c r="V82" s="9">
        <f t="shared" si="15"/>
        <v>1.7954032855097832</v>
      </c>
      <c r="W82">
        <f t="shared" si="16"/>
        <v>0.97949544088961227</v>
      </c>
      <c r="X82">
        <f t="shared" si="11"/>
        <v>8.8979812226921311</v>
      </c>
      <c r="Y82" s="8">
        <f t="shared" si="17"/>
        <v>0.33156547843303863</v>
      </c>
      <c r="Z82" s="8">
        <f t="shared" si="18"/>
        <v>4.7049794705254611E-2</v>
      </c>
      <c r="AA82" s="10">
        <f t="shared" si="19"/>
        <v>4.8534925003687106E-2</v>
      </c>
    </row>
    <row r="83" spans="1:27" x14ac:dyDescent="0.3">
      <c r="A83" t="s">
        <v>46</v>
      </c>
      <c r="B83" s="11">
        <v>2022</v>
      </c>
      <c r="C83" s="12">
        <v>14.855</v>
      </c>
      <c r="D83" s="12">
        <v>1012.023</v>
      </c>
      <c r="E83" s="12">
        <v>473.065</v>
      </c>
      <c r="F83" s="12">
        <v>337.43099999999998</v>
      </c>
      <c r="G83" s="12">
        <v>1485.088</v>
      </c>
      <c r="H83" s="12">
        <v>551.13</v>
      </c>
      <c r="I83" s="12">
        <v>933.95799999999997</v>
      </c>
      <c r="J83" s="12">
        <v>519.02</v>
      </c>
      <c r="K83" s="5">
        <v>3.1565074996312899E-2</v>
      </c>
      <c r="L83" s="5">
        <v>8.1235144676734303E-2</v>
      </c>
      <c r="M83" s="8">
        <v>8.0100000000000005E-2</v>
      </c>
      <c r="N83" s="12">
        <v>23271.212500000001</v>
      </c>
      <c r="O83" s="3">
        <f t="shared" si="12"/>
        <v>50</v>
      </c>
      <c r="P83" s="13">
        <v>1973</v>
      </c>
      <c r="Q83" s="14">
        <v>134.21</v>
      </c>
      <c r="R83" s="14">
        <v>177.31</v>
      </c>
      <c r="S83" s="2">
        <f t="shared" si="10"/>
        <v>17.614513730895045</v>
      </c>
      <c r="T83" s="8">
        <f t="shared" si="13"/>
        <v>1.5905426154066885E-2</v>
      </c>
      <c r="U83" s="8">
        <f t="shared" si="14"/>
        <v>1.0002774246374626E-2</v>
      </c>
      <c r="V83" s="9">
        <f t="shared" si="15"/>
        <v>0.59010148207949398</v>
      </c>
      <c r="W83">
        <f t="shared" si="16"/>
        <v>1.9498728372702401</v>
      </c>
      <c r="X83">
        <f t="shared" si="11"/>
        <v>6.730499881659493</v>
      </c>
      <c r="Y83" s="8">
        <f t="shared" si="17"/>
        <v>0.22721279816414919</v>
      </c>
      <c r="Z83" s="8">
        <f t="shared" si="18"/>
        <v>4.7049794705254611E-2</v>
      </c>
      <c r="AA83" s="10">
        <f t="shared" si="19"/>
        <v>4.8534925003687106E-2</v>
      </c>
    </row>
    <row r="84" spans="1:27" x14ac:dyDescent="0.3">
      <c r="A84" t="s">
        <v>47</v>
      </c>
      <c r="B84" s="11">
        <v>2022</v>
      </c>
      <c r="C84" s="12">
        <v>307.185</v>
      </c>
      <c r="D84" s="12">
        <v>2457.4259999999999</v>
      </c>
      <c r="E84" s="12">
        <v>960.37300000000005</v>
      </c>
      <c r="F84" s="12">
        <v>900.54100000000005</v>
      </c>
      <c r="G84" s="12">
        <v>3417.799</v>
      </c>
      <c r="H84" s="12">
        <v>1508.0360000000001</v>
      </c>
      <c r="I84" s="12">
        <v>1909.7629999999999</v>
      </c>
      <c r="J84" s="12">
        <v>1506.93</v>
      </c>
      <c r="K84" s="5">
        <v>3.1565074996312899E-2</v>
      </c>
      <c r="L84" s="5">
        <v>8.1235144676734303E-2</v>
      </c>
      <c r="M84" s="8">
        <v>8.0100000000000005E-2</v>
      </c>
      <c r="N84" s="12">
        <v>23271.212500000001</v>
      </c>
      <c r="O84" s="3">
        <f t="shared" si="12"/>
        <v>48</v>
      </c>
      <c r="P84" s="13">
        <v>1975</v>
      </c>
      <c r="Q84" s="14">
        <v>134.21</v>
      </c>
      <c r="R84" s="14">
        <v>177.31</v>
      </c>
      <c r="S84" s="2">
        <f t="shared" si="10"/>
        <v>17.614513730895045</v>
      </c>
      <c r="T84" s="8">
        <f t="shared" si="13"/>
        <v>0.16084980178168706</v>
      </c>
      <c r="U84" s="8">
        <f t="shared" si="14"/>
        <v>8.9878017987599618E-2</v>
      </c>
      <c r="V84" s="9">
        <f t="shared" si="15"/>
        <v>0.78964562618502931</v>
      </c>
      <c r="W84">
        <f t="shared" si="16"/>
        <v>1.630749935298919</v>
      </c>
      <c r="X84">
        <f t="shared" si="11"/>
        <v>7.5640226285460859</v>
      </c>
      <c r="Y84" s="8">
        <f t="shared" si="17"/>
        <v>0.26348565260859402</v>
      </c>
      <c r="Z84" s="8">
        <f t="shared" si="18"/>
        <v>4.7049794705254611E-2</v>
      </c>
      <c r="AA84" s="10">
        <f t="shared" si="19"/>
        <v>4.8534925003687106E-2</v>
      </c>
    </row>
    <row r="85" spans="1:27" x14ac:dyDescent="0.3">
      <c r="A85" t="s">
        <v>48</v>
      </c>
      <c r="B85" s="11">
        <v>2022</v>
      </c>
      <c r="C85" s="12">
        <v>91.828999999999994</v>
      </c>
      <c r="D85" s="12">
        <v>1055.146</v>
      </c>
      <c r="E85" s="12">
        <v>401.55</v>
      </c>
      <c r="F85" s="12">
        <v>165.51</v>
      </c>
      <c r="G85" s="12">
        <v>1456.6949999999999</v>
      </c>
      <c r="H85" s="12">
        <v>428.85399999999998</v>
      </c>
      <c r="I85" s="12">
        <v>1027.8409999999999</v>
      </c>
      <c r="J85" s="12">
        <v>312.01</v>
      </c>
      <c r="K85" s="5">
        <v>3.1565074996312899E-2</v>
      </c>
      <c r="L85" s="5">
        <v>8.1235144676734303E-2</v>
      </c>
      <c r="M85" s="8">
        <v>8.0100000000000005E-2</v>
      </c>
      <c r="N85" s="12">
        <v>23271.212500000001</v>
      </c>
      <c r="O85" s="3">
        <f t="shared" si="12"/>
        <v>30</v>
      </c>
      <c r="P85" s="13">
        <v>1993</v>
      </c>
      <c r="Q85" s="14">
        <v>134.21</v>
      </c>
      <c r="R85" s="14">
        <v>177.31</v>
      </c>
      <c r="S85" s="2">
        <f t="shared" si="10"/>
        <v>17.614513730895045</v>
      </c>
      <c r="T85" s="8">
        <f t="shared" si="13"/>
        <v>8.9341639416991539E-2</v>
      </c>
      <c r="U85" s="8">
        <f t="shared" si="14"/>
        <v>6.3039277268062285E-2</v>
      </c>
      <c r="V85" s="9">
        <f t="shared" si="15"/>
        <v>0.41723768559534019</v>
      </c>
      <c r="W85">
        <f t="shared" si="16"/>
        <v>3.3817698150700299</v>
      </c>
      <c r="X85">
        <f t="shared" si="11"/>
        <v>6.7111960229524712</v>
      </c>
      <c r="Y85" s="8">
        <f t="shared" si="17"/>
        <v>0.11362021562509654</v>
      </c>
      <c r="Z85" s="8">
        <f t="shared" si="18"/>
        <v>4.7049794705254611E-2</v>
      </c>
      <c r="AA85" s="10">
        <f t="shared" si="19"/>
        <v>4.8534925003687106E-2</v>
      </c>
    </row>
    <row r="86" spans="1:27" x14ac:dyDescent="0.3">
      <c r="A86" t="s">
        <v>49</v>
      </c>
      <c r="B86" s="11">
        <v>2022</v>
      </c>
      <c r="C86" s="12">
        <v>321.01799999999997</v>
      </c>
      <c r="D86" s="12">
        <v>1876.998</v>
      </c>
      <c r="E86" s="12">
        <v>1111.809</v>
      </c>
      <c r="F86" s="12">
        <v>418.63299999999998</v>
      </c>
      <c r="G86" s="12">
        <v>2988.8069999999998</v>
      </c>
      <c r="H86" s="12">
        <v>872.745</v>
      </c>
      <c r="I86" s="12">
        <v>2116.0619999999999</v>
      </c>
      <c r="J86" s="12">
        <v>862.55</v>
      </c>
      <c r="K86" s="5">
        <v>3.1565074996312899E-2</v>
      </c>
      <c r="L86" s="5">
        <v>8.1235144676734303E-2</v>
      </c>
      <c r="M86" s="8">
        <v>8.0100000000000005E-2</v>
      </c>
      <c r="N86" s="12">
        <v>23271.212500000001</v>
      </c>
      <c r="O86" s="3">
        <f t="shared" si="12"/>
        <v>27</v>
      </c>
      <c r="P86" s="13">
        <v>1996</v>
      </c>
      <c r="Q86" s="14">
        <v>134.21</v>
      </c>
      <c r="R86" s="14">
        <v>177.31</v>
      </c>
      <c r="S86" s="2">
        <f t="shared" si="10"/>
        <v>17.614513730895045</v>
      </c>
      <c r="T86" s="8">
        <f t="shared" si="13"/>
        <v>0.1517053848138665</v>
      </c>
      <c r="U86" s="8">
        <f t="shared" si="14"/>
        <v>0.10740673452651844</v>
      </c>
      <c r="V86" s="9">
        <f t="shared" si="15"/>
        <v>0.41243829339594024</v>
      </c>
      <c r="W86">
        <f t="shared" si="16"/>
        <v>2.1761034142948237</v>
      </c>
      <c r="X86">
        <f t="shared" si="11"/>
        <v>7.429900163028063</v>
      </c>
      <c r="Y86" s="8">
        <f t="shared" si="17"/>
        <v>0.14006692302313264</v>
      </c>
      <c r="Z86" s="8">
        <f t="shared" si="18"/>
        <v>4.7049794705254611E-2</v>
      </c>
      <c r="AA86" s="10">
        <f t="shared" si="19"/>
        <v>4.8534925003687106E-2</v>
      </c>
    </row>
    <row r="87" spans="1:27" x14ac:dyDescent="0.3">
      <c r="A87" t="s">
        <v>50</v>
      </c>
      <c r="B87" s="11">
        <v>2022</v>
      </c>
      <c r="C87" s="12">
        <v>69.27</v>
      </c>
      <c r="D87" s="12">
        <v>295.07499999999999</v>
      </c>
      <c r="E87" s="12">
        <v>110.931</v>
      </c>
      <c r="F87" s="12">
        <v>96.876999999999995</v>
      </c>
      <c r="G87" s="12">
        <v>406.00599999999997</v>
      </c>
      <c r="H87" s="12">
        <v>111.655</v>
      </c>
      <c r="I87" s="12">
        <v>294.351</v>
      </c>
      <c r="J87" s="12">
        <v>107.68</v>
      </c>
      <c r="K87" s="5">
        <v>3.1565074996312899E-2</v>
      </c>
      <c r="L87" s="5">
        <v>8.1235144676734303E-2</v>
      </c>
      <c r="M87" s="8">
        <v>8.0100000000000005E-2</v>
      </c>
      <c r="N87" s="12">
        <v>23271.212500000001</v>
      </c>
      <c r="O87" s="3">
        <f t="shared" si="12"/>
        <v>32</v>
      </c>
      <c r="P87" s="13">
        <v>1991</v>
      </c>
      <c r="Q87" s="14">
        <v>134.21</v>
      </c>
      <c r="R87" s="14">
        <v>177.31</v>
      </c>
      <c r="S87" s="2">
        <f t="shared" si="10"/>
        <v>17.614513730895045</v>
      </c>
      <c r="T87" s="8">
        <f t="shared" si="13"/>
        <v>0.23533128815597704</v>
      </c>
      <c r="U87" s="8">
        <f t="shared" si="14"/>
        <v>0.17061324216883494</v>
      </c>
      <c r="V87" s="9">
        <f t="shared" si="15"/>
        <v>0.37932604271770776</v>
      </c>
      <c r="W87">
        <f t="shared" si="16"/>
        <v>2.7402953194650816</v>
      </c>
      <c r="X87">
        <f t="shared" si="11"/>
        <v>5.4336385107368512</v>
      </c>
      <c r="Y87" s="8">
        <f t="shared" si="17"/>
        <v>0.23860977423978957</v>
      </c>
      <c r="Z87" s="8">
        <f t="shared" si="18"/>
        <v>4.7049794705254611E-2</v>
      </c>
      <c r="AA87" s="10">
        <f t="shared" si="19"/>
        <v>4.8534925003687106E-2</v>
      </c>
    </row>
    <row r="88" spans="1:27" x14ac:dyDescent="0.3">
      <c r="A88" t="s">
        <v>51</v>
      </c>
      <c r="B88" s="11">
        <v>2022</v>
      </c>
      <c r="C88" s="12">
        <v>361.39299999999997</v>
      </c>
      <c r="D88" s="12">
        <v>3492.442</v>
      </c>
      <c r="E88" s="12">
        <v>495.89499999999998</v>
      </c>
      <c r="F88" s="12">
        <v>255.624</v>
      </c>
      <c r="G88" s="12">
        <v>3988.337</v>
      </c>
      <c r="H88" s="12">
        <v>1476.6780000000001</v>
      </c>
      <c r="I88" s="12">
        <v>2511.6590000000001</v>
      </c>
      <c r="J88" s="12">
        <v>1329.86</v>
      </c>
      <c r="K88" s="5">
        <v>3.1565074996312899E-2</v>
      </c>
      <c r="L88" s="5">
        <v>8.1235144676734303E-2</v>
      </c>
      <c r="M88" s="8">
        <v>8.0100000000000005E-2</v>
      </c>
      <c r="N88" s="12">
        <v>23271.212500000001</v>
      </c>
      <c r="O88" s="3">
        <f t="shared" si="12"/>
        <v>41</v>
      </c>
      <c r="P88" s="13">
        <v>1982</v>
      </c>
      <c r="Q88" s="14">
        <v>134.21</v>
      </c>
      <c r="R88" s="14">
        <v>177.31</v>
      </c>
      <c r="S88" s="2">
        <f t="shared" si="10"/>
        <v>17.614513730895045</v>
      </c>
      <c r="T88" s="8">
        <f t="shared" si="13"/>
        <v>0.14388617244617999</v>
      </c>
      <c r="U88" s="8">
        <f t="shared" si="14"/>
        <v>9.0612453260594569E-2</v>
      </c>
      <c r="V88" s="9">
        <f t="shared" si="15"/>
        <v>0.58792933276372317</v>
      </c>
      <c r="W88">
        <f t="shared" si="16"/>
        <v>2.6261726798309599</v>
      </c>
      <c r="X88">
        <f t="shared" si="11"/>
        <v>7.7184002039412345</v>
      </c>
      <c r="Y88" s="8">
        <f t="shared" si="17"/>
        <v>6.4092878811394319E-2</v>
      </c>
      <c r="Z88" s="8">
        <f t="shared" si="18"/>
        <v>4.7049794705254611E-2</v>
      </c>
      <c r="AA88" s="10">
        <f t="shared" si="19"/>
        <v>4.8534925003687106E-2</v>
      </c>
    </row>
    <row r="89" spans="1:27" x14ac:dyDescent="0.3">
      <c r="A89" t="s">
        <v>52</v>
      </c>
      <c r="B89" s="11">
        <v>2022</v>
      </c>
      <c r="C89" s="12">
        <v>-84.701999999999998</v>
      </c>
      <c r="D89" s="12">
        <v>328.33499999999998</v>
      </c>
      <c r="E89" s="12">
        <v>207.05699999999999</v>
      </c>
      <c r="F89" s="12">
        <v>139.99199999999999</v>
      </c>
      <c r="G89" s="12">
        <v>535.39200000000005</v>
      </c>
      <c r="H89" s="12">
        <v>87.346000000000004</v>
      </c>
      <c r="I89" s="12">
        <v>448.04599999999999</v>
      </c>
      <c r="J89" s="12">
        <v>73.14</v>
      </c>
      <c r="K89" s="5">
        <v>3.1565074996312899E-2</v>
      </c>
      <c r="L89" s="5">
        <v>8.1235144676734303E-2</v>
      </c>
      <c r="M89" s="8">
        <v>8.0100000000000005E-2</v>
      </c>
      <c r="N89" s="12">
        <v>23271.212500000001</v>
      </c>
      <c r="O89" s="3">
        <f t="shared" si="12"/>
        <v>47</v>
      </c>
      <c r="P89" s="13">
        <v>1976</v>
      </c>
      <c r="Q89" s="14">
        <v>134.21</v>
      </c>
      <c r="R89" s="14">
        <v>177.31</v>
      </c>
      <c r="S89" s="2">
        <f t="shared" si="10"/>
        <v>17.614513730895045</v>
      </c>
      <c r="T89" s="8">
        <f t="shared" si="13"/>
        <v>-0.18904755315302446</v>
      </c>
      <c r="U89" s="8">
        <f t="shared" si="14"/>
        <v>-0.15820557647480724</v>
      </c>
      <c r="V89" s="9">
        <f t="shared" si="15"/>
        <v>0.19494873294259965</v>
      </c>
      <c r="W89">
        <f t="shared" si="16"/>
        <v>4.4891304347826084</v>
      </c>
      <c r="X89">
        <f t="shared" si="11"/>
        <v>5.7102697617944473</v>
      </c>
      <c r="Y89" s="8">
        <f t="shared" si="17"/>
        <v>0.26147570378339607</v>
      </c>
      <c r="Z89" s="8">
        <f t="shared" si="18"/>
        <v>4.7049794705254611E-2</v>
      </c>
      <c r="AA89" s="10">
        <f t="shared" si="19"/>
        <v>4.8534925003687106E-2</v>
      </c>
    </row>
    <row r="90" spans="1:27" x14ac:dyDescent="0.3">
      <c r="A90" t="s">
        <v>53</v>
      </c>
      <c r="B90" s="11">
        <v>2022</v>
      </c>
      <c r="C90" s="12">
        <v>1124.675</v>
      </c>
      <c r="D90" s="12">
        <v>8038.5609999999997</v>
      </c>
      <c r="E90" s="12">
        <v>11759.826999999999</v>
      </c>
      <c r="F90" s="12">
        <v>3821.15</v>
      </c>
      <c r="G90" s="12">
        <v>19798.387999999999</v>
      </c>
      <c r="H90" s="12">
        <v>14603.644</v>
      </c>
      <c r="I90" s="12">
        <v>5194.7430000000004</v>
      </c>
      <c r="J90" s="12">
        <v>9218.06</v>
      </c>
      <c r="K90" s="5">
        <v>3.1565074996312899E-2</v>
      </c>
      <c r="L90" s="5">
        <v>8.1235144676734303E-2</v>
      </c>
      <c r="M90" s="8">
        <v>8.0100000000000005E-2</v>
      </c>
      <c r="N90" s="12">
        <v>23271.212500000001</v>
      </c>
      <c r="O90" s="3">
        <f t="shared" si="12"/>
        <v>30</v>
      </c>
      <c r="P90" s="13">
        <v>1993</v>
      </c>
      <c r="Q90" s="14">
        <v>134.21</v>
      </c>
      <c r="R90" s="14">
        <v>177.31</v>
      </c>
      <c r="S90" s="2">
        <f t="shared" si="10"/>
        <v>17.614513730895045</v>
      </c>
      <c r="T90" s="8">
        <f t="shared" si="13"/>
        <v>0.21650252957653532</v>
      </c>
      <c r="U90" s="8">
        <f t="shared" si="14"/>
        <v>5.6806392520441562E-2</v>
      </c>
      <c r="V90" s="9">
        <f t="shared" si="15"/>
        <v>2.811235127512564</v>
      </c>
      <c r="W90">
        <f t="shared" si="16"/>
        <v>0.87204476863895442</v>
      </c>
      <c r="X90">
        <f t="shared" si="11"/>
        <v>9.320626372146096</v>
      </c>
      <c r="Y90" s="8">
        <f t="shared" si="17"/>
        <v>0.19300308691798546</v>
      </c>
      <c r="Z90" s="8">
        <f t="shared" si="18"/>
        <v>4.7049794705254611E-2</v>
      </c>
      <c r="AA90" s="10">
        <f t="shared" si="19"/>
        <v>4.8534925003687106E-2</v>
      </c>
    </row>
    <row r="91" spans="1:27" x14ac:dyDescent="0.3">
      <c r="A91" t="s">
        <v>54</v>
      </c>
      <c r="B91" s="11">
        <v>2022</v>
      </c>
      <c r="C91" s="12">
        <v>239.733</v>
      </c>
      <c r="D91" s="12">
        <v>1585.778</v>
      </c>
      <c r="E91" s="12">
        <v>992.87300000000005</v>
      </c>
      <c r="F91" s="12">
        <v>421.68900000000002</v>
      </c>
      <c r="G91" s="12">
        <v>2578.65</v>
      </c>
      <c r="H91" s="12">
        <v>1609.731</v>
      </c>
      <c r="I91" s="12">
        <v>968.91899999999998</v>
      </c>
      <c r="J91" s="12">
        <v>1425.13</v>
      </c>
      <c r="K91" s="5">
        <v>3.1565074996312899E-2</v>
      </c>
      <c r="L91" s="5">
        <v>8.1235144676734303E-2</v>
      </c>
      <c r="M91" s="8">
        <v>8.0100000000000005E-2</v>
      </c>
      <c r="N91" s="12">
        <v>23271.212500000001</v>
      </c>
      <c r="O91" s="3">
        <f t="shared" si="12"/>
        <v>31</v>
      </c>
      <c r="P91" s="13">
        <v>1992</v>
      </c>
      <c r="Q91" s="14">
        <v>134.21</v>
      </c>
      <c r="R91" s="14">
        <v>177.31</v>
      </c>
      <c r="S91" s="2">
        <f t="shared" si="10"/>
        <v>17.614513730895045</v>
      </c>
      <c r="T91" s="8">
        <f t="shared" si="13"/>
        <v>0.24742315921145111</v>
      </c>
      <c r="U91" s="8">
        <f t="shared" si="14"/>
        <v>9.2968413704845557E-2</v>
      </c>
      <c r="V91" s="9">
        <f t="shared" si="15"/>
        <v>1.6613679781282027</v>
      </c>
      <c r="W91">
        <f t="shared" si="16"/>
        <v>1.1127251548981496</v>
      </c>
      <c r="X91">
        <f t="shared" si="11"/>
        <v>7.2822918580748066</v>
      </c>
      <c r="Y91" s="8">
        <f t="shared" si="17"/>
        <v>0.16353091734046885</v>
      </c>
      <c r="Z91" s="8">
        <f t="shared" si="18"/>
        <v>4.7049794705254611E-2</v>
      </c>
      <c r="AA91" s="10">
        <f t="shared" si="19"/>
        <v>4.8534925003687106E-2</v>
      </c>
    </row>
    <row r="92" spans="1:27" x14ac:dyDescent="0.3">
      <c r="A92" t="s">
        <v>55</v>
      </c>
      <c r="B92" s="11">
        <v>2022</v>
      </c>
      <c r="C92" s="12">
        <v>224.613</v>
      </c>
      <c r="D92" s="12">
        <v>1231.5619999999999</v>
      </c>
      <c r="E92" s="12">
        <v>3261.029</v>
      </c>
      <c r="F92" s="12">
        <v>23.154</v>
      </c>
      <c r="G92" s="12">
        <v>4492.5910000000003</v>
      </c>
      <c r="H92" s="12">
        <v>326.45499999999998</v>
      </c>
      <c r="I92" s="12">
        <v>4166.1369999999997</v>
      </c>
      <c r="J92" s="12">
        <v>315.14999999999998</v>
      </c>
      <c r="K92" s="5">
        <v>3.1565074996312899E-2</v>
      </c>
      <c r="L92" s="5">
        <v>8.1235144676734303E-2</v>
      </c>
      <c r="M92" s="8">
        <v>8.0100000000000005E-2</v>
      </c>
      <c r="N92" s="12">
        <v>23271.212500000001</v>
      </c>
      <c r="O92" s="3">
        <f t="shared" si="12"/>
        <v>15</v>
      </c>
      <c r="P92" s="13">
        <v>2008</v>
      </c>
      <c r="Q92" s="14">
        <v>134.21</v>
      </c>
      <c r="R92" s="14">
        <v>177.31</v>
      </c>
      <c r="S92" s="2">
        <f t="shared" si="10"/>
        <v>17.614513730895045</v>
      </c>
      <c r="T92" s="8">
        <f t="shared" si="13"/>
        <v>5.3913973544316957E-2</v>
      </c>
      <c r="U92" s="8">
        <f t="shared" si="14"/>
        <v>4.9996316156979345E-2</v>
      </c>
      <c r="V92" s="9">
        <f t="shared" si="15"/>
        <v>7.8359161016548426E-2</v>
      </c>
      <c r="W92">
        <f t="shared" si="16"/>
        <v>3.9078597493257177</v>
      </c>
      <c r="X92">
        <f t="shared" si="11"/>
        <v>7.8374554473539515</v>
      </c>
      <c r="Y92" s="8">
        <f t="shared" si="17"/>
        <v>5.1538188096802041E-3</v>
      </c>
      <c r="Z92" s="8">
        <f t="shared" si="18"/>
        <v>4.7049794705254611E-2</v>
      </c>
      <c r="AA92" s="10">
        <f t="shared" si="19"/>
        <v>4.8534925003687106E-2</v>
      </c>
    </row>
    <row r="93" spans="1:27" hidden="1" x14ac:dyDescent="0.3">
      <c r="A93" t="s">
        <v>56</v>
      </c>
      <c r="B93" s="11">
        <v>2022</v>
      </c>
      <c r="C93" s="12">
        <v>-3576.45</v>
      </c>
      <c r="D93" s="12">
        <v>3039.105</v>
      </c>
      <c r="E93" s="12">
        <v>9630.7420000000002</v>
      </c>
      <c r="F93" s="12">
        <v>5247.4780000000001</v>
      </c>
      <c r="G93" s="12">
        <v>12669.846</v>
      </c>
      <c r="H93" s="12">
        <v>9635.3729999999996</v>
      </c>
      <c r="I93" s="12">
        <v>3034.473</v>
      </c>
      <c r="J93" s="12">
        <v>7327.69</v>
      </c>
      <c r="K93" s="5">
        <v>3.1565074996312899E-2</v>
      </c>
      <c r="L93" s="5">
        <v>8.1235144676734303E-2</v>
      </c>
      <c r="M93" s="8">
        <v>8.0100000000000005E-2</v>
      </c>
      <c r="N93" s="12">
        <v>23271.212500000001</v>
      </c>
      <c r="O93" s="3">
        <f t="shared" si="12"/>
        <v>13</v>
      </c>
      <c r="P93" s="13">
        <v>2010</v>
      </c>
      <c r="Q93" s="14">
        <v>134.21</v>
      </c>
      <c r="R93" s="14">
        <v>177.31</v>
      </c>
      <c r="S93" s="2">
        <f t="shared" si="10"/>
        <v>17.614513730895045</v>
      </c>
      <c r="T93" s="8">
        <f t="shared" si="13"/>
        <v>-1.1786066312008707</v>
      </c>
      <c r="U93" s="8">
        <f t="shared" si="14"/>
        <v>-0.28228046339316198</v>
      </c>
      <c r="V93" s="9">
        <f t="shared" si="15"/>
        <v>3.17530358648767</v>
      </c>
      <c r="W93">
        <f t="shared" si="16"/>
        <v>0.4147425723522693</v>
      </c>
      <c r="X93">
        <f t="shared" si="11"/>
        <v>8.8742506914643773</v>
      </c>
      <c r="Y93" s="8">
        <f t="shared" si="17"/>
        <v>0.41417062212121603</v>
      </c>
      <c r="Z93" s="8">
        <f t="shared" si="18"/>
        <v>4.7049794705254611E-2</v>
      </c>
      <c r="AA93" s="10">
        <f t="shared" si="19"/>
        <v>4.8534925003687106E-2</v>
      </c>
    </row>
    <row r="94" spans="1:27" x14ac:dyDescent="0.3">
      <c r="A94" t="s">
        <v>57</v>
      </c>
      <c r="B94" s="11">
        <v>2022</v>
      </c>
      <c r="C94" s="12">
        <v>15.728</v>
      </c>
      <c r="D94" s="12">
        <v>306.59399999999999</v>
      </c>
      <c r="E94" s="12">
        <v>182.042</v>
      </c>
      <c r="F94" s="12">
        <v>50.1</v>
      </c>
      <c r="G94" s="12">
        <v>488.63600000000002</v>
      </c>
      <c r="H94" s="12">
        <v>59.529000000000003</v>
      </c>
      <c r="I94" s="12">
        <v>429.10700000000003</v>
      </c>
      <c r="J94" s="12">
        <v>44.78</v>
      </c>
      <c r="K94" s="5">
        <v>3.1565074996312899E-2</v>
      </c>
      <c r="L94" s="5">
        <v>8.1235144676734303E-2</v>
      </c>
      <c r="M94" s="8">
        <v>8.0100000000000005E-2</v>
      </c>
      <c r="N94" s="12">
        <v>23271.212500000001</v>
      </c>
      <c r="O94" s="3">
        <f t="shared" si="12"/>
        <v>8</v>
      </c>
      <c r="P94" s="13">
        <v>2015</v>
      </c>
      <c r="Q94" s="14">
        <v>134.21</v>
      </c>
      <c r="R94" s="14">
        <v>177.31</v>
      </c>
      <c r="S94" s="2">
        <f t="shared" si="10"/>
        <v>17.614513730895045</v>
      </c>
      <c r="T94" s="8">
        <f t="shared" si="13"/>
        <v>3.6652862805780374E-2</v>
      </c>
      <c r="U94" s="8">
        <f t="shared" si="14"/>
        <v>3.2187558837253084E-2</v>
      </c>
      <c r="V94" s="9">
        <f t="shared" si="15"/>
        <v>0.13872763669667473</v>
      </c>
      <c r="W94">
        <f t="shared" si="16"/>
        <v>6.8466726217061185</v>
      </c>
      <c r="X94">
        <f t="shared" si="11"/>
        <v>5.6188884089303643</v>
      </c>
      <c r="Y94" s="8">
        <f t="shared" si="17"/>
        <v>0.10253030885976473</v>
      </c>
      <c r="Z94" s="8">
        <f t="shared" si="18"/>
        <v>4.7049794705254611E-2</v>
      </c>
      <c r="AA94" s="10">
        <f t="shared" si="19"/>
        <v>4.8534925003687106E-2</v>
      </c>
    </row>
    <row r="95" spans="1:27" x14ac:dyDescent="0.3">
      <c r="A95" t="s">
        <v>58</v>
      </c>
      <c r="B95" s="11">
        <v>2022</v>
      </c>
      <c r="C95" s="12">
        <v>268.07</v>
      </c>
      <c r="D95" s="12">
        <v>1602.875</v>
      </c>
      <c r="E95" s="12">
        <v>791.78800000000001</v>
      </c>
      <c r="F95" s="12">
        <v>702.84299999999996</v>
      </c>
      <c r="G95" s="12">
        <v>2394.663</v>
      </c>
      <c r="H95" s="12">
        <v>1510.14</v>
      </c>
      <c r="I95" s="12">
        <v>884.52200000000005</v>
      </c>
      <c r="J95" s="12">
        <v>1238.1300000000001</v>
      </c>
      <c r="K95" s="5">
        <v>3.1565074996312899E-2</v>
      </c>
      <c r="L95" s="5">
        <v>8.1235144676734303E-2</v>
      </c>
      <c r="M95" s="8">
        <v>8.0100000000000005E-2</v>
      </c>
      <c r="N95" s="12">
        <v>23271.212500000001</v>
      </c>
      <c r="O95" s="3">
        <f t="shared" si="12"/>
        <v>61</v>
      </c>
      <c r="P95" s="13">
        <v>1962</v>
      </c>
      <c r="Q95" s="14">
        <v>134.21</v>
      </c>
      <c r="R95" s="14">
        <v>177.31</v>
      </c>
      <c r="S95" s="2">
        <f t="shared" si="10"/>
        <v>17.614513730895045</v>
      </c>
      <c r="T95" s="8">
        <f t="shared" si="13"/>
        <v>0.30306764557580251</v>
      </c>
      <c r="U95" s="8">
        <f t="shared" si="14"/>
        <v>0.11194477051677</v>
      </c>
      <c r="V95" s="9">
        <f t="shared" si="15"/>
        <v>1.7072950135779552</v>
      </c>
      <c r="W95">
        <f t="shared" si="16"/>
        <v>1.2945934594913295</v>
      </c>
      <c r="X95">
        <f t="shared" si="11"/>
        <v>7.2082683630515465</v>
      </c>
      <c r="Y95" s="8">
        <f t="shared" si="17"/>
        <v>0.2935039293629208</v>
      </c>
      <c r="Z95" s="8">
        <f t="shared" si="18"/>
        <v>4.7049794705254611E-2</v>
      </c>
      <c r="AA95" s="10">
        <f t="shared" si="19"/>
        <v>4.8534925003687106E-2</v>
      </c>
    </row>
    <row r="96" spans="1:27" x14ac:dyDescent="0.3">
      <c r="A96" t="s">
        <v>59</v>
      </c>
      <c r="B96" s="11">
        <v>2022</v>
      </c>
      <c r="C96" s="12">
        <v>37.002000000000002</v>
      </c>
      <c r="D96" s="12">
        <v>292.65499999999997</v>
      </c>
      <c r="E96" s="12">
        <v>64.835999999999999</v>
      </c>
      <c r="F96" s="12">
        <v>34.451999999999998</v>
      </c>
      <c r="G96" s="12">
        <v>357.49200000000002</v>
      </c>
      <c r="H96" s="12">
        <v>125.14</v>
      </c>
      <c r="I96" s="12">
        <v>232.352</v>
      </c>
      <c r="J96" s="12">
        <v>124.3</v>
      </c>
      <c r="K96" s="5">
        <v>3.1565074996312899E-2</v>
      </c>
      <c r="L96" s="5">
        <v>8.1235144676734303E-2</v>
      </c>
      <c r="M96" s="8">
        <v>8.0100000000000005E-2</v>
      </c>
      <c r="N96" s="12">
        <v>23271.212500000001</v>
      </c>
      <c r="O96" s="3">
        <f t="shared" si="12"/>
        <v>25</v>
      </c>
      <c r="P96" s="13">
        <v>1998</v>
      </c>
      <c r="Q96" s="14">
        <v>134.21</v>
      </c>
      <c r="R96" s="14">
        <v>177.31</v>
      </c>
      <c r="S96" s="2">
        <f t="shared" si="10"/>
        <v>17.614513730895045</v>
      </c>
      <c r="T96" s="8">
        <f t="shared" si="13"/>
        <v>0.15924975898636554</v>
      </c>
      <c r="U96" s="8">
        <f t="shared" si="14"/>
        <v>0.10350441408479071</v>
      </c>
      <c r="V96" s="9">
        <f t="shared" si="15"/>
        <v>0.53857939677730338</v>
      </c>
      <c r="W96">
        <f t="shared" si="16"/>
        <v>2.3544247787610617</v>
      </c>
      <c r="X96">
        <f t="shared" si="11"/>
        <v>5.3063835571804967</v>
      </c>
      <c r="Y96" s="8">
        <f t="shared" si="17"/>
        <v>9.6371387331744482E-2</v>
      </c>
      <c r="Z96" s="8">
        <f t="shared" si="18"/>
        <v>4.7049794705254611E-2</v>
      </c>
      <c r="AA96" s="10">
        <f t="shared" si="19"/>
        <v>4.8534925003687106E-2</v>
      </c>
    </row>
    <row r="97" spans="1:27" x14ac:dyDescent="0.3">
      <c r="A97" t="s">
        <v>60</v>
      </c>
      <c r="B97" s="11">
        <v>2022</v>
      </c>
      <c r="C97" s="12">
        <v>563.14599999999996</v>
      </c>
      <c r="D97" s="12">
        <v>5449.7619999999997</v>
      </c>
      <c r="E97" s="12">
        <v>2634.346</v>
      </c>
      <c r="F97" s="12">
        <v>1000.208</v>
      </c>
      <c r="G97" s="12">
        <v>8084.1080000000002</v>
      </c>
      <c r="H97" s="12">
        <v>4717.6880000000001</v>
      </c>
      <c r="I97" s="12">
        <v>3366.42</v>
      </c>
      <c r="J97" s="12">
        <v>4524.45</v>
      </c>
      <c r="K97" s="5">
        <v>3.1565074996312899E-2</v>
      </c>
      <c r="L97" s="5">
        <v>8.1235144676734303E-2</v>
      </c>
      <c r="M97" s="8">
        <v>8.0100000000000005E-2</v>
      </c>
      <c r="N97" s="12">
        <v>23271.212500000001</v>
      </c>
      <c r="O97" s="3">
        <f t="shared" si="12"/>
        <v>20</v>
      </c>
      <c r="P97" s="13">
        <v>2003</v>
      </c>
      <c r="Q97" s="14">
        <v>134.21</v>
      </c>
      <c r="R97" s="14">
        <v>177.31</v>
      </c>
      <c r="S97" s="2">
        <f t="shared" si="10"/>
        <v>17.614513730895045</v>
      </c>
      <c r="T97" s="8">
        <f t="shared" si="13"/>
        <v>0.16728334551244348</v>
      </c>
      <c r="U97" s="8">
        <f t="shared" si="14"/>
        <v>6.9660870438643316E-2</v>
      </c>
      <c r="V97" s="9">
        <f t="shared" si="15"/>
        <v>1.4013961418955447</v>
      </c>
      <c r="W97">
        <f t="shared" si="16"/>
        <v>1.2045136977975224</v>
      </c>
      <c r="X97">
        <f t="shared" si="11"/>
        <v>8.4249260110763746</v>
      </c>
      <c r="Y97" s="8">
        <f t="shared" si="17"/>
        <v>0.12372521495259588</v>
      </c>
      <c r="Z97" s="8">
        <f t="shared" si="18"/>
        <v>4.7049794705254611E-2</v>
      </c>
      <c r="AA97" s="10">
        <f t="shared" si="19"/>
        <v>4.8534925003687106E-2</v>
      </c>
    </row>
    <row r="98" spans="1:27" x14ac:dyDescent="0.3">
      <c r="A98" t="s">
        <v>61</v>
      </c>
      <c r="B98" s="11">
        <v>2022</v>
      </c>
      <c r="C98" s="12">
        <v>374.65600000000001</v>
      </c>
      <c r="D98" s="12">
        <v>6980.3879999999999</v>
      </c>
      <c r="E98" s="12">
        <v>7024.4049999999997</v>
      </c>
      <c r="F98" s="12">
        <v>2627.9540000000002</v>
      </c>
      <c r="G98" s="12">
        <v>14004.793</v>
      </c>
      <c r="H98" s="12">
        <v>6952.0649999999996</v>
      </c>
      <c r="I98" s="12">
        <v>7052.7280000000001</v>
      </c>
      <c r="J98" s="12">
        <v>5427.18</v>
      </c>
      <c r="K98" s="5">
        <v>3.1565074996312899E-2</v>
      </c>
      <c r="L98" s="5">
        <v>8.1235144676734303E-2</v>
      </c>
      <c r="M98" s="8">
        <v>8.0100000000000005E-2</v>
      </c>
      <c r="N98" s="12">
        <v>23271.212500000001</v>
      </c>
      <c r="O98" s="3">
        <f t="shared" si="12"/>
        <v>30</v>
      </c>
      <c r="P98" s="13">
        <v>1993</v>
      </c>
      <c r="Q98" s="14">
        <v>134.21</v>
      </c>
      <c r="R98" s="14">
        <v>177.31</v>
      </c>
      <c r="S98" s="2">
        <f t="shared" si="10"/>
        <v>17.614513730895045</v>
      </c>
      <c r="T98" s="8">
        <f t="shared" si="13"/>
        <v>5.3122139404780673E-2</v>
      </c>
      <c r="U98" s="8">
        <f t="shared" si="14"/>
        <v>2.6751984124292305E-2</v>
      </c>
      <c r="V98" s="9">
        <f t="shared" si="15"/>
        <v>0.98572708319390734</v>
      </c>
      <c r="W98">
        <f t="shared" si="16"/>
        <v>1.2861906183321725</v>
      </c>
      <c r="X98">
        <f t="shared" si="11"/>
        <v>8.9744254800686125</v>
      </c>
      <c r="Y98" s="8">
        <f t="shared" si="17"/>
        <v>0.18764675779213588</v>
      </c>
      <c r="Z98" s="8">
        <f t="shared" si="18"/>
        <v>4.7049794705254611E-2</v>
      </c>
      <c r="AA98" s="10">
        <f t="shared" si="19"/>
        <v>4.8534925003687106E-2</v>
      </c>
    </row>
    <row r="99" spans="1:27" x14ac:dyDescent="0.3">
      <c r="A99" t="s">
        <v>62</v>
      </c>
      <c r="B99" s="11">
        <v>2022</v>
      </c>
      <c r="C99" s="12">
        <v>16.847000000000001</v>
      </c>
      <c r="D99" s="12">
        <v>675.73299999999995</v>
      </c>
      <c r="E99" s="12">
        <v>251.01900000000001</v>
      </c>
      <c r="F99" s="12">
        <v>228.87700000000001</v>
      </c>
      <c r="G99" s="12">
        <v>926.75199999999995</v>
      </c>
      <c r="H99" s="12">
        <v>293.803</v>
      </c>
      <c r="I99" s="12">
        <v>632.94899999999996</v>
      </c>
      <c r="J99" s="12">
        <v>288.81</v>
      </c>
      <c r="K99" s="5">
        <v>3.1565074996312899E-2</v>
      </c>
      <c r="L99" s="5">
        <v>8.1235144676734303E-2</v>
      </c>
      <c r="M99" s="8">
        <v>8.0100000000000005E-2</v>
      </c>
      <c r="N99" s="12">
        <v>23271.212500000001</v>
      </c>
      <c r="O99" s="3">
        <f t="shared" si="12"/>
        <v>22</v>
      </c>
      <c r="P99" s="13">
        <v>2001</v>
      </c>
      <c r="Q99" s="14">
        <v>134.21</v>
      </c>
      <c r="R99" s="14">
        <v>177.31</v>
      </c>
      <c r="S99" s="2">
        <f t="shared" si="10"/>
        <v>17.614513730895045</v>
      </c>
      <c r="T99" s="8">
        <f t="shared" si="13"/>
        <v>2.661667843696728E-2</v>
      </c>
      <c r="U99" s="8">
        <f t="shared" si="14"/>
        <v>1.8178541832119061E-2</v>
      </c>
      <c r="V99" s="9">
        <f t="shared" si="15"/>
        <v>0.46418115835557056</v>
      </c>
      <c r="W99">
        <f t="shared" si="16"/>
        <v>2.3397146913195526</v>
      </c>
      <c r="X99">
        <f t="shared" si="11"/>
        <v>6.2589565730270165</v>
      </c>
      <c r="Y99" s="8">
        <f t="shared" si="17"/>
        <v>0.24696682607644765</v>
      </c>
      <c r="Z99" s="8">
        <f t="shared" si="18"/>
        <v>4.7049794705254611E-2</v>
      </c>
      <c r="AA99" s="10">
        <f t="shared" si="19"/>
        <v>4.8534925003687106E-2</v>
      </c>
    </row>
    <row r="100" spans="1:27" x14ac:dyDescent="0.3">
      <c r="A100" t="s">
        <v>63</v>
      </c>
      <c r="B100" s="11">
        <v>2022</v>
      </c>
      <c r="C100" s="12">
        <v>25.742000000000001</v>
      </c>
      <c r="D100" s="12">
        <v>305.32400000000001</v>
      </c>
      <c r="E100" s="12">
        <v>98.322000000000003</v>
      </c>
      <c r="F100" s="12">
        <v>81.316000000000003</v>
      </c>
      <c r="G100" s="12">
        <v>403.64600000000002</v>
      </c>
      <c r="H100" s="12">
        <v>216.59200000000001</v>
      </c>
      <c r="I100" s="12">
        <v>187.054</v>
      </c>
      <c r="J100" s="12">
        <v>213.85</v>
      </c>
      <c r="K100" s="5">
        <v>3.1565074996312899E-2</v>
      </c>
      <c r="L100" s="5">
        <v>8.1235144676734303E-2</v>
      </c>
      <c r="M100" s="8">
        <v>8.0100000000000005E-2</v>
      </c>
      <c r="N100" s="12">
        <v>23271.212500000001</v>
      </c>
      <c r="O100" s="3">
        <f t="shared" si="12"/>
        <v>38</v>
      </c>
      <c r="P100" s="13">
        <v>1985</v>
      </c>
      <c r="Q100" s="14">
        <v>134.21</v>
      </c>
      <c r="R100" s="14">
        <v>177.31</v>
      </c>
      <c r="S100" s="2">
        <f t="shared" si="10"/>
        <v>17.614513730895045</v>
      </c>
      <c r="T100" s="8">
        <f t="shared" si="13"/>
        <v>0.1376180140494189</v>
      </c>
      <c r="U100" s="8">
        <f t="shared" si="14"/>
        <v>6.3773702699890494E-2</v>
      </c>
      <c r="V100" s="9">
        <f t="shared" si="15"/>
        <v>1.1579116191046437</v>
      </c>
      <c r="W100">
        <f t="shared" si="16"/>
        <v>1.4277484217909751</v>
      </c>
      <c r="X100">
        <f t="shared" si="11"/>
        <v>5.4278088291359916</v>
      </c>
      <c r="Y100" s="8">
        <f t="shared" si="17"/>
        <v>0.20145374907716168</v>
      </c>
      <c r="Z100" s="8">
        <f t="shared" si="18"/>
        <v>4.7049794705254611E-2</v>
      </c>
      <c r="AA100" s="10">
        <f t="shared" si="19"/>
        <v>4.8534925003687106E-2</v>
      </c>
    </row>
    <row r="101" spans="1:27" x14ac:dyDescent="0.3">
      <c r="A101" t="s">
        <v>64</v>
      </c>
      <c r="B101" s="11">
        <v>2022</v>
      </c>
      <c r="C101" s="12">
        <v>213.2</v>
      </c>
      <c r="D101" s="12">
        <v>761.51199999999994</v>
      </c>
      <c r="E101" s="12">
        <v>470.69600000000003</v>
      </c>
      <c r="F101" s="12">
        <v>408.24400000000003</v>
      </c>
      <c r="G101" s="12">
        <v>1232.2080000000001</v>
      </c>
      <c r="H101" s="12">
        <v>384.06799999999998</v>
      </c>
      <c r="I101" s="12">
        <v>848.14099999999996</v>
      </c>
      <c r="J101" s="12">
        <v>376.99</v>
      </c>
      <c r="K101" s="5">
        <v>3.1565074996312899E-2</v>
      </c>
      <c r="L101" s="5">
        <v>8.1235144676734303E-2</v>
      </c>
      <c r="M101" s="8">
        <v>8.0100000000000005E-2</v>
      </c>
      <c r="N101" s="12">
        <v>23271.212500000001</v>
      </c>
      <c r="O101" s="3">
        <f t="shared" si="12"/>
        <v>51</v>
      </c>
      <c r="P101" s="13">
        <v>1972</v>
      </c>
      <c r="Q101" s="14">
        <v>134.21</v>
      </c>
      <c r="R101" s="14">
        <v>177.31</v>
      </c>
      <c r="S101" s="2">
        <f t="shared" si="10"/>
        <v>17.614513730895045</v>
      </c>
      <c r="T101" s="8">
        <f t="shared" si="13"/>
        <v>0.2513732976002811</v>
      </c>
      <c r="U101" s="8">
        <f t="shared" si="14"/>
        <v>0.17302273642112367</v>
      </c>
      <c r="V101" s="9">
        <f t="shared" si="15"/>
        <v>0.45283508284589474</v>
      </c>
      <c r="W101">
        <f t="shared" si="16"/>
        <v>2.0199793097960157</v>
      </c>
      <c r="X101">
        <f t="shared" si="11"/>
        <v>6.5438335339311129</v>
      </c>
      <c r="Y101" s="8">
        <f t="shared" si="17"/>
        <v>0.33131094750236972</v>
      </c>
      <c r="Z101" s="8">
        <f t="shared" si="18"/>
        <v>4.7049794705254611E-2</v>
      </c>
      <c r="AA101" s="10">
        <f t="shared" si="19"/>
        <v>4.8534925003687106E-2</v>
      </c>
    </row>
    <row r="102" spans="1:27" x14ac:dyDescent="0.3">
      <c r="A102" t="s">
        <v>65</v>
      </c>
      <c r="B102" s="11">
        <v>2022</v>
      </c>
      <c r="C102" s="12">
        <v>38.643000000000001</v>
      </c>
      <c r="D102" s="12">
        <v>983.31700000000001</v>
      </c>
      <c r="E102" s="12">
        <v>1508.8579999999999</v>
      </c>
      <c r="F102" s="12">
        <v>1050.5050000000001</v>
      </c>
      <c r="G102" s="12">
        <v>2492.1750000000002</v>
      </c>
      <c r="H102" s="12">
        <v>858.54100000000005</v>
      </c>
      <c r="I102" s="12">
        <v>1633.634</v>
      </c>
      <c r="J102" s="12">
        <v>784.38</v>
      </c>
      <c r="K102" s="5">
        <v>3.1565074996312899E-2</v>
      </c>
      <c r="L102" s="5">
        <v>8.1235144676734303E-2</v>
      </c>
      <c r="M102" s="8">
        <v>8.0100000000000005E-2</v>
      </c>
      <c r="N102" s="12">
        <v>23271.212500000001</v>
      </c>
      <c r="O102" s="3">
        <f t="shared" si="12"/>
        <v>43</v>
      </c>
      <c r="P102" s="13">
        <v>1980</v>
      </c>
      <c r="Q102" s="14">
        <v>134.21</v>
      </c>
      <c r="R102" s="14">
        <v>177.31</v>
      </c>
      <c r="S102" s="2">
        <f t="shared" si="10"/>
        <v>17.614513730895045</v>
      </c>
      <c r="T102" s="8">
        <f t="shared" si="13"/>
        <v>2.3654625209808319E-2</v>
      </c>
      <c r="U102" s="8">
        <f t="shared" si="14"/>
        <v>1.5505732944115079E-2</v>
      </c>
      <c r="V102" s="9">
        <f t="shared" si="15"/>
        <v>0.5255406045662615</v>
      </c>
      <c r="W102">
        <f t="shared" si="16"/>
        <v>1.2536232438358959</v>
      </c>
      <c r="X102">
        <f t="shared" si="11"/>
        <v>7.2481816750799988</v>
      </c>
      <c r="Y102" s="8">
        <f t="shared" si="17"/>
        <v>0.42152136186263006</v>
      </c>
      <c r="Z102" s="8">
        <f t="shared" si="18"/>
        <v>4.7049794705254611E-2</v>
      </c>
      <c r="AA102" s="10">
        <f t="shared" si="19"/>
        <v>4.8534925003687106E-2</v>
      </c>
    </row>
    <row r="103" spans="1:27" x14ac:dyDescent="0.3">
      <c r="A103" t="s">
        <v>66</v>
      </c>
      <c r="B103" s="11">
        <v>2022</v>
      </c>
      <c r="C103" s="12">
        <v>346.54899999999998</v>
      </c>
      <c r="D103" s="12">
        <v>2123.2199999999998</v>
      </c>
      <c r="E103" s="12">
        <v>332.02600000000001</v>
      </c>
      <c r="F103" s="12">
        <v>226.82400000000001</v>
      </c>
      <c r="G103" s="12">
        <v>2455.2460000000001</v>
      </c>
      <c r="H103" s="12">
        <v>244.96700000000001</v>
      </c>
      <c r="I103" s="12">
        <v>2210.279</v>
      </c>
      <c r="J103" s="12">
        <v>238</v>
      </c>
      <c r="K103" s="5">
        <v>3.1565074996312899E-2</v>
      </c>
      <c r="L103" s="5">
        <v>8.1235144676734303E-2</v>
      </c>
      <c r="M103" s="8">
        <v>8.0100000000000005E-2</v>
      </c>
      <c r="N103" s="12">
        <v>23271.212500000001</v>
      </c>
      <c r="O103" s="3">
        <f t="shared" si="12"/>
        <v>65</v>
      </c>
      <c r="P103" s="13">
        <v>1958</v>
      </c>
      <c r="Q103" s="14">
        <v>134.21</v>
      </c>
      <c r="R103" s="14">
        <v>177.31</v>
      </c>
      <c r="S103" s="2">
        <f t="shared" si="10"/>
        <v>17.614513730895045</v>
      </c>
      <c r="T103" s="8">
        <f t="shared" si="13"/>
        <v>0.1567897084485714</v>
      </c>
      <c r="U103" s="8">
        <f t="shared" si="14"/>
        <v>0.1411463454171191</v>
      </c>
      <c r="V103" s="9">
        <f t="shared" si="15"/>
        <v>0.11083080461787856</v>
      </c>
      <c r="W103">
        <f t="shared" si="16"/>
        <v>8.9210924369747886</v>
      </c>
      <c r="X103">
        <f t="shared" si="11"/>
        <v>7.2332528117937507</v>
      </c>
      <c r="Y103" s="8">
        <f t="shared" si="17"/>
        <v>9.2383410867994495E-2</v>
      </c>
      <c r="Z103" s="8">
        <f t="shared" si="18"/>
        <v>4.7049794705254611E-2</v>
      </c>
      <c r="AA103" s="10">
        <f t="shared" si="19"/>
        <v>4.8534925003687106E-2</v>
      </c>
    </row>
    <row r="104" spans="1:27" hidden="1" x14ac:dyDescent="0.3">
      <c r="A104" t="s">
        <v>67</v>
      </c>
      <c r="B104" s="11">
        <v>2022</v>
      </c>
      <c r="C104" s="12">
        <v>337.685</v>
      </c>
      <c r="D104" s="12">
        <v>2341.7939999999999</v>
      </c>
      <c r="E104" s="12">
        <v>952.40200000000004</v>
      </c>
      <c r="F104" s="12">
        <v>841.75099999999998</v>
      </c>
      <c r="G104" s="12">
        <v>3294.1959999999999</v>
      </c>
      <c r="H104" s="12">
        <v>1575.145</v>
      </c>
      <c r="I104" s="12">
        <v>1719.0509999999999</v>
      </c>
      <c r="J104" s="12">
        <v>1269.23</v>
      </c>
      <c r="K104" s="5">
        <v>3.1565074996312899E-2</v>
      </c>
      <c r="L104" s="5">
        <v>8.1235144676734303E-2</v>
      </c>
      <c r="M104" s="8">
        <v>8.0100000000000005E-2</v>
      </c>
      <c r="N104" s="12">
        <v>23271.212500000001</v>
      </c>
      <c r="O104" s="3">
        <f t="shared" si="12"/>
        <v>35</v>
      </c>
      <c r="P104" s="13">
        <v>1988</v>
      </c>
      <c r="Q104" s="14">
        <v>134.21</v>
      </c>
      <c r="R104" s="14">
        <v>177.31</v>
      </c>
      <c r="S104" s="2">
        <f t="shared" si="10"/>
        <v>17.614513730895045</v>
      </c>
      <c r="T104" s="8">
        <f t="shared" si="13"/>
        <v>0.19643687127374349</v>
      </c>
      <c r="U104" s="8">
        <f t="shared" si="14"/>
        <v>0.10250907960546367</v>
      </c>
      <c r="V104" s="9">
        <f t="shared" si="15"/>
        <v>0.91628753306330069</v>
      </c>
      <c r="W104">
        <f t="shared" si="16"/>
        <v>1.8450509363945067</v>
      </c>
      <c r="X104">
        <f t="shared" si="11"/>
        <v>7.5271879840116744</v>
      </c>
      <c r="Y104" s="8">
        <f t="shared" si="17"/>
        <v>0.25552547571547046</v>
      </c>
      <c r="Z104" s="8">
        <f t="shared" si="18"/>
        <v>4.7049794705254611E-2</v>
      </c>
      <c r="AA104" s="10">
        <f t="shared" si="19"/>
        <v>4.8534925003687106E-2</v>
      </c>
    </row>
    <row r="105" spans="1:27" x14ac:dyDescent="0.3">
      <c r="A105" t="s">
        <v>68</v>
      </c>
      <c r="B105" s="11">
        <v>2022</v>
      </c>
      <c r="C105" s="12">
        <v>4754.384</v>
      </c>
      <c r="D105" s="12">
        <v>47674.624000000003</v>
      </c>
      <c r="E105" s="12">
        <v>93668.191000000006</v>
      </c>
      <c r="F105" s="12">
        <v>43535.355000000003</v>
      </c>
      <c r="G105" s="12">
        <v>141342.815</v>
      </c>
      <c r="H105" s="12">
        <v>104706.076</v>
      </c>
      <c r="I105" s="12">
        <v>36636.739000000001</v>
      </c>
      <c r="J105" s="12">
        <v>65320.88</v>
      </c>
      <c r="K105" s="5">
        <v>3.1565074996312899E-2</v>
      </c>
      <c r="L105" s="5">
        <v>8.1235144676734303E-2</v>
      </c>
      <c r="M105" s="8">
        <v>8.0100000000000005E-2</v>
      </c>
      <c r="N105" s="12">
        <v>23271.212500000001</v>
      </c>
      <c r="O105" s="3">
        <f t="shared" si="12"/>
        <v>19</v>
      </c>
      <c r="P105" s="13">
        <v>2004</v>
      </c>
      <c r="Q105" s="14">
        <v>134.21</v>
      </c>
      <c r="R105" s="14">
        <v>177.31</v>
      </c>
      <c r="S105" s="2">
        <f t="shared" si="10"/>
        <v>17.614513730895045</v>
      </c>
      <c r="T105" s="8">
        <f t="shared" si="13"/>
        <v>0.12977093840147727</v>
      </c>
      <c r="U105" s="8">
        <f t="shared" si="14"/>
        <v>3.3637252802698178E-2</v>
      </c>
      <c r="V105" s="9">
        <f t="shared" si="15"/>
        <v>2.8579529417178748</v>
      </c>
      <c r="W105">
        <f t="shared" si="16"/>
        <v>0.72985275152447437</v>
      </c>
      <c r="X105">
        <f t="shared" si="11"/>
        <v>11.286214103479081</v>
      </c>
      <c r="Y105" s="8">
        <f t="shared" si="17"/>
        <v>0.30801250845329492</v>
      </c>
      <c r="Z105" s="8">
        <f t="shared" si="18"/>
        <v>4.7049794705254611E-2</v>
      </c>
      <c r="AA105" s="10">
        <f t="shared" si="19"/>
        <v>4.8534925003687106E-2</v>
      </c>
    </row>
    <row r="106" spans="1:27" x14ac:dyDescent="0.3">
      <c r="A106" t="s">
        <v>69</v>
      </c>
      <c r="B106" s="11">
        <v>2022</v>
      </c>
      <c r="C106" s="12">
        <v>79.841999999999999</v>
      </c>
      <c r="D106" s="12">
        <v>1166.7629999999999</v>
      </c>
      <c r="E106" s="12">
        <v>576.98500000000001</v>
      </c>
      <c r="F106" s="12">
        <v>418.13900000000001</v>
      </c>
      <c r="G106" s="12">
        <v>1743.748</v>
      </c>
      <c r="H106" s="12">
        <v>851.56</v>
      </c>
      <c r="I106" s="12">
        <v>892.18799999999999</v>
      </c>
      <c r="J106" s="12">
        <v>772.28</v>
      </c>
      <c r="K106" s="5">
        <v>3.1565074996312899E-2</v>
      </c>
      <c r="L106" s="5">
        <v>8.1235144676734303E-2</v>
      </c>
      <c r="M106" s="8">
        <v>8.0100000000000005E-2</v>
      </c>
      <c r="N106" s="12">
        <v>23271.212500000001</v>
      </c>
      <c r="O106" s="3">
        <f t="shared" si="12"/>
        <v>28</v>
      </c>
      <c r="P106" s="13">
        <v>1995</v>
      </c>
      <c r="Q106" s="14">
        <v>134.21</v>
      </c>
      <c r="R106" s="14">
        <v>177.31</v>
      </c>
      <c r="S106" s="2">
        <f t="shared" si="10"/>
        <v>17.614513730895045</v>
      </c>
      <c r="T106" s="8">
        <f t="shared" si="13"/>
        <v>8.9490107466139418E-2</v>
      </c>
      <c r="U106" s="8">
        <f t="shared" si="14"/>
        <v>4.578757939794053E-2</v>
      </c>
      <c r="V106" s="9">
        <f t="shared" si="15"/>
        <v>0.95446251238528201</v>
      </c>
      <c r="W106">
        <f t="shared" si="16"/>
        <v>1.5108030766043403</v>
      </c>
      <c r="X106">
        <f t="shared" si="11"/>
        <v>6.8910626715348071</v>
      </c>
      <c r="Y106" s="8">
        <f t="shared" si="17"/>
        <v>0.23979324994207879</v>
      </c>
      <c r="Z106" s="8">
        <f t="shared" si="18"/>
        <v>4.7049794705254611E-2</v>
      </c>
      <c r="AA106" s="10">
        <f t="shared" si="19"/>
        <v>4.8534925003687106E-2</v>
      </c>
    </row>
    <row r="107" spans="1:27" x14ac:dyDescent="0.3">
      <c r="A107" t="s">
        <v>70</v>
      </c>
      <c r="B107" s="11">
        <v>2022</v>
      </c>
      <c r="C107" s="12">
        <v>63.438000000000002</v>
      </c>
      <c r="D107" s="12">
        <v>302.09699999999998</v>
      </c>
      <c r="E107" s="12">
        <v>449.767</v>
      </c>
      <c r="F107" s="12">
        <v>285.291</v>
      </c>
      <c r="G107" s="12">
        <v>751.86400000000003</v>
      </c>
      <c r="H107" s="12">
        <v>315.85599999999999</v>
      </c>
      <c r="I107" s="12">
        <v>436.00900000000001</v>
      </c>
      <c r="J107" s="12">
        <v>271.3</v>
      </c>
      <c r="K107" s="5">
        <v>3.1565074996312899E-2</v>
      </c>
      <c r="L107" s="5">
        <v>8.1235144676734303E-2</v>
      </c>
      <c r="M107" s="8">
        <v>8.0100000000000005E-2</v>
      </c>
      <c r="N107" s="12">
        <v>23271.212500000001</v>
      </c>
      <c r="O107" s="3">
        <f t="shared" si="12"/>
        <v>30</v>
      </c>
      <c r="P107" s="13">
        <v>1993</v>
      </c>
      <c r="Q107" s="14">
        <v>134.21</v>
      </c>
      <c r="R107" s="14">
        <v>177.31</v>
      </c>
      <c r="S107" s="2">
        <f t="shared" si="10"/>
        <v>17.614513730895045</v>
      </c>
      <c r="T107" s="8">
        <f t="shared" si="13"/>
        <v>0.14549699662162938</v>
      </c>
      <c r="U107" s="8">
        <f t="shared" si="14"/>
        <v>8.4374301735420237E-2</v>
      </c>
      <c r="V107" s="9">
        <f t="shared" si="15"/>
        <v>0.7244254132368827</v>
      </c>
      <c r="W107">
        <f t="shared" si="16"/>
        <v>1.1135164025064503</v>
      </c>
      <c r="X107">
        <f t="shared" si="11"/>
        <v>6.0498260294496786</v>
      </c>
      <c r="Y107" s="8">
        <f t="shared" si="17"/>
        <v>0.37944495281061469</v>
      </c>
      <c r="Z107" s="8">
        <f t="shared" si="18"/>
        <v>4.7049794705254611E-2</v>
      </c>
      <c r="AA107" s="10">
        <f t="shared" si="19"/>
        <v>4.8534925003687106E-2</v>
      </c>
    </row>
    <row r="108" spans="1:27" x14ac:dyDescent="0.3">
      <c r="A108" t="s">
        <v>71</v>
      </c>
      <c r="B108" s="11">
        <v>2022</v>
      </c>
      <c r="C108" s="12">
        <v>226.886</v>
      </c>
      <c r="D108" s="12">
        <v>1175.4880000000001</v>
      </c>
      <c r="E108" s="12">
        <v>850.24099999999999</v>
      </c>
      <c r="F108" s="12">
        <v>720.60400000000004</v>
      </c>
      <c r="G108" s="12">
        <v>2025.729</v>
      </c>
      <c r="H108" s="12">
        <v>674.471</v>
      </c>
      <c r="I108" s="12">
        <v>1351.258</v>
      </c>
      <c r="J108" s="12">
        <v>642.83000000000004</v>
      </c>
      <c r="K108" s="5">
        <v>3.1565074996312899E-2</v>
      </c>
      <c r="L108" s="5">
        <v>8.1235144676734303E-2</v>
      </c>
      <c r="M108" s="8">
        <v>8.0100000000000005E-2</v>
      </c>
      <c r="N108" s="12">
        <v>23271.212500000001</v>
      </c>
      <c r="O108" s="3">
        <f t="shared" si="12"/>
        <v>55</v>
      </c>
      <c r="P108" s="13">
        <v>1968</v>
      </c>
      <c r="Q108" s="14">
        <v>134.21</v>
      </c>
      <c r="R108" s="14">
        <v>177.31</v>
      </c>
      <c r="S108" s="2">
        <f t="shared" si="10"/>
        <v>17.614513730895045</v>
      </c>
      <c r="T108" s="8">
        <f t="shared" si="13"/>
        <v>0.16790723903207233</v>
      </c>
      <c r="U108" s="8">
        <f t="shared" si="14"/>
        <v>0.112002148362392</v>
      </c>
      <c r="V108" s="9">
        <f t="shared" si="15"/>
        <v>0.49914302079987682</v>
      </c>
      <c r="W108">
        <f t="shared" si="16"/>
        <v>1.8286140970396527</v>
      </c>
      <c r="X108">
        <f t="shared" si="11"/>
        <v>7.0409554876753813</v>
      </c>
      <c r="Y108" s="8">
        <f t="shared" si="17"/>
        <v>0.35572576588477534</v>
      </c>
      <c r="Z108" s="8">
        <f t="shared" si="18"/>
        <v>4.7049794705254611E-2</v>
      </c>
      <c r="AA108" s="10">
        <f t="shared" si="19"/>
        <v>4.8534925003687106E-2</v>
      </c>
    </row>
    <row r="109" spans="1:27" x14ac:dyDescent="0.3">
      <c r="A109" t="s">
        <v>72</v>
      </c>
      <c r="B109" s="11">
        <v>2022</v>
      </c>
      <c r="C109" s="12">
        <v>794.30200000000002</v>
      </c>
      <c r="D109" s="12">
        <v>10114.92</v>
      </c>
      <c r="E109" s="12">
        <v>5966.6779999999999</v>
      </c>
      <c r="F109" s="12">
        <v>3827.2660000000001</v>
      </c>
      <c r="G109" s="12">
        <v>16081.598</v>
      </c>
      <c r="H109" s="12">
        <v>8203.2139999999999</v>
      </c>
      <c r="I109" s="12">
        <v>7878.384</v>
      </c>
      <c r="J109" s="12">
        <v>7812.64</v>
      </c>
      <c r="K109" s="5">
        <v>3.1565074996312899E-2</v>
      </c>
      <c r="L109" s="5">
        <v>8.1235144676734303E-2</v>
      </c>
      <c r="M109" s="8">
        <v>8.0100000000000005E-2</v>
      </c>
      <c r="N109" s="12">
        <v>23271.212500000001</v>
      </c>
      <c r="O109" s="3">
        <f t="shared" si="12"/>
        <v>25</v>
      </c>
      <c r="P109" s="13">
        <v>1998</v>
      </c>
      <c r="Q109" s="14">
        <v>134.21</v>
      </c>
      <c r="R109" s="14">
        <v>177.31</v>
      </c>
      <c r="S109" s="2">
        <f t="shared" si="10"/>
        <v>17.614513730895045</v>
      </c>
      <c r="T109" s="8">
        <f t="shared" si="13"/>
        <v>0.10082042205609679</v>
      </c>
      <c r="U109" s="8">
        <f t="shared" si="14"/>
        <v>4.9391982065463892E-2</v>
      </c>
      <c r="V109" s="9">
        <f t="shared" si="15"/>
        <v>1.0412305366176617</v>
      </c>
      <c r="W109">
        <f t="shared" si="16"/>
        <v>1.2946865592168588</v>
      </c>
      <c r="X109">
        <f t="shared" si="11"/>
        <v>9.1127014888239266</v>
      </c>
      <c r="Y109" s="8">
        <f t="shared" si="17"/>
        <v>0.23799040368998156</v>
      </c>
      <c r="Z109" s="8">
        <f t="shared" si="18"/>
        <v>4.7049794705254611E-2</v>
      </c>
      <c r="AA109" s="10">
        <f t="shared" si="19"/>
        <v>4.8534925003687106E-2</v>
      </c>
    </row>
    <row r="110" spans="1:27" x14ac:dyDescent="0.3">
      <c r="A110" t="s">
        <v>73</v>
      </c>
      <c r="B110" s="11">
        <v>2022</v>
      </c>
      <c r="C110" s="12">
        <v>1810.692</v>
      </c>
      <c r="D110" s="12">
        <v>11966.358</v>
      </c>
      <c r="E110" s="12">
        <v>1370.7670000000001</v>
      </c>
      <c r="F110" s="12">
        <v>882.43299999999999</v>
      </c>
      <c r="G110" s="12">
        <v>13337.125</v>
      </c>
      <c r="H110" s="12">
        <v>4893.03</v>
      </c>
      <c r="I110" s="12">
        <v>8444.0949999999993</v>
      </c>
      <c r="J110" s="12">
        <v>4883.0600000000004</v>
      </c>
      <c r="K110" s="5">
        <v>3.1565074996312899E-2</v>
      </c>
      <c r="L110" s="5">
        <v>8.1235144676734303E-2</v>
      </c>
      <c r="M110" s="8">
        <v>8.0100000000000005E-2</v>
      </c>
      <c r="N110" s="12">
        <v>23271.212500000001</v>
      </c>
      <c r="O110" s="3">
        <f t="shared" si="12"/>
        <v>35</v>
      </c>
      <c r="P110" s="13">
        <v>1988</v>
      </c>
      <c r="Q110" s="14">
        <v>134.21</v>
      </c>
      <c r="R110" s="14">
        <v>177.31</v>
      </c>
      <c r="S110" s="2">
        <f t="shared" si="10"/>
        <v>17.614513730895045</v>
      </c>
      <c r="T110" s="8">
        <f t="shared" si="13"/>
        <v>0.21443292620464363</v>
      </c>
      <c r="U110" s="8">
        <f t="shared" si="14"/>
        <v>0.13576329231374828</v>
      </c>
      <c r="V110" s="9">
        <f t="shared" si="15"/>
        <v>0.57946174219972657</v>
      </c>
      <c r="W110">
        <f t="shared" si="16"/>
        <v>2.4505859031017434</v>
      </c>
      <c r="X110">
        <f t="shared" si="11"/>
        <v>8.9255773519202517</v>
      </c>
      <c r="Y110" s="8">
        <f t="shared" si="17"/>
        <v>6.616365970927017E-2</v>
      </c>
      <c r="Z110" s="8">
        <f t="shared" si="18"/>
        <v>4.7049794705254611E-2</v>
      </c>
      <c r="AA110" s="10">
        <f t="shared" si="19"/>
        <v>4.8534925003687106E-2</v>
      </c>
    </row>
    <row r="111" spans="1:27" x14ac:dyDescent="0.3">
      <c r="A111" t="s">
        <v>74</v>
      </c>
      <c r="B111" s="11">
        <v>2022</v>
      </c>
      <c r="C111" s="12">
        <v>485.827</v>
      </c>
      <c r="D111" s="12">
        <v>6287.0079999999998</v>
      </c>
      <c r="E111" s="12">
        <v>429.47500000000002</v>
      </c>
      <c r="F111" s="12">
        <v>301.05900000000003</v>
      </c>
      <c r="G111" s="12">
        <v>6716.4830000000002</v>
      </c>
      <c r="H111" s="12">
        <v>4094.788</v>
      </c>
      <c r="I111" s="12">
        <v>2621.6950000000002</v>
      </c>
      <c r="J111" s="12">
        <v>4093.95</v>
      </c>
      <c r="K111" s="5">
        <v>3.1565074996312899E-2</v>
      </c>
      <c r="L111" s="5">
        <v>8.1235144676734303E-2</v>
      </c>
      <c r="M111" s="8">
        <v>8.0100000000000005E-2</v>
      </c>
      <c r="N111" s="12">
        <v>23271.212500000001</v>
      </c>
      <c r="O111" s="3">
        <f t="shared" si="12"/>
        <v>19</v>
      </c>
      <c r="P111" s="13">
        <v>2004</v>
      </c>
      <c r="Q111" s="14">
        <v>134.21</v>
      </c>
      <c r="R111" s="14">
        <v>177.31</v>
      </c>
      <c r="S111" s="2">
        <f t="shared" si="10"/>
        <v>17.614513730895045</v>
      </c>
      <c r="T111" s="8">
        <f t="shared" si="13"/>
        <v>0.18531026683119126</v>
      </c>
      <c r="U111" s="8">
        <f t="shared" si="14"/>
        <v>7.2333541229837095E-2</v>
      </c>
      <c r="V111" s="9">
        <f t="shared" si="15"/>
        <v>1.5618857266005388</v>
      </c>
      <c r="W111">
        <f t="shared" si="16"/>
        <v>1.5356826536718817</v>
      </c>
      <c r="X111">
        <f t="shared" si="11"/>
        <v>8.2395905063388835</v>
      </c>
      <c r="Y111" s="8">
        <f t="shared" si="17"/>
        <v>4.4823905606550335E-2</v>
      </c>
      <c r="Z111" s="8">
        <f t="shared" si="18"/>
        <v>4.7049794705254611E-2</v>
      </c>
      <c r="AA111" s="10">
        <f t="shared" si="19"/>
        <v>4.8534925003687106E-2</v>
      </c>
    </row>
    <row r="112" spans="1:27" x14ac:dyDescent="0.3">
      <c r="A112" t="s">
        <v>75</v>
      </c>
      <c r="B112" s="11">
        <v>2022</v>
      </c>
      <c r="C112" s="12">
        <v>5499.7979999999998</v>
      </c>
      <c r="D112" s="12">
        <v>26860.224999999999</v>
      </c>
      <c r="E112" s="12">
        <v>7604.8509999999997</v>
      </c>
      <c r="F112" s="12">
        <v>4454.982</v>
      </c>
      <c r="G112" s="12">
        <v>34465.076000000001</v>
      </c>
      <c r="H112" s="12">
        <v>9874.23</v>
      </c>
      <c r="I112" s="12">
        <v>24590.846000000001</v>
      </c>
      <c r="J112" s="12">
        <v>9213.86</v>
      </c>
      <c r="K112" s="5">
        <v>3.1565074996312899E-2</v>
      </c>
      <c r="L112" s="5">
        <v>8.1235144676734303E-2</v>
      </c>
      <c r="M112" s="8">
        <v>8.0100000000000005E-2</v>
      </c>
      <c r="N112" s="12">
        <v>23271.212500000001</v>
      </c>
      <c r="O112" s="3">
        <f t="shared" si="12"/>
        <v>20</v>
      </c>
      <c r="P112" s="13">
        <v>2003</v>
      </c>
      <c r="Q112" s="14">
        <v>134.21</v>
      </c>
      <c r="R112" s="14">
        <v>177.31</v>
      </c>
      <c r="S112" s="2">
        <f t="shared" si="10"/>
        <v>17.614513730895045</v>
      </c>
      <c r="T112" s="8">
        <f t="shared" si="13"/>
        <v>0.22365224848303306</v>
      </c>
      <c r="U112" s="8">
        <f t="shared" si="14"/>
        <v>0.15957597192009673</v>
      </c>
      <c r="V112" s="9">
        <f t="shared" si="15"/>
        <v>0.40154088232669988</v>
      </c>
      <c r="W112">
        <f t="shared" si="16"/>
        <v>2.9151978649556209</v>
      </c>
      <c r="X112">
        <f t="shared" si="11"/>
        <v>9.8749723733721595</v>
      </c>
      <c r="Y112" s="8">
        <f t="shared" si="17"/>
        <v>0.12926076240191664</v>
      </c>
      <c r="Z112" s="8">
        <f t="shared" si="18"/>
        <v>4.7049794705254611E-2</v>
      </c>
      <c r="AA112" s="10">
        <f t="shared" si="19"/>
        <v>4.8534925003687106E-2</v>
      </c>
    </row>
    <row r="113" spans="1:27" x14ac:dyDescent="0.3">
      <c r="A113" t="s">
        <v>76</v>
      </c>
      <c r="B113" s="11">
        <v>2022</v>
      </c>
      <c r="C113" s="12">
        <v>817.62300000000005</v>
      </c>
      <c r="D113" s="12">
        <v>18697.322</v>
      </c>
      <c r="E113" s="12">
        <v>10343.904</v>
      </c>
      <c r="F113" s="12">
        <v>4349.7579999999998</v>
      </c>
      <c r="G113" s="12">
        <v>29041.225999999999</v>
      </c>
      <c r="H113" s="12">
        <v>18864.048999999999</v>
      </c>
      <c r="I113" s="12">
        <v>10177.178</v>
      </c>
      <c r="J113" s="12">
        <v>16227.01</v>
      </c>
      <c r="K113" s="5">
        <v>3.1565074996312899E-2</v>
      </c>
      <c r="L113" s="5">
        <v>8.1235144676734303E-2</v>
      </c>
      <c r="M113" s="8">
        <v>8.0100000000000005E-2</v>
      </c>
      <c r="N113" s="12">
        <v>23271.212500000001</v>
      </c>
      <c r="O113" s="3">
        <f t="shared" si="12"/>
        <v>28</v>
      </c>
      <c r="P113" s="13">
        <v>1995</v>
      </c>
      <c r="Q113" s="14">
        <v>134.21</v>
      </c>
      <c r="R113" s="14">
        <v>177.31</v>
      </c>
      <c r="S113" s="2">
        <f t="shared" si="10"/>
        <v>17.614513730895045</v>
      </c>
      <c r="T113" s="8">
        <f t="shared" si="13"/>
        <v>8.0338871934833023E-2</v>
      </c>
      <c r="U113" s="8">
        <f t="shared" si="14"/>
        <v>2.8153873393637036E-2</v>
      </c>
      <c r="V113" s="9">
        <f t="shared" si="15"/>
        <v>1.8535638268290089</v>
      </c>
      <c r="W113">
        <f t="shared" si="16"/>
        <v>1.152234576795109</v>
      </c>
      <c r="X113">
        <f t="shared" si="11"/>
        <v>9.7037422585976412</v>
      </c>
      <c r="Y113" s="8">
        <f t="shared" si="17"/>
        <v>0.14977873179321011</v>
      </c>
      <c r="Z113" s="8">
        <f t="shared" si="18"/>
        <v>4.7049794705254611E-2</v>
      </c>
      <c r="AA113" s="10">
        <f t="shared" si="19"/>
        <v>4.8534925003687106E-2</v>
      </c>
    </row>
    <row r="114" spans="1:27" x14ac:dyDescent="0.3">
      <c r="A114" t="s">
        <v>77</v>
      </c>
      <c r="B114" s="11">
        <v>2022</v>
      </c>
      <c r="C114" s="12">
        <v>184.73500000000001</v>
      </c>
      <c r="D114" s="12">
        <v>560.69399999999996</v>
      </c>
      <c r="E114" s="12">
        <v>417.80200000000002</v>
      </c>
      <c r="F114" s="12">
        <v>351.34500000000003</v>
      </c>
      <c r="G114" s="12">
        <v>978.49599999999998</v>
      </c>
      <c r="H114" s="12">
        <v>371.80399999999997</v>
      </c>
      <c r="I114" s="12">
        <v>606.69200000000001</v>
      </c>
      <c r="J114" s="12">
        <v>346.11</v>
      </c>
      <c r="K114" s="5">
        <v>3.1565074996312899E-2</v>
      </c>
      <c r="L114" s="5">
        <v>8.1235144676734303E-2</v>
      </c>
      <c r="M114" s="8">
        <v>8.0100000000000005E-2</v>
      </c>
      <c r="N114" s="12">
        <v>23271.212500000001</v>
      </c>
      <c r="O114" s="3">
        <f t="shared" si="12"/>
        <v>15</v>
      </c>
      <c r="P114" s="13">
        <v>2008</v>
      </c>
      <c r="Q114" s="14">
        <v>134.21</v>
      </c>
      <c r="R114" s="14">
        <v>177.31</v>
      </c>
      <c r="S114" s="2">
        <f t="shared" si="10"/>
        <v>17.614513730895045</v>
      </c>
      <c r="T114" s="8">
        <f t="shared" si="13"/>
        <v>0.30449552656042939</v>
      </c>
      <c r="U114" s="8">
        <f t="shared" si="14"/>
        <v>0.18879484433252666</v>
      </c>
      <c r="V114" s="9">
        <f t="shared" si="15"/>
        <v>0.61283814522030944</v>
      </c>
      <c r="W114">
        <f t="shared" si="16"/>
        <v>1.6199878651295829</v>
      </c>
      <c r="X114">
        <f t="shared" si="11"/>
        <v>6.3132872718573427</v>
      </c>
      <c r="Y114" s="8">
        <f t="shared" si="17"/>
        <v>0.35906636307148931</v>
      </c>
      <c r="Z114" s="8">
        <f t="shared" si="18"/>
        <v>4.7049794705254611E-2</v>
      </c>
      <c r="AA114" s="10">
        <f t="shared" si="19"/>
        <v>4.8534925003687106E-2</v>
      </c>
    </row>
    <row r="115" spans="1:27" x14ac:dyDescent="0.3">
      <c r="A115" t="s">
        <v>78</v>
      </c>
      <c r="B115" s="11">
        <v>2022</v>
      </c>
      <c r="C115" s="12">
        <v>27.741</v>
      </c>
      <c r="D115" s="12">
        <v>530.07500000000005</v>
      </c>
      <c r="E115" s="12">
        <v>714.95100000000002</v>
      </c>
      <c r="F115" s="12">
        <v>45.039000000000001</v>
      </c>
      <c r="G115" s="12">
        <v>1245.0260000000001</v>
      </c>
      <c r="H115" s="12">
        <v>805.69299999999998</v>
      </c>
      <c r="I115" s="12">
        <v>439.33300000000003</v>
      </c>
      <c r="J115" s="12">
        <v>520.67999999999995</v>
      </c>
      <c r="K115" s="5">
        <v>3.1565074996312899E-2</v>
      </c>
      <c r="L115" s="5">
        <v>8.1235144676734303E-2</v>
      </c>
      <c r="M115" s="8">
        <v>8.0100000000000005E-2</v>
      </c>
      <c r="N115" s="12">
        <v>23271.212500000001</v>
      </c>
      <c r="O115" s="3">
        <f t="shared" si="12"/>
        <v>63</v>
      </c>
      <c r="P115" s="13">
        <v>1960</v>
      </c>
      <c r="Q115" s="14">
        <v>134.21</v>
      </c>
      <c r="R115" s="14">
        <v>177.31</v>
      </c>
      <c r="S115" s="2">
        <f t="shared" si="10"/>
        <v>17.614513730895045</v>
      </c>
      <c r="T115" s="8">
        <f t="shared" si="13"/>
        <v>6.3143446998062971E-2</v>
      </c>
      <c r="U115" s="8">
        <f t="shared" si="14"/>
        <v>2.2281462395162831E-2</v>
      </c>
      <c r="V115" s="9">
        <f t="shared" si="15"/>
        <v>1.8339004809563586</v>
      </c>
      <c r="W115">
        <f t="shared" si="16"/>
        <v>1.0180437120688333</v>
      </c>
      <c r="X115">
        <f t="shared" si="11"/>
        <v>6.5541822651340809</v>
      </c>
      <c r="Y115" s="8">
        <f t="shared" si="17"/>
        <v>3.6175148149516556E-2</v>
      </c>
      <c r="Z115" s="8">
        <f t="shared" si="18"/>
        <v>4.7049794705254611E-2</v>
      </c>
      <c r="AA115" s="10">
        <f t="shared" si="19"/>
        <v>4.8534925003687106E-2</v>
      </c>
    </row>
    <row r="116" spans="1:27" x14ac:dyDescent="0.3">
      <c r="A116" t="s">
        <v>79</v>
      </c>
      <c r="B116" s="11">
        <v>2022</v>
      </c>
      <c r="C116" s="12">
        <v>50.664999999999999</v>
      </c>
      <c r="D116" s="12">
        <v>327.58</v>
      </c>
      <c r="E116" s="12">
        <v>199.37799999999999</v>
      </c>
      <c r="F116" s="12">
        <v>86.350999999999999</v>
      </c>
      <c r="G116" s="12">
        <v>526.95799999999997</v>
      </c>
      <c r="H116" s="12">
        <v>147.75800000000001</v>
      </c>
      <c r="I116" s="12">
        <v>379.20100000000002</v>
      </c>
      <c r="J116" s="12">
        <v>147.76</v>
      </c>
      <c r="K116" s="5">
        <v>3.1565074996312899E-2</v>
      </c>
      <c r="L116" s="5">
        <v>8.1235144676734303E-2</v>
      </c>
      <c r="M116" s="8">
        <v>8.0100000000000005E-2</v>
      </c>
      <c r="N116" s="12">
        <v>23271.212500000001</v>
      </c>
      <c r="O116" s="3">
        <f t="shared" si="12"/>
        <v>47</v>
      </c>
      <c r="P116" s="13">
        <v>1976</v>
      </c>
      <c r="Q116" s="14">
        <v>134.21</v>
      </c>
      <c r="R116" s="14">
        <v>177.31</v>
      </c>
      <c r="S116" s="2">
        <f t="shared" si="10"/>
        <v>17.614513730895045</v>
      </c>
      <c r="T116" s="8">
        <f t="shared" si="13"/>
        <v>0.13360987972078131</v>
      </c>
      <c r="U116" s="8">
        <f t="shared" si="14"/>
        <v>9.614618242820111E-2</v>
      </c>
      <c r="V116" s="9">
        <f t="shared" si="15"/>
        <v>0.38965614542155741</v>
      </c>
      <c r="W116">
        <f t="shared" si="16"/>
        <v>2.2169734704926909</v>
      </c>
      <c r="X116">
        <f t="shared" si="11"/>
        <v>5.694391421889943</v>
      </c>
      <c r="Y116" s="8">
        <f t="shared" si="17"/>
        <v>0.16386694954816133</v>
      </c>
      <c r="Z116" s="8">
        <f t="shared" si="18"/>
        <v>4.7049794705254611E-2</v>
      </c>
      <c r="AA116" s="10">
        <f t="shared" si="19"/>
        <v>4.8534925003687106E-2</v>
      </c>
    </row>
    <row r="117" spans="1:27" x14ac:dyDescent="0.3">
      <c r="A117" t="s">
        <v>80</v>
      </c>
      <c r="B117" s="11">
        <v>2022</v>
      </c>
      <c r="C117" s="12">
        <v>242.274</v>
      </c>
      <c r="D117" s="12">
        <v>1199.951</v>
      </c>
      <c r="E117" s="12">
        <v>925.08199999999999</v>
      </c>
      <c r="F117" s="12">
        <v>730.56700000000001</v>
      </c>
      <c r="G117" s="12">
        <v>2125.0329999999999</v>
      </c>
      <c r="H117" s="12">
        <v>583.94299999999998</v>
      </c>
      <c r="I117" s="12">
        <v>1541.09</v>
      </c>
      <c r="J117" s="12">
        <v>583.66999999999996</v>
      </c>
      <c r="K117" s="5">
        <v>3.1565074996312899E-2</v>
      </c>
      <c r="L117" s="5">
        <v>8.1235144676734303E-2</v>
      </c>
      <c r="M117" s="8">
        <v>8.0100000000000005E-2</v>
      </c>
      <c r="N117" s="12">
        <v>23271.212500000001</v>
      </c>
      <c r="O117" s="3">
        <f t="shared" si="12"/>
        <v>23</v>
      </c>
      <c r="P117" s="13">
        <v>2000</v>
      </c>
      <c r="Q117" s="14">
        <v>134.21</v>
      </c>
      <c r="R117" s="14">
        <v>177.31</v>
      </c>
      <c r="S117" s="2">
        <f t="shared" si="10"/>
        <v>17.614513730895045</v>
      </c>
      <c r="T117" s="8">
        <f t="shared" si="13"/>
        <v>0.15720950755634</v>
      </c>
      <c r="U117" s="8">
        <f t="shared" si="14"/>
        <v>0.11400952361680972</v>
      </c>
      <c r="V117" s="9">
        <f t="shared" si="15"/>
        <v>0.37891557274396692</v>
      </c>
      <c r="W117">
        <f t="shared" si="16"/>
        <v>2.0558723251152196</v>
      </c>
      <c r="X117">
        <f t="shared" si="11"/>
        <v>7.0888131835688961</v>
      </c>
      <c r="Y117" s="8">
        <f t="shared" si="17"/>
        <v>0.34379089642372612</v>
      </c>
      <c r="Z117" s="8">
        <f t="shared" si="18"/>
        <v>4.7049794705254611E-2</v>
      </c>
      <c r="AA117" s="10">
        <f t="shared" si="19"/>
        <v>4.8534925003687106E-2</v>
      </c>
    </row>
    <row r="118" spans="1:27" x14ac:dyDescent="0.3">
      <c r="A118" t="s">
        <v>81</v>
      </c>
      <c r="B118" s="11">
        <v>2022</v>
      </c>
      <c r="C118" s="12">
        <v>586.04300000000001</v>
      </c>
      <c r="D118" s="12">
        <v>3465.3069999999998</v>
      </c>
      <c r="E118" s="12">
        <v>2681.4189999999999</v>
      </c>
      <c r="F118" s="12">
        <v>737.68600000000004</v>
      </c>
      <c r="G118" s="12">
        <v>6146.7250000000004</v>
      </c>
      <c r="H118" s="12">
        <v>3691.056</v>
      </c>
      <c r="I118" s="12">
        <v>2455.6689999999999</v>
      </c>
      <c r="J118" s="12">
        <v>3232.12</v>
      </c>
      <c r="K118" s="5">
        <v>3.1565074996312899E-2</v>
      </c>
      <c r="L118" s="5">
        <v>8.1235144676734303E-2</v>
      </c>
      <c r="M118" s="8">
        <v>8.0100000000000005E-2</v>
      </c>
      <c r="N118" s="12">
        <v>23271.212500000001</v>
      </c>
      <c r="O118" s="3">
        <f t="shared" si="12"/>
        <v>41</v>
      </c>
      <c r="P118" s="13">
        <v>1982</v>
      </c>
      <c r="Q118" s="14">
        <v>134.21</v>
      </c>
      <c r="R118" s="14">
        <v>177.31</v>
      </c>
      <c r="S118" s="2">
        <f t="shared" si="10"/>
        <v>17.614513730895045</v>
      </c>
      <c r="T118" s="8">
        <f t="shared" si="13"/>
        <v>0.2386490198801223</v>
      </c>
      <c r="U118" s="8">
        <f t="shared" si="14"/>
        <v>9.5342316436801702E-2</v>
      </c>
      <c r="V118" s="9">
        <f t="shared" si="15"/>
        <v>1.503075536646022</v>
      </c>
      <c r="W118">
        <f t="shared" si="16"/>
        <v>1.0721467643528086</v>
      </c>
      <c r="X118">
        <f t="shared" si="11"/>
        <v>8.1509452715552495</v>
      </c>
      <c r="Y118" s="8">
        <f t="shared" si="17"/>
        <v>0.12001285237260492</v>
      </c>
      <c r="Z118" s="8">
        <f t="shared" si="18"/>
        <v>4.7049794705254611E-2</v>
      </c>
      <c r="AA118" s="10">
        <f t="shared" si="19"/>
        <v>4.8534925003687106E-2</v>
      </c>
    </row>
    <row r="119" spans="1:27" x14ac:dyDescent="0.3">
      <c r="A119" t="s">
        <v>82</v>
      </c>
      <c r="B119" s="11">
        <v>2022</v>
      </c>
      <c r="C119" s="12">
        <v>281.06900000000002</v>
      </c>
      <c r="D119" s="12">
        <v>2166.7359999999999</v>
      </c>
      <c r="E119" s="12">
        <v>1310.3309999999999</v>
      </c>
      <c r="F119" s="12">
        <v>1037.018</v>
      </c>
      <c r="G119" s="12">
        <v>3477.067</v>
      </c>
      <c r="H119" s="12">
        <v>1498.2090000000001</v>
      </c>
      <c r="I119" s="12">
        <v>1978.857</v>
      </c>
      <c r="J119" s="12">
        <v>1311.89</v>
      </c>
      <c r="K119" s="5">
        <v>3.1565074996312899E-2</v>
      </c>
      <c r="L119" s="5">
        <v>8.1235144676734303E-2</v>
      </c>
      <c r="M119" s="8">
        <v>8.0100000000000005E-2</v>
      </c>
      <c r="N119" s="12">
        <v>23271.212500000001</v>
      </c>
      <c r="O119" s="3">
        <f t="shared" si="12"/>
        <v>47</v>
      </c>
      <c r="P119" s="13">
        <v>1976</v>
      </c>
      <c r="Q119" s="14">
        <v>134.21</v>
      </c>
      <c r="R119" s="14">
        <v>177.31</v>
      </c>
      <c r="S119" s="2">
        <f t="shared" si="10"/>
        <v>17.614513730895045</v>
      </c>
      <c r="T119" s="8">
        <f t="shared" si="13"/>
        <v>0.14203603393271977</v>
      </c>
      <c r="U119" s="8">
        <f t="shared" si="14"/>
        <v>8.0835083131846466E-2</v>
      </c>
      <c r="V119" s="9">
        <f t="shared" si="15"/>
        <v>0.75710827007712034</v>
      </c>
      <c r="W119">
        <f t="shared" si="16"/>
        <v>1.6516140834978541</v>
      </c>
      <c r="X119">
        <f t="shared" si="11"/>
        <v>7.5812149742265902</v>
      </c>
      <c r="Y119" s="8">
        <f t="shared" si="17"/>
        <v>0.29824504388324991</v>
      </c>
      <c r="Z119" s="8">
        <f t="shared" si="18"/>
        <v>4.7049794705254611E-2</v>
      </c>
      <c r="AA119" s="10">
        <f t="shared" si="19"/>
        <v>4.8534925003687106E-2</v>
      </c>
    </row>
    <row r="120" spans="1:27" x14ac:dyDescent="0.3">
      <c r="A120" t="s">
        <v>83</v>
      </c>
      <c r="B120" s="11">
        <v>2022</v>
      </c>
      <c r="C120" s="12">
        <v>400.93700000000001</v>
      </c>
      <c r="D120" s="12">
        <v>2133.2130000000002</v>
      </c>
      <c r="E120" s="12">
        <v>735.82299999999998</v>
      </c>
      <c r="F120" s="12">
        <v>478.35</v>
      </c>
      <c r="G120" s="12">
        <v>2869.0360000000001</v>
      </c>
      <c r="H120" s="12">
        <v>911.16399999999999</v>
      </c>
      <c r="I120" s="12">
        <v>1957.8720000000001</v>
      </c>
      <c r="J120" s="12">
        <v>831.26</v>
      </c>
      <c r="K120" s="5">
        <v>3.1565074996312899E-2</v>
      </c>
      <c r="L120" s="5">
        <v>8.1235144676734303E-2</v>
      </c>
      <c r="M120" s="8">
        <v>8.0100000000000005E-2</v>
      </c>
      <c r="N120" s="12">
        <v>23271.212500000001</v>
      </c>
      <c r="O120" s="3">
        <f t="shared" si="12"/>
        <v>42</v>
      </c>
      <c r="P120" s="13">
        <v>1981</v>
      </c>
      <c r="Q120" s="14">
        <v>134.21</v>
      </c>
      <c r="R120" s="14">
        <v>177.31</v>
      </c>
      <c r="S120" s="2">
        <f t="shared" si="10"/>
        <v>17.614513730895045</v>
      </c>
      <c r="T120" s="8">
        <f t="shared" si="13"/>
        <v>0.20478202865151551</v>
      </c>
      <c r="U120" s="8">
        <f t="shared" si="14"/>
        <v>0.13974624229183599</v>
      </c>
      <c r="V120" s="9">
        <f t="shared" si="15"/>
        <v>0.46538486683501268</v>
      </c>
      <c r="W120">
        <f t="shared" si="16"/>
        <v>2.5662404061304529</v>
      </c>
      <c r="X120">
        <f t="shared" si="11"/>
        <v>7.3890019367479409</v>
      </c>
      <c r="Y120" s="8">
        <f t="shared" si="17"/>
        <v>0.16672847604561253</v>
      </c>
      <c r="Z120" s="8">
        <f t="shared" si="18"/>
        <v>4.7049794705254611E-2</v>
      </c>
      <c r="AA120" s="10">
        <f t="shared" si="19"/>
        <v>4.8534925003687106E-2</v>
      </c>
    </row>
    <row r="121" spans="1:27" x14ac:dyDescent="0.3">
      <c r="A121" t="s">
        <v>84</v>
      </c>
      <c r="B121" s="11">
        <v>2022</v>
      </c>
      <c r="C121" s="12">
        <v>48.411999999999999</v>
      </c>
      <c r="D121" s="12">
        <v>2998.0039999999999</v>
      </c>
      <c r="E121" s="12">
        <v>508.41699999999997</v>
      </c>
      <c r="F121" s="12">
        <v>308.67399999999998</v>
      </c>
      <c r="G121" s="12">
        <v>3506.4209999999998</v>
      </c>
      <c r="H121" s="12">
        <v>3070.8809999999999</v>
      </c>
      <c r="I121" s="12">
        <v>435.541</v>
      </c>
      <c r="J121" s="12">
        <v>2947.61</v>
      </c>
      <c r="K121" s="5">
        <v>3.1565074996312899E-2</v>
      </c>
      <c r="L121" s="5">
        <v>8.1235144676734303E-2</v>
      </c>
      <c r="M121" s="8">
        <v>8.0100000000000005E-2</v>
      </c>
      <c r="N121" s="12">
        <v>23271.212500000001</v>
      </c>
      <c r="O121" s="3">
        <f t="shared" si="12"/>
        <v>47</v>
      </c>
      <c r="P121" s="13">
        <v>1976</v>
      </c>
      <c r="Q121" s="14">
        <v>134.21</v>
      </c>
      <c r="R121" s="14">
        <v>177.31</v>
      </c>
      <c r="S121" s="2">
        <f t="shared" si="10"/>
        <v>17.614513730895045</v>
      </c>
      <c r="T121" s="8">
        <f t="shared" si="13"/>
        <v>0.11115371457566567</v>
      </c>
      <c r="U121" s="8">
        <f t="shared" si="14"/>
        <v>1.3806670676453284E-2</v>
      </c>
      <c r="V121" s="9">
        <f t="shared" si="15"/>
        <v>7.050727715645599</v>
      </c>
      <c r="W121">
        <f t="shared" si="16"/>
        <v>1.0170965629781414</v>
      </c>
      <c r="X121">
        <f t="shared" si="11"/>
        <v>7.5896217110544564</v>
      </c>
      <c r="Y121" s="8">
        <f t="shared" si="17"/>
        <v>8.8031072138799071E-2</v>
      </c>
      <c r="Z121" s="8">
        <f t="shared" si="18"/>
        <v>4.7049794705254611E-2</v>
      </c>
      <c r="AA121" s="10">
        <f t="shared" si="19"/>
        <v>4.8534925003687106E-2</v>
      </c>
    </row>
    <row r="122" spans="1:27" x14ac:dyDescent="0.3">
      <c r="A122" t="s">
        <v>85</v>
      </c>
      <c r="B122" s="11">
        <v>2022</v>
      </c>
      <c r="C122" s="12">
        <v>55.225000000000001</v>
      </c>
      <c r="D122" s="12">
        <v>1370.355</v>
      </c>
      <c r="E122" s="12">
        <v>442.92599999999999</v>
      </c>
      <c r="F122" s="12">
        <v>358.637</v>
      </c>
      <c r="G122" s="12">
        <v>1813.28</v>
      </c>
      <c r="H122" s="12">
        <v>1191.2840000000001</v>
      </c>
      <c r="I122" s="12">
        <v>621.99599999999998</v>
      </c>
      <c r="J122" s="12">
        <v>1135.04</v>
      </c>
      <c r="K122" s="5">
        <v>3.1565074996312899E-2</v>
      </c>
      <c r="L122" s="5">
        <v>8.1235144676734303E-2</v>
      </c>
      <c r="M122" s="8">
        <v>8.0100000000000005E-2</v>
      </c>
      <c r="N122" s="12">
        <v>23271.212500000001</v>
      </c>
      <c r="O122" s="3">
        <f t="shared" si="12"/>
        <v>63</v>
      </c>
      <c r="P122" s="13">
        <v>1960</v>
      </c>
      <c r="Q122" s="14">
        <v>134.21</v>
      </c>
      <c r="R122" s="14">
        <v>177.31</v>
      </c>
      <c r="S122" s="2">
        <f t="shared" si="10"/>
        <v>17.614513730895045</v>
      </c>
      <c r="T122" s="8">
        <f t="shared" si="13"/>
        <v>8.8786744609290091E-2</v>
      </c>
      <c r="U122" s="8">
        <f t="shared" si="14"/>
        <v>3.0455858995852819E-2</v>
      </c>
      <c r="V122" s="9">
        <f t="shared" si="15"/>
        <v>1.9152599052083938</v>
      </c>
      <c r="W122">
        <f t="shared" si="16"/>
        <v>1.2073186848040598</v>
      </c>
      <c r="X122">
        <f t="shared" si="11"/>
        <v>6.9301632119038326</v>
      </c>
      <c r="Y122" s="8">
        <f t="shared" si="17"/>
        <v>0.19778357451689757</v>
      </c>
      <c r="Z122" s="8">
        <f t="shared" si="18"/>
        <v>4.7049794705254611E-2</v>
      </c>
      <c r="AA122" s="10">
        <f t="shared" si="19"/>
        <v>4.8534925003687106E-2</v>
      </c>
    </row>
    <row r="123" spans="1:27" hidden="1" x14ac:dyDescent="0.3">
      <c r="A123" t="s">
        <v>86</v>
      </c>
      <c r="B123" s="11">
        <v>2022</v>
      </c>
      <c r="C123" s="12">
        <v>319.10700000000003</v>
      </c>
      <c r="D123" s="12">
        <v>1770.2460000000001</v>
      </c>
      <c r="E123" s="12">
        <v>336.00400000000002</v>
      </c>
      <c r="F123" s="12">
        <v>313.822</v>
      </c>
      <c r="G123" s="12">
        <v>2106.25</v>
      </c>
      <c r="H123" s="12">
        <v>443.41800000000001</v>
      </c>
      <c r="I123" s="12">
        <v>1662.8320000000001</v>
      </c>
      <c r="J123" s="12">
        <v>438.5</v>
      </c>
      <c r="K123" s="5">
        <v>3.1565074996312899E-2</v>
      </c>
      <c r="L123" s="5">
        <v>8.1235144676734303E-2</v>
      </c>
      <c r="M123" s="8">
        <v>8.0100000000000005E-2</v>
      </c>
      <c r="N123" s="12">
        <v>23271.212500000001</v>
      </c>
      <c r="O123" s="3">
        <f t="shared" si="12"/>
        <v>54</v>
      </c>
      <c r="P123" s="13">
        <v>1969</v>
      </c>
      <c r="Q123" s="14">
        <v>134.21</v>
      </c>
      <c r="R123" s="14">
        <v>177.31</v>
      </c>
      <c r="S123" s="2">
        <f t="shared" si="10"/>
        <v>17.614513730895045</v>
      </c>
      <c r="T123" s="8">
        <f t="shared" si="13"/>
        <v>0.19190573671904318</v>
      </c>
      <c r="U123" s="8">
        <f t="shared" si="14"/>
        <v>0.15150480712166173</v>
      </c>
      <c r="V123" s="9">
        <f t="shared" si="15"/>
        <v>0.26666434131650102</v>
      </c>
      <c r="W123">
        <f t="shared" si="16"/>
        <v>4.0370490307867737</v>
      </c>
      <c r="X123">
        <f t="shared" si="11"/>
        <v>7.0799349670198657</v>
      </c>
      <c r="Y123" s="8">
        <f t="shared" si="17"/>
        <v>0.14899560830860534</v>
      </c>
      <c r="Z123" s="8">
        <f t="shared" si="18"/>
        <v>4.7049794705254611E-2</v>
      </c>
      <c r="AA123" s="10">
        <f t="shared" si="19"/>
        <v>4.8534925003687106E-2</v>
      </c>
    </row>
    <row r="124" spans="1:27" x14ac:dyDescent="0.3">
      <c r="A124" t="s">
        <v>87</v>
      </c>
      <c r="B124" s="11">
        <v>2022</v>
      </c>
      <c r="C124" s="12">
        <v>2012.92</v>
      </c>
      <c r="D124" s="12">
        <v>7640.3620000000001</v>
      </c>
      <c r="E124" s="12">
        <v>3942.9279999999999</v>
      </c>
      <c r="F124" s="12">
        <v>2823.5059999999999</v>
      </c>
      <c r="G124" s="12">
        <v>11583.29</v>
      </c>
      <c r="H124" s="12">
        <v>3888.902</v>
      </c>
      <c r="I124" s="12">
        <v>7694.3879999999999</v>
      </c>
      <c r="J124" s="12">
        <v>3698.13</v>
      </c>
      <c r="K124" s="5">
        <v>3.1565074996312899E-2</v>
      </c>
      <c r="L124" s="5">
        <v>8.1235144676734303E-2</v>
      </c>
      <c r="M124" s="8">
        <v>8.0100000000000005E-2</v>
      </c>
      <c r="N124" s="12">
        <v>23271.212500000001</v>
      </c>
      <c r="O124" s="3">
        <f t="shared" si="12"/>
        <v>26</v>
      </c>
      <c r="P124" s="13">
        <v>1997</v>
      </c>
      <c r="Q124" s="14">
        <v>134.21</v>
      </c>
      <c r="R124" s="14">
        <v>177.31</v>
      </c>
      <c r="S124" s="2">
        <f t="shared" si="10"/>
        <v>17.614513730895045</v>
      </c>
      <c r="T124" s="8">
        <f t="shared" si="13"/>
        <v>0.26160885050247012</v>
      </c>
      <c r="U124" s="8">
        <f t="shared" si="14"/>
        <v>0.1737779162914854</v>
      </c>
      <c r="V124" s="9">
        <f t="shared" si="15"/>
        <v>0.50542057405995122</v>
      </c>
      <c r="W124">
        <f t="shared" si="16"/>
        <v>2.0660068737442976</v>
      </c>
      <c r="X124">
        <f t="shared" si="11"/>
        <v>8.7845893942298314</v>
      </c>
      <c r="Y124" s="8">
        <f t="shared" si="17"/>
        <v>0.24375682556510281</v>
      </c>
      <c r="Z124" s="8">
        <f t="shared" si="18"/>
        <v>4.7049794705254611E-2</v>
      </c>
      <c r="AA124" s="10">
        <f t="shared" si="19"/>
        <v>4.8534925003687106E-2</v>
      </c>
    </row>
    <row r="125" spans="1:27" x14ac:dyDescent="0.3">
      <c r="A125" t="s">
        <v>88</v>
      </c>
      <c r="B125" s="11">
        <v>2022</v>
      </c>
      <c r="C125" s="12">
        <v>8577.5750000000007</v>
      </c>
      <c r="D125" s="12">
        <v>31560.382000000001</v>
      </c>
      <c r="E125" s="12">
        <v>16922.281999999999</v>
      </c>
      <c r="F125" s="12">
        <v>11903.208000000001</v>
      </c>
      <c r="G125" s="12">
        <v>48482.663999999997</v>
      </c>
      <c r="H125" s="12">
        <v>15666.146000000001</v>
      </c>
      <c r="I125" s="12">
        <v>32816.517999999996</v>
      </c>
      <c r="J125" s="12">
        <v>15308.42</v>
      </c>
      <c r="K125" s="5">
        <v>3.1565074996312899E-2</v>
      </c>
      <c r="L125" s="5">
        <v>8.1235144676734303E-2</v>
      </c>
      <c r="M125" s="8">
        <v>8.0100000000000005E-2</v>
      </c>
      <c r="N125" s="12">
        <v>23271.212500000001</v>
      </c>
      <c r="O125" s="3">
        <f t="shared" si="12"/>
        <v>47</v>
      </c>
      <c r="P125" s="13">
        <v>1976</v>
      </c>
      <c r="Q125" s="14">
        <v>134.21</v>
      </c>
      <c r="R125" s="14">
        <v>177.31</v>
      </c>
      <c r="S125" s="2">
        <f t="shared" si="10"/>
        <v>17.614513730895045</v>
      </c>
      <c r="T125" s="8">
        <f t="shared" si="13"/>
        <v>0.26137980269570349</v>
      </c>
      <c r="U125" s="8">
        <f t="shared" si="14"/>
        <v>0.17692045552612376</v>
      </c>
      <c r="V125" s="9">
        <f t="shared" si="15"/>
        <v>0.47738599201780035</v>
      </c>
      <c r="W125">
        <f t="shared" si="16"/>
        <v>2.0616354921017321</v>
      </c>
      <c r="X125">
        <f t="shared" si="11"/>
        <v>10.216232142647717</v>
      </c>
      <c r="Y125" s="8">
        <f t="shared" si="17"/>
        <v>0.24551472666600996</v>
      </c>
      <c r="Z125" s="8">
        <f t="shared" si="18"/>
        <v>4.7049794705254611E-2</v>
      </c>
      <c r="AA125" s="10">
        <f t="shared" si="19"/>
        <v>4.8534925003687106E-2</v>
      </c>
    </row>
    <row r="126" spans="1:27" x14ac:dyDescent="0.3">
      <c r="A126" s="2" t="s">
        <v>27</v>
      </c>
      <c r="B126" s="3">
        <v>2021</v>
      </c>
      <c r="C126" s="4">
        <v>0.22600000000000001</v>
      </c>
      <c r="D126" s="4">
        <v>163.042</v>
      </c>
      <c r="E126" s="4">
        <v>38.045000000000002</v>
      </c>
      <c r="F126" s="4">
        <v>26.236999999999998</v>
      </c>
      <c r="G126" s="4">
        <v>201.08799999999999</v>
      </c>
      <c r="H126" s="4">
        <v>6.7610000000000001</v>
      </c>
      <c r="I126" s="4">
        <v>194.32599999999999</v>
      </c>
      <c r="J126" s="4">
        <v>5.54</v>
      </c>
      <c r="K126" s="5">
        <v>1.8347155481044399E-2</v>
      </c>
      <c r="L126" s="5">
        <v>2.5537285264813078E-2</v>
      </c>
      <c r="M126" s="5">
        <v>7.8100000000000003E-2</v>
      </c>
      <c r="N126" s="4">
        <v>23159.782592592601</v>
      </c>
      <c r="O126" s="3">
        <f t="shared" si="12"/>
        <v>43</v>
      </c>
      <c r="P126" s="6">
        <v>1979</v>
      </c>
      <c r="Q126" s="7">
        <v>124.27</v>
      </c>
      <c r="R126" s="7">
        <v>171.88</v>
      </c>
      <c r="S126" s="2">
        <f t="shared" si="10"/>
        <v>16.744625219813141</v>
      </c>
      <c r="T126" s="8">
        <f t="shared" si="13"/>
        <v>1.1629941438613465E-3</v>
      </c>
      <c r="U126" s="8">
        <f t="shared" si="14"/>
        <v>1.1238860598345004E-3</v>
      </c>
      <c r="V126" s="9">
        <f t="shared" si="15"/>
        <v>3.4792050471887451E-2</v>
      </c>
      <c r="W126">
        <f t="shared" si="16"/>
        <v>29.429963898916967</v>
      </c>
      <c r="X126">
        <f t="shared" si="11"/>
        <v>4.7621162502743983</v>
      </c>
      <c r="Y126" s="8">
        <f t="shared" si="17"/>
        <v>0.13047521483131763</v>
      </c>
      <c r="Z126" s="8">
        <f t="shared" si="18"/>
        <v>5.8676301296024969E-2</v>
      </c>
      <c r="AA126" s="10">
        <f t="shared" si="19"/>
        <v>5.97528445189556E-2</v>
      </c>
    </row>
    <row r="127" spans="1:27" x14ac:dyDescent="0.3">
      <c r="A127" t="s">
        <v>28</v>
      </c>
      <c r="B127" s="11">
        <v>2021</v>
      </c>
      <c r="C127" s="12">
        <v>28.814</v>
      </c>
      <c r="D127" s="12">
        <v>343.22300000000001</v>
      </c>
      <c r="E127" s="12">
        <v>633.38900000000001</v>
      </c>
      <c r="F127" s="12">
        <v>434.928</v>
      </c>
      <c r="G127" s="12">
        <v>976.61199999999997</v>
      </c>
      <c r="H127" s="12">
        <v>307.87599999999998</v>
      </c>
      <c r="I127" s="12">
        <v>668.73699999999997</v>
      </c>
      <c r="J127" s="12">
        <v>115.7</v>
      </c>
      <c r="K127" s="5">
        <v>1.8347155481044399E-2</v>
      </c>
      <c r="L127" s="5">
        <v>2.5537285264813078E-2</v>
      </c>
      <c r="M127" s="8">
        <v>7.8100000000000003E-2</v>
      </c>
      <c r="N127" s="12">
        <v>23159.782592592601</v>
      </c>
      <c r="O127" s="3">
        <f t="shared" si="12"/>
        <v>27</v>
      </c>
      <c r="P127" s="13">
        <v>1995</v>
      </c>
      <c r="Q127" s="14">
        <v>124.27</v>
      </c>
      <c r="R127" s="14">
        <v>171.88</v>
      </c>
      <c r="S127" s="2">
        <f t="shared" si="10"/>
        <v>16.744625219813141</v>
      </c>
      <c r="T127" s="8">
        <f t="shared" si="13"/>
        <v>4.3087192722998727E-2</v>
      </c>
      <c r="U127" s="8">
        <f t="shared" si="14"/>
        <v>2.9504040499195177E-2</v>
      </c>
      <c r="V127" s="9">
        <f t="shared" si="15"/>
        <v>0.46038427662892883</v>
      </c>
      <c r="W127">
        <f t="shared" si="16"/>
        <v>2.9664909248055316</v>
      </c>
      <c r="X127">
        <f t="shared" si="11"/>
        <v>6.3424630661615247</v>
      </c>
      <c r="Y127" s="8">
        <f t="shared" si="17"/>
        <v>0.4453436984186146</v>
      </c>
      <c r="Z127" s="8">
        <f t="shared" si="18"/>
        <v>5.8676301296024969E-2</v>
      </c>
      <c r="AA127" s="10">
        <f t="shared" si="19"/>
        <v>5.97528445189556E-2</v>
      </c>
    </row>
    <row r="128" spans="1:27" x14ac:dyDescent="0.3">
      <c r="A128" t="s">
        <v>29</v>
      </c>
      <c r="B128" s="11">
        <v>2021</v>
      </c>
      <c r="C128" s="12">
        <v>65.352000000000004</v>
      </c>
      <c r="D128" s="12">
        <v>1282.1099999999999</v>
      </c>
      <c r="E128" s="12">
        <v>310.84199999999998</v>
      </c>
      <c r="F128" s="12">
        <v>13.01</v>
      </c>
      <c r="G128" s="12">
        <v>1592.952</v>
      </c>
      <c r="H128" s="12">
        <v>666.548</v>
      </c>
      <c r="I128" s="12">
        <v>926.404</v>
      </c>
      <c r="J128" s="12">
        <v>666.16</v>
      </c>
      <c r="K128" s="5">
        <v>1.8347155481044399E-2</v>
      </c>
      <c r="L128" s="5">
        <v>2.5537285264813078E-2</v>
      </c>
      <c r="M128" s="8">
        <v>7.8100000000000003E-2</v>
      </c>
      <c r="N128" s="12">
        <v>23159.782592592601</v>
      </c>
      <c r="O128" s="3">
        <f t="shared" si="12"/>
        <v>47</v>
      </c>
      <c r="P128" s="13">
        <v>1975</v>
      </c>
      <c r="Q128" s="14">
        <v>124.27</v>
      </c>
      <c r="R128" s="14">
        <v>171.88</v>
      </c>
      <c r="S128" s="2">
        <f t="shared" si="10"/>
        <v>16.744625219813141</v>
      </c>
      <c r="T128" s="8">
        <f t="shared" si="13"/>
        <v>7.0543736857785588E-2</v>
      </c>
      <c r="U128" s="8">
        <f t="shared" si="14"/>
        <v>4.1025718289063325E-2</v>
      </c>
      <c r="V128" s="9">
        <f t="shared" si="15"/>
        <v>0.71950034758053727</v>
      </c>
      <c r="W128">
        <f t="shared" si="16"/>
        <v>1.9246277170649693</v>
      </c>
      <c r="X128">
        <f t="shared" si="11"/>
        <v>6.8317178047106308</v>
      </c>
      <c r="Y128" s="8">
        <f t="shared" si="17"/>
        <v>8.167226633319773E-3</v>
      </c>
      <c r="Z128" s="8">
        <f t="shared" si="18"/>
        <v>5.8676301296024969E-2</v>
      </c>
      <c r="AA128" s="10">
        <f t="shared" si="19"/>
        <v>5.97528445189556E-2</v>
      </c>
    </row>
    <row r="129" spans="1:27" x14ac:dyDescent="0.3">
      <c r="A129" t="s">
        <v>30</v>
      </c>
      <c r="B129" s="11">
        <v>2021</v>
      </c>
      <c r="C129" s="12">
        <v>33.792999999999999</v>
      </c>
      <c r="D129" s="12">
        <v>295.33600000000001</v>
      </c>
      <c r="E129" s="12">
        <v>298.93799999999999</v>
      </c>
      <c r="F129" s="12">
        <v>62.64</v>
      </c>
      <c r="G129" s="12">
        <v>594.274</v>
      </c>
      <c r="H129" s="12">
        <v>175.678</v>
      </c>
      <c r="I129" s="12">
        <v>418.596</v>
      </c>
      <c r="J129" s="12">
        <v>171.51</v>
      </c>
      <c r="K129" s="5">
        <v>1.8347155481044399E-2</v>
      </c>
      <c r="L129" s="5">
        <v>2.5537285264813078E-2</v>
      </c>
      <c r="M129" s="8">
        <v>7.8100000000000003E-2</v>
      </c>
      <c r="N129" s="12">
        <v>23159.782592592601</v>
      </c>
      <c r="O129" s="3">
        <f t="shared" si="12"/>
        <v>45</v>
      </c>
      <c r="P129" s="13">
        <v>1977</v>
      </c>
      <c r="Q129" s="14">
        <v>124.27</v>
      </c>
      <c r="R129" s="14">
        <v>171.88</v>
      </c>
      <c r="S129" s="2">
        <f t="shared" si="10"/>
        <v>16.744625219813141</v>
      </c>
      <c r="T129" s="8">
        <f t="shared" si="13"/>
        <v>8.072939062962857E-2</v>
      </c>
      <c r="U129" s="8">
        <f t="shared" si="14"/>
        <v>5.6864342037511312E-2</v>
      </c>
      <c r="V129" s="9">
        <f t="shared" si="15"/>
        <v>0.41968389568939979</v>
      </c>
      <c r="W129">
        <f t="shared" si="16"/>
        <v>1.7219753950206986</v>
      </c>
      <c r="X129">
        <f t="shared" si="11"/>
        <v>5.845714119548556</v>
      </c>
      <c r="Y129" s="8">
        <f t="shared" si="17"/>
        <v>0.10540592386676853</v>
      </c>
      <c r="Z129" s="8">
        <f t="shared" si="18"/>
        <v>5.8676301296024969E-2</v>
      </c>
      <c r="AA129" s="10">
        <f t="shared" si="19"/>
        <v>5.97528445189556E-2</v>
      </c>
    </row>
    <row r="130" spans="1:27" x14ac:dyDescent="0.3">
      <c r="A130" t="s">
        <v>31</v>
      </c>
      <c r="B130" s="11">
        <v>2021</v>
      </c>
      <c r="C130" s="12">
        <v>42.088000000000001</v>
      </c>
      <c r="D130" s="12">
        <v>1158.3620000000001</v>
      </c>
      <c r="E130" s="12">
        <v>299.81700000000001</v>
      </c>
      <c r="F130" s="12">
        <v>284.97500000000002</v>
      </c>
      <c r="G130" s="12">
        <v>1458.1790000000001</v>
      </c>
      <c r="H130" s="12">
        <v>751.72699999999998</v>
      </c>
      <c r="I130" s="12">
        <v>706.45299999999997</v>
      </c>
      <c r="J130" s="12">
        <v>751.73</v>
      </c>
      <c r="K130" s="5">
        <v>1.8347155481044399E-2</v>
      </c>
      <c r="L130" s="5">
        <v>2.5537285264813078E-2</v>
      </c>
      <c r="M130" s="8">
        <v>7.8100000000000003E-2</v>
      </c>
      <c r="N130" s="12">
        <v>23159.782592592601</v>
      </c>
      <c r="O130" s="3">
        <f t="shared" si="12"/>
        <v>19</v>
      </c>
      <c r="P130" s="13">
        <v>2003</v>
      </c>
      <c r="Q130" s="14">
        <v>124.27</v>
      </c>
      <c r="R130" s="14">
        <v>171.88</v>
      </c>
      <c r="S130" s="2">
        <f t="shared" ref="S130:S193" si="20">N130*Q130/(R130*1000)</f>
        <v>16.744625219813141</v>
      </c>
      <c r="T130" s="8">
        <f t="shared" si="13"/>
        <v>5.9576504027868807E-2</v>
      </c>
      <c r="U130" s="8">
        <f t="shared" si="14"/>
        <v>2.886339742925937E-2</v>
      </c>
      <c r="V130" s="9">
        <f t="shared" si="15"/>
        <v>1.0640863581866027</v>
      </c>
      <c r="W130">
        <f t="shared" si="16"/>
        <v>1.5409282588163304</v>
      </c>
      <c r="X130">
        <f t="shared" ref="X130:X193" si="21">LN(100*G130/R130)</f>
        <v>6.7433173030332352</v>
      </c>
      <c r="Y130" s="8">
        <f t="shared" si="17"/>
        <v>0.19543211087253348</v>
      </c>
      <c r="Z130" s="8">
        <f t="shared" si="18"/>
        <v>5.8676301296024969E-2</v>
      </c>
      <c r="AA130" s="10">
        <f t="shared" si="19"/>
        <v>5.97528445189556E-2</v>
      </c>
    </row>
    <row r="131" spans="1:27" x14ac:dyDescent="0.3">
      <c r="A131" t="s">
        <v>32</v>
      </c>
      <c r="B131" s="11">
        <v>2021</v>
      </c>
      <c r="C131" s="12">
        <v>100.486</v>
      </c>
      <c r="D131" s="12">
        <v>1605.9359999999999</v>
      </c>
      <c r="E131" s="12">
        <v>379.233</v>
      </c>
      <c r="F131" s="12">
        <v>224.756</v>
      </c>
      <c r="G131" s="12">
        <v>1985.1690000000001</v>
      </c>
      <c r="H131" s="12">
        <v>1401.2660000000001</v>
      </c>
      <c r="I131" s="12">
        <v>583.90200000000004</v>
      </c>
      <c r="J131" s="12">
        <v>1299.46</v>
      </c>
      <c r="K131" s="5">
        <v>1.8347155481044399E-2</v>
      </c>
      <c r="L131" s="5">
        <v>2.5537285264813078E-2</v>
      </c>
      <c r="M131" s="8">
        <v>7.8100000000000003E-2</v>
      </c>
      <c r="N131" s="12">
        <v>23159.782592592601</v>
      </c>
      <c r="O131" s="3">
        <f t="shared" ref="O131:O194" si="22">B131-P131+1</f>
        <v>16</v>
      </c>
      <c r="P131" s="13">
        <v>2006</v>
      </c>
      <c r="Q131" s="14">
        <v>124.27</v>
      </c>
      <c r="R131" s="14">
        <v>171.88</v>
      </c>
      <c r="S131" s="2">
        <f t="shared" si="20"/>
        <v>16.744625219813141</v>
      </c>
      <c r="T131" s="8">
        <f t="shared" ref="T131:T194" si="23">C131/I131</f>
        <v>0.17209394727197372</v>
      </c>
      <c r="U131" s="8">
        <f t="shared" ref="U131:U194" si="24">C131/G131</f>
        <v>5.0618360451931299E-2</v>
      </c>
      <c r="V131" s="9">
        <f t="shared" ref="V131:V194" si="25">H131/I131</f>
        <v>2.3998307935235705</v>
      </c>
      <c r="W131">
        <f t="shared" ref="W131:W194" si="26">D131/J131</f>
        <v>1.2358487371677465</v>
      </c>
      <c r="X131">
        <f t="shared" si="21"/>
        <v>7.0518329551175514</v>
      </c>
      <c r="Y131" s="8">
        <f t="shared" ref="Y131:Y194" si="27">F131/G131</f>
        <v>0.1132175648521612</v>
      </c>
      <c r="Z131" s="8">
        <f t="shared" ref="Z131:Z194" si="28">(M131+1)/(K131+1)-1</f>
        <v>5.8676301296024969E-2</v>
      </c>
      <c r="AA131" s="10">
        <f t="shared" ref="AA131:AA194" si="29">M131-K131</f>
        <v>5.97528445189556E-2</v>
      </c>
    </row>
    <row r="132" spans="1:27" hidden="1" x14ac:dyDescent="0.3">
      <c r="A132" t="s">
        <v>33</v>
      </c>
      <c r="B132" s="11">
        <v>2021</v>
      </c>
      <c r="C132" s="12">
        <v>44.712000000000003</v>
      </c>
      <c r="D132" s="12">
        <v>1301.4639999999999</v>
      </c>
      <c r="E132" s="12">
        <v>554.95299999999997</v>
      </c>
      <c r="F132" s="12">
        <v>283.74799999999999</v>
      </c>
      <c r="G132" s="12">
        <v>1856.4159999999999</v>
      </c>
      <c r="H132" s="12">
        <v>1373.7570000000001</v>
      </c>
      <c r="I132" s="12">
        <v>482.65899999999999</v>
      </c>
      <c r="J132" s="12">
        <v>1029.55</v>
      </c>
      <c r="K132" s="5">
        <v>1.8347155481044399E-2</v>
      </c>
      <c r="L132" s="5">
        <v>2.5537285264813078E-2</v>
      </c>
      <c r="M132" s="8">
        <v>7.8100000000000003E-2</v>
      </c>
      <c r="N132" s="12">
        <v>23159.782592592601</v>
      </c>
      <c r="O132" s="3">
        <f t="shared" si="22"/>
        <v>46</v>
      </c>
      <c r="P132" s="13">
        <v>1976</v>
      </c>
      <c r="Q132" s="14">
        <v>124.27</v>
      </c>
      <c r="R132" s="14">
        <v>171.88</v>
      </c>
      <c r="S132" s="2">
        <f t="shared" si="20"/>
        <v>16.744625219813141</v>
      </c>
      <c r="T132" s="8">
        <f t="shared" si="23"/>
        <v>9.2636830557391456E-2</v>
      </c>
      <c r="U132" s="8">
        <f t="shared" si="24"/>
        <v>2.4085118852670957E-2</v>
      </c>
      <c r="V132" s="9">
        <f t="shared" si="25"/>
        <v>2.8462268392384686</v>
      </c>
      <c r="W132">
        <f t="shared" si="26"/>
        <v>1.2641095624301879</v>
      </c>
      <c r="X132">
        <f t="shared" si="21"/>
        <v>6.9847766532433244</v>
      </c>
      <c r="Y132" s="8">
        <f t="shared" si="27"/>
        <v>0.15284720666057608</v>
      </c>
      <c r="Z132" s="8">
        <f t="shared" si="28"/>
        <v>5.8676301296024969E-2</v>
      </c>
      <c r="AA132" s="10">
        <f t="shared" si="29"/>
        <v>5.97528445189556E-2</v>
      </c>
    </row>
    <row r="133" spans="1:27" x14ac:dyDescent="0.3">
      <c r="A133" t="s">
        <v>34</v>
      </c>
      <c r="B133" s="11">
        <v>2021</v>
      </c>
      <c r="C133" s="12">
        <v>128.739</v>
      </c>
      <c r="D133" s="12">
        <v>2916.5430000000001</v>
      </c>
      <c r="E133" s="12">
        <v>1970.6369999999999</v>
      </c>
      <c r="F133" s="12">
        <v>1046.1469999999999</v>
      </c>
      <c r="G133" s="12">
        <v>4887.18</v>
      </c>
      <c r="H133" s="12">
        <v>2551.5940000000001</v>
      </c>
      <c r="I133" s="12">
        <v>2335.5859999999998</v>
      </c>
      <c r="J133" s="12">
        <v>2336.52</v>
      </c>
      <c r="K133" s="5">
        <v>1.8347155481044399E-2</v>
      </c>
      <c r="L133" s="5">
        <v>2.5537285264813078E-2</v>
      </c>
      <c r="M133" s="8">
        <v>7.8100000000000003E-2</v>
      </c>
      <c r="N133" s="12">
        <v>23159.782592592601</v>
      </c>
      <c r="O133" s="3">
        <f t="shared" si="22"/>
        <v>29</v>
      </c>
      <c r="P133" s="13">
        <v>1993</v>
      </c>
      <c r="Q133" s="14">
        <v>124.27</v>
      </c>
      <c r="R133" s="14">
        <v>171.88</v>
      </c>
      <c r="S133" s="2">
        <f t="shared" si="20"/>
        <v>16.744625219813141</v>
      </c>
      <c r="T133" s="8">
        <f t="shared" si="23"/>
        <v>5.5120642100098226E-2</v>
      </c>
      <c r="U133" s="8">
        <f t="shared" si="24"/>
        <v>2.6342185063779111E-2</v>
      </c>
      <c r="V133" s="9">
        <f t="shared" si="25"/>
        <v>1.0924855689321653</v>
      </c>
      <c r="W133">
        <f t="shared" si="26"/>
        <v>1.2482422577166041</v>
      </c>
      <c r="X133">
        <f t="shared" si="21"/>
        <v>7.9527443560856783</v>
      </c>
      <c r="Y133" s="8">
        <f t="shared" si="27"/>
        <v>0.21405943713961834</v>
      </c>
      <c r="Z133" s="8">
        <f t="shared" si="28"/>
        <v>5.8676301296024969E-2</v>
      </c>
      <c r="AA133" s="10">
        <f t="shared" si="29"/>
        <v>5.97528445189556E-2</v>
      </c>
    </row>
    <row r="134" spans="1:27" x14ac:dyDescent="0.3">
      <c r="A134" t="s">
        <v>35</v>
      </c>
      <c r="B134" s="11">
        <v>2021</v>
      </c>
      <c r="C134" s="12">
        <v>703.88800000000003</v>
      </c>
      <c r="D134" s="12">
        <v>9278.48</v>
      </c>
      <c r="E134" s="12">
        <v>8890.634</v>
      </c>
      <c r="F134" s="12">
        <v>6713.54</v>
      </c>
      <c r="G134" s="12">
        <v>18169.114000000001</v>
      </c>
      <c r="H134" s="12">
        <v>10592.773999999999</v>
      </c>
      <c r="I134" s="12">
        <v>7576.34</v>
      </c>
      <c r="J134" s="12">
        <v>6531.47</v>
      </c>
      <c r="K134" s="5">
        <v>1.8347155481044399E-2</v>
      </c>
      <c r="L134" s="5">
        <v>2.5537285264813078E-2</v>
      </c>
      <c r="M134" s="8">
        <v>7.8100000000000003E-2</v>
      </c>
      <c r="N134" s="12">
        <v>23159.782592592601</v>
      </c>
      <c r="O134" s="3">
        <f t="shared" si="22"/>
        <v>25</v>
      </c>
      <c r="P134" s="13">
        <v>1997</v>
      </c>
      <c r="Q134" s="14">
        <v>124.27</v>
      </c>
      <c r="R134" s="14">
        <v>171.88</v>
      </c>
      <c r="S134" s="2">
        <f t="shared" si="20"/>
        <v>16.744625219813141</v>
      </c>
      <c r="T134" s="8">
        <f t="shared" si="23"/>
        <v>9.2906073381078466E-2</v>
      </c>
      <c r="U134" s="8">
        <f t="shared" si="24"/>
        <v>3.8740909435649971E-2</v>
      </c>
      <c r="V134" s="9">
        <f t="shared" si="25"/>
        <v>1.3981386790983508</v>
      </c>
      <c r="W134">
        <f t="shared" si="26"/>
        <v>1.4205806656082014</v>
      </c>
      <c r="X134">
        <f t="shared" si="21"/>
        <v>9.2658520255875221</v>
      </c>
      <c r="Y134" s="8">
        <f t="shared" si="27"/>
        <v>0.36950288274926335</v>
      </c>
      <c r="Z134" s="8">
        <f t="shared" si="28"/>
        <v>5.8676301296024969E-2</v>
      </c>
      <c r="AA134" s="10">
        <f t="shared" si="29"/>
        <v>5.97528445189556E-2</v>
      </c>
    </row>
    <row r="135" spans="1:27" x14ac:dyDescent="0.3">
      <c r="A135" t="s">
        <v>36</v>
      </c>
      <c r="B135" s="11">
        <v>2021</v>
      </c>
      <c r="C135" s="12">
        <v>321.791</v>
      </c>
      <c r="D135" s="12">
        <v>4310.7290000000003</v>
      </c>
      <c r="E135" s="12">
        <v>1146.5170000000001</v>
      </c>
      <c r="F135" s="12">
        <v>541.16899999999998</v>
      </c>
      <c r="G135" s="12">
        <v>5457.2460000000001</v>
      </c>
      <c r="H135" s="12">
        <v>4002.4279999999999</v>
      </c>
      <c r="I135" s="12">
        <v>1454.818</v>
      </c>
      <c r="J135" s="12">
        <v>3851.38</v>
      </c>
      <c r="K135" s="5">
        <v>1.8347155481044399E-2</v>
      </c>
      <c r="L135" s="5">
        <v>2.5537285264813078E-2</v>
      </c>
      <c r="M135" s="8">
        <v>7.8100000000000003E-2</v>
      </c>
      <c r="N135" s="12">
        <v>23159.782592592601</v>
      </c>
      <c r="O135" s="3">
        <f t="shared" si="22"/>
        <v>5</v>
      </c>
      <c r="P135" s="13">
        <v>2017</v>
      </c>
      <c r="Q135" s="14">
        <v>124.27</v>
      </c>
      <c r="R135" s="14">
        <v>171.88</v>
      </c>
      <c r="S135" s="2">
        <f t="shared" si="20"/>
        <v>16.744625219813141</v>
      </c>
      <c r="T135" s="8">
        <f t="shared" si="23"/>
        <v>0.22118986704866175</v>
      </c>
      <c r="U135" s="8">
        <f t="shared" si="24"/>
        <v>5.8965822687853907E-2</v>
      </c>
      <c r="V135" s="9">
        <f t="shared" si="25"/>
        <v>2.7511537525656129</v>
      </c>
      <c r="W135">
        <f t="shared" si="26"/>
        <v>1.119268677720713</v>
      </c>
      <c r="X135">
        <f t="shared" si="21"/>
        <v>8.0630731729655984</v>
      </c>
      <c r="Y135" s="8">
        <f t="shared" si="27"/>
        <v>9.9165219966261361E-2</v>
      </c>
      <c r="Z135" s="8">
        <f t="shared" si="28"/>
        <v>5.8676301296024969E-2</v>
      </c>
      <c r="AA135" s="10">
        <f t="shared" si="29"/>
        <v>5.97528445189556E-2</v>
      </c>
    </row>
    <row r="136" spans="1:27" x14ac:dyDescent="0.3">
      <c r="A136" t="s">
        <v>37</v>
      </c>
      <c r="B136" s="11">
        <v>2021</v>
      </c>
      <c r="C136" s="12">
        <v>22.4</v>
      </c>
      <c r="D136" s="12">
        <v>578.23099999999999</v>
      </c>
      <c r="E136" s="12">
        <v>1061.307</v>
      </c>
      <c r="F136" s="12">
        <v>607.03200000000004</v>
      </c>
      <c r="G136" s="12">
        <v>1639.538</v>
      </c>
      <c r="H136" s="12">
        <v>658.07399999999996</v>
      </c>
      <c r="I136" s="12">
        <v>981.46400000000006</v>
      </c>
      <c r="J136" s="12">
        <v>520.24</v>
      </c>
      <c r="K136" s="5">
        <v>1.8347155481044399E-2</v>
      </c>
      <c r="L136" s="5">
        <v>2.5537285264813078E-2</v>
      </c>
      <c r="M136" s="8">
        <v>7.8100000000000003E-2</v>
      </c>
      <c r="N136" s="12">
        <v>23159.782592592601</v>
      </c>
      <c r="O136" s="3">
        <f t="shared" si="22"/>
        <v>23</v>
      </c>
      <c r="P136" s="13">
        <v>1999</v>
      </c>
      <c r="Q136" s="14">
        <v>124.27</v>
      </c>
      <c r="R136" s="14">
        <v>171.88</v>
      </c>
      <c r="S136" s="2">
        <f t="shared" si="20"/>
        <v>16.744625219813141</v>
      </c>
      <c r="T136" s="8">
        <f t="shared" si="23"/>
        <v>2.282304801806281E-2</v>
      </c>
      <c r="U136" s="8">
        <f t="shared" si="24"/>
        <v>1.3662385379295873E-2</v>
      </c>
      <c r="V136" s="9">
        <f t="shared" si="25"/>
        <v>0.6705024330999404</v>
      </c>
      <c r="W136">
        <f t="shared" si="26"/>
        <v>1.1114697062894048</v>
      </c>
      <c r="X136">
        <f t="shared" si="21"/>
        <v>6.8605434008955077</v>
      </c>
      <c r="Y136" s="8">
        <f t="shared" si="27"/>
        <v>0.3702457643555685</v>
      </c>
      <c r="Z136" s="8">
        <f t="shared" si="28"/>
        <v>5.8676301296024969E-2</v>
      </c>
      <c r="AA136" s="10">
        <f t="shared" si="29"/>
        <v>5.97528445189556E-2</v>
      </c>
    </row>
    <row r="137" spans="1:27" x14ac:dyDescent="0.3">
      <c r="A137" t="s">
        <v>38</v>
      </c>
      <c r="B137" s="11">
        <v>2021</v>
      </c>
      <c r="C137" s="12">
        <v>324.173</v>
      </c>
      <c r="D137" s="12">
        <v>4341.8760000000002</v>
      </c>
      <c r="E137" s="12">
        <v>2745.8539999999998</v>
      </c>
      <c r="F137" s="12">
        <v>2184.9290000000001</v>
      </c>
      <c r="G137" s="12">
        <v>7087.73</v>
      </c>
      <c r="H137" s="12">
        <v>2252.8510000000001</v>
      </c>
      <c r="I137" s="12">
        <v>4834.8779999999997</v>
      </c>
      <c r="J137" s="12">
        <v>2104.9899999999998</v>
      </c>
      <c r="K137" s="5">
        <v>1.8347155481044399E-2</v>
      </c>
      <c r="L137" s="5">
        <v>2.5537285264813078E-2</v>
      </c>
      <c r="M137" s="8">
        <v>7.8100000000000003E-2</v>
      </c>
      <c r="N137" s="12">
        <v>23159.782592592601</v>
      </c>
      <c r="O137" s="3">
        <f t="shared" si="22"/>
        <v>132</v>
      </c>
      <c r="P137" s="13">
        <v>1890</v>
      </c>
      <c r="Q137" s="14">
        <v>124.27</v>
      </c>
      <c r="R137" s="14">
        <v>171.88</v>
      </c>
      <c r="S137" s="2">
        <f t="shared" si="20"/>
        <v>16.744625219813141</v>
      </c>
      <c r="T137" s="8">
        <f t="shared" si="23"/>
        <v>6.7048847975067841E-2</v>
      </c>
      <c r="U137" s="8">
        <f t="shared" si="24"/>
        <v>4.5737210644310661E-2</v>
      </c>
      <c r="V137" s="9">
        <f t="shared" si="25"/>
        <v>0.46595818963787716</v>
      </c>
      <c r="W137">
        <f t="shared" si="26"/>
        <v>2.0626587299702139</v>
      </c>
      <c r="X137">
        <f t="shared" si="21"/>
        <v>8.3244940260898836</v>
      </c>
      <c r="Y137" s="8">
        <f t="shared" si="27"/>
        <v>0.30826922018756359</v>
      </c>
      <c r="Z137" s="8">
        <f t="shared" si="28"/>
        <v>5.8676301296024969E-2</v>
      </c>
      <c r="AA137" s="10">
        <f t="shared" si="29"/>
        <v>5.97528445189556E-2</v>
      </c>
    </row>
    <row r="138" spans="1:27" x14ac:dyDescent="0.3">
      <c r="A138" t="s">
        <v>39</v>
      </c>
      <c r="B138" s="11">
        <v>2021</v>
      </c>
      <c r="C138" s="12">
        <v>23.472000000000001</v>
      </c>
      <c r="D138" s="12">
        <v>329.72199999999998</v>
      </c>
      <c r="E138" s="12">
        <v>133.60599999999999</v>
      </c>
      <c r="F138" s="12">
        <v>57.258000000000003</v>
      </c>
      <c r="G138" s="12">
        <v>463.327</v>
      </c>
      <c r="H138" s="12">
        <v>62.326999999999998</v>
      </c>
      <c r="I138" s="12">
        <v>401</v>
      </c>
      <c r="J138" s="12">
        <v>59.24</v>
      </c>
      <c r="K138" s="5">
        <v>1.8347155481044399E-2</v>
      </c>
      <c r="L138" s="5">
        <v>2.5537285264813078E-2</v>
      </c>
      <c r="M138" s="8">
        <v>7.8100000000000003E-2</v>
      </c>
      <c r="N138" s="12">
        <v>23159.782592592601</v>
      </c>
      <c r="O138" s="3">
        <f t="shared" si="22"/>
        <v>7</v>
      </c>
      <c r="P138" s="13">
        <v>2015</v>
      </c>
      <c r="Q138" s="14">
        <v>124.27</v>
      </c>
      <c r="R138" s="14">
        <v>171.88</v>
      </c>
      <c r="S138" s="2">
        <f t="shared" si="20"/>
        <v>16.744625219813141</v>
      </c>
      <c r="T138" s="8">
        <f t="shared" si="23"/>
        <v>5.8533665835411475E-2</v>
      </c>
      <c r="U138" s="8">
        <f t="shared" si="24"/>
        <v>5.0659685276273562E-2</v>
      </c>
      <c r="V138" s="9">
        <f t="shared" si="25"/>
        <v>0.155428927680798</v>
      </c>
      <c r="W138">
        <f t="shared" si="26"/>
        <v>5.5658676569885204</v>
      </c>
      <c r="X138">
        <f t="shared" si="21"/>
        <v>5.5968066953797537</v>
      </c>
      <c r="Y138" s="8">
        <f t="shared" si="27"/>
        <v>0.12358010649066427</v>
      </c>
      <c r="Z138" s="8">
        <f t="shared" si="28"/>
        <v>5.8676301296024969E-2</v>
      </c>
      <c r="AA138" s="10">
        <f t="shared" si="29"/>
        <v>5.97528445189556E-2</v>
      </c>
    </row>
    <row r="139" spans="1:27" x14ac:dyDescent="0.3">
      <c r="A139" t="s">
        <v>40</v>
      </c>
      <c r="B139" s="11">
        <v>2021</v>
      </c>
      <c r="C139" s="12">
        <v>135.42099999999999</v>
      </c>
      <c r="D139" s="12">
        <v>1006.965</v>
      </c>
      <c r="E139" s="12">
        <v>43.204000000000001</v>
      </c>
      <c r="F139" s="12">
        <v>31.033000000000001</v>
      </c>
      <c r="G139" s="12">
        <v>1050.1690000000001</v>
      </c>
      <c r="H139" s="12">
        <v>276.178</v>
      </c>
      <c r="I139" s="12">
        <v>773.99099999999999</v>
      </c>
      <c r="J139" s="12">
        <v>277.37</v>
      </c>
      <c r="K139" s="5">
        <v>1.8347155481044399E-2</v>
      </c>
      <c r="L139" s="5">
        <v>2.5537285264813078E-2</v>
      </c>
      <c r="M139" s="8">
        <v>7.8100000000000003E-2</v>
      </c>
      <c r="N139" s="12">
        <v>23159.782592592601</v>
      </c>
      <c r="O139" s="3">
        <f t="shared" si="22"/>
        <v>30</v>
      </c>
      <c r="P139" s="13">
        <v>1992</v>
      </c>
      <c r="Q139" s="14">
        <v>124.27</v>
      </c>
      <c r="R139" s="14">
        <v>171.88</v>
      </c>
      <c r="S139" s="2">
        <f t="shared" si="20"/>
        <v>16.744625219813141</v>
      </c>
      <c r="T139" s="8">
        <f t="shared" si="23"/>
        <v>0.17496456677144823</v>
      </c>
      <c r="U139" s="8">
        <f t="shared" si="24"/>
        <v>0.12895162588116768</v>
      </c>
      <c r="V139" s="9">
        <f t="shared" si="25"/>
        <v>0.3568232705548256</v>
      </c>
      <c r="W139">
        <f t="shared" si="26"/>
        <v>3.6304034322385261</v>
      </c>
      <c r="X139">
        <f t="shared" si="21"/>
        <v>6.4150800096623737</v>
      </c>
      <c r="Y139" s="8">
        <f t="shared" si="27"/>
        <v>2.9550481874822052E-2</v>
      </c>
      <c r="Z139" s="8">
        <f t="shared" si="28"/>
        <v>5.8676301296024969E-2</v>
      </c>
      <c r="AA139" s="10">
        <f t="shared" si="29"/>
        <v>5.97528445189556E-2</v>
      </c>
    </row>
    <row r="140" spans="1:27" x14ac:dyDescent="0.3">
      <c r="A140" t="s">
        <v>41</v>
      </c>
      <c r="B140" s="11">
        <v>2021</v>
      </c>
      <c r="C140" s="12">
        <v>83.524000000000001</v>
      </c>
      <c r="D140" s="12">
        <v>1729.566</v>
      </c>
      <c r="E140" s="12">
        <v>692.01800000000003</v>
      </c>
      <c r="F140" s="12">
        <v>334.32600000000002</v>
      </c>
      <c r="G140" s="12">
        <v>2421.5839999999998</v>
      </c>
      <c r="H140" s="12">
        <v>1125.4280000000001</v>
      </c>
      <c r="I140" s="12">
        <v>1296.1559999999999</v>
      </c>
      <c r="J140" s="12">
        <v>896.55</v>
      </c>
      <c r="K140" s="5">
        <v>1.8347155481044399E-2</v>
      </c>
      <c r="L140" s="5">
        <v>2.5537285264813078E-2</v>
      </c>
      <c r="M140" s="8">
        <v>7.8100000000000003E-2</v>
      </c>
      <c r="N140" s="12">
        <v>23159.782592592601</v>
      </c>
      <c r="O140" s="3">
        <f t="shared" si="22"/>
        <v>45</v>
      </c>
      <c r="P140" s="13">
        <v>1977</v>
      </c>
      <c r="Q140" s="14">
        <v>124.27</v>
      </c>
      <c r="R140" s="14">
        <v>171.88</v>
      </c>
      <c r="S140" s="2">
        <f t="shared" si="20"/>
        <v>16.744625219813141</v>
      </c>
      <c r="T140" s="8">
        <f t="shared" si="23"/>
        <v>6.4439774224707522E-2</v>
      </c>
      <c r="U140" s="8">
        <f t="shared" si="24"/>
        <v>3.4491473349675256E-2</v>
      </c>
      <c r="V140" s="9">
        <f t="shared" si="25"/>
        <v>0.86828128712901853</v>
      </c>
      <c r="W140">
        <f t="shared" si="26"/>
        <v>1.9291350175673416</v>
      </c>
      <c r="X140">
        <f t="shared" si="21"/>
        <v>7.2505507775651283</v>
      </c>
      <c r="Y140" s="8">
        <f t="shared" si="27"/>
        <v>0.13806087255284147</v>
      </c>
      <c r="Z140" s="8">
        <f t="shared" si="28"/>
        <v>5.8676301296024969E-2</v>
      </c>
      <c r="AA140" s="10">
        <f t="shared" si="29"/>
        <v>5.97528445189556E-2</v>
      </c>
    </row>
    <row r="141" spans="1:27" x14ac:dyDescent="0.3">
      <c r="A141" t="s">
        <v>42</v>
      </c>
      <c r="B141" s="11">
        <v>2021</v>
      </c>
      <c r="C141" s="12">
        <v>42.015000000000001</v>
      </c>
      <c r="D141" s="12">
        <v>2803.43</v>
      </c>
      <c r="E141" s="12">
        <v>1349.8820000000001</v>
      </c>
      <c r="F141" s="12">
        <v>1280.5260000000001</v>
      </c>
      <c r="G141" s="12">
        <v>4153.3130000000001</v>
      </c>
      <c r="H141" s="12">
        <v>2896.011</v>
      </c>
      <c r="I141" s="12">
        <v>1257.3019999999999</v>
      </c>
      <c r="J141" s="12">
        <v>2663.65</v>
      </c>
      <c r="K141" s="5">
        <v>1.8347155481044399E-2</v>
      </c>
      <c r="L141" s="5">
        <v>2.5537285264813078E-2</v>
      </c>
      <c r="M141" s="8">
        <v>7.8100000000000003E-2</v>
      </c>
      <c r="N141" s="12">
        <v>23159.782592592601</v>
      </c>
      <c r="O141" s="3">
        <f t="shared" si="22"/>
        <v>46</v>
      </c>
      <c r="P141" s="13">
        <v>1976</v>
      </c>
      <c r="Q141" s="14">
        <v>124.27</v>
      </c>
      <c r="R141" s="14">
        <v>171.88</v>
      </c>
      <c r="S141" s="2">
        <f t="shared" si="20"/>
        <v>16.744625219813141</v>
      </c>
      <c r="T141" s="8">
        <f t="shared" si="23"/>
        <v>3.3416792465135667E-2</v>
      </c>
      <c r="U141" s="8">
        <f t="shared" si="24"/>
        <v>1.0116020632203737E-2</v>
      </c>
      <c r="V141" s="9">
        <f t="shared" si="25"/>
        <v>2.3033535300190411</v>
      </c>
      <c r="W141">
        <f t="shared" si="26"/>
        <v>1.0524768644529123</v>
      </c>
      <c r="X141">
        <f t="shared" si="21"/>
        <v>7.7900352350765161</v>
      </c>
      <c r="Y141" s="8">
        <f t="shared" si="27"/>
        <v>0.3083143504956164</v>
      </c>
      <c r="Z141" s="8">
        <f t="shared" si="28"/>
        <v>5.8676301296024969E-2</v>
      </c>
      <c r="AA141" s="10">
        <f t="shared" si="29"/>
        <v>5.97528445189556E-2</v>
      </c>
    </row>
    <row r="142" spans="1:27" x14ac:dyDescent="0.3">
      <c r="A142" t="s">
        <v>43</v>
      </c>
      <c r="B142" s="11">
        <v>2021</v>
      </c>
      <c r="C142" s="12">
        <v>51.832999999999998</v>
      </c>
      <c r="D142" s="12">
        <v>1196.2370000000001</v>
      </c>
      <c r="E142" s="12">
        <v>565.85500000000002</v>
      </c>
      <c r="F142" s="12">
        <v>159.45400000000001</v>
      </c>
      <c r="G142" s="12">
        <v>1762.0920000000001</v>
      </c>
      <c r="H142" s="12">
        <v>950.26300000000003</v>
      </c>
      <c r="I142" s="12">
        <v>811.82799999999997</v>
      </c>
      <c r="J142" s="12">
        <v>883.31</v>
      </c>
      <c r="K142" s="5">
        <v>1.8347155481044399E-2</v>
      </c>
      <c r="L142" s="5">
        <v>2.5537285264813078E-2</v>
      </c>
      <c r="M142" s="8">
        <v>7.8100000000000003E-2</v>
      </c>
      <c r="N142" s="12">
        <v>23159.782592592601</v>
      </c>
      <c r="O142" s="3">
        <f t="shared" si="22"/>
        <v>13</v>
      </c>
      <c r="P142" s="13">
        <v>2009</v>
      </c>
      <c r="Q142" s="14">
        <v>124.27</v>
      </c>
      <c r="R142" s="14">
        <v>171.88</v>
      </c>
      <c r="S142" s="2">
        <f t="shared" si="20"/>
        <v>16.744625219813141</v>
      </c>
      <c r="T142" s="8">
        <f t="shared" si="23"/>
        <v>6.3847268140542091E-2</v>
      </c>
      <c r="U142" s="8">
        <f t="shared" si="24"/>
        <v>2.9415603725571646E-2</v>
      </c>
      <c r="V142" s="9">
        <f t="shared" si="25"/>
        <v>1.1705225737471485</v>
      </c>
      <c r="W142">
        <f t="shared" si="26"/>
        <v>1.3542663391108447</v>
      </c>
      <c r="X142">
        <f t="shared" si="21"/>
        <v>6.9326306456082207</v>
      </c>
      <c r="Y142" s="8">
        <f t="shared" si="27"/>
        <v>9.0491302383757494E-2</v>
      </c>
      <c r="Z142" s="8">
        <f t="shared" si="28"/>
        <v>5.8676301296024969E-2</v>
      </c>
      <c r="AA142" s="10">
        <f t="shared" si="29"/>
        <v>5.97528445189556E-2</v>
      </c>
    </row>
    <row r="143" spans="1:27" x14ac:dyDescent="0.3">
      <c r="A143" t="s">
        <v>44</v>
      </c>
      <c r="B143" s="11">
        <v>2021</v>
      </c>
      <c r="C143" s="12">
        <v>34.659999999999997</v>
      </c>
      <c r="D143" s="12">
        <v>1151.8800000000001</v>
      </c>
      <c r="E143" s="12">
        <v>474.36700000000002</v>
      </c>
      <c r="F143" s="12">
        <v>255.816</v>
      </c>
      <c r="G143" s="12">
        <v>1626.2470000000001</v>
      </c>
      <c r="H143" s="12">
        <v>942.68799999999999</v>
      </c>
      <c r="I143" s="12">
        <v>683.56</v>
      </c>
      <c r="J143" s="12">
        <v>868.5</v>
      </c>
      <c r="K143" s="5">
        <v>1.8347155481044399E-2</v>
      </c>
      <c r="L143" s="5">
        <v>2.5537285264813078E-2</v>
      </c>
      <c r="M143" s="8">
        <v>7.8100000000000003E-2</v>
      </c>
      <c r="N143" s="12">
        <v>23159.782592592601</v>
      </c>
      <c r="O143" s="3">
        <f t="shared" si="22"/>
        <v>14</v>
      </c>
      <c r="P143" s="13">
        <v>2008</v>
      </c>
      <c r="Q143" s="14">
        <v>124.27</v>
      </c>
      <c r="R143" s="14">
        <v>171.88</v>
      </c>
      <c r="S143" s="2">
        <f t="shared" si="20"/>
        <v>16.744625219813141</v>
      </c>
      <c r="T143" s="8">
        <f t="shared" si="23"/>
        <v>5.0705131956229152E-2</v>
      </c>
      <c r="U143" s="8">
        <f t="shared" si="24"/>
        <v>2.1312875596388493E-2</v>
      </c>
      <c r="V143" s="9">
        <f t="shared" si="25"/>
        <v>1.3790859617297677</v>
      </c>
      <c r="W143">
        <f t="shared" si="26"/>
        <v>1.3262867012089812</v>
      </c>
      <c r="X143">
        <f t="shared" si="21"/>
        <v>6.8524038121714916</v>
      </c>
      <c r="Y143" s="8">
        <f t="shared" si="27"/>
        <v>0.15730451770241544</v>
      </c>
      <c r="Z143" s="8">
        <f t="shared" si="28"/>
        <v>5.8676301296024969E-2</v>
      </c>
      <c r="AA143" s="10">
        <f t="shared" si="29"/>
        <v>5.97528445189556E-2</v>
      </c>
    </row>
    <row r="144" spans="1:27" x14ac:dyDescent="0.3">
      <c r="A144" t="s">
        <v>45</v>
      </c>
      <c r="B144" s="11">
        <v>2021</v>
      </c>
      <c r="C144" s="12">
        <v>829.55799999999999</v>
      </c>
      <c r="D144" s="12">
        <v>5637.4669999999996</v>
      </c>
      <c r="E144" s="12">
        <v>5225.0870000000004</v>
      </c>
      <c r="F144" s="12">
        <v>4581.9809999999998</v>
      </c>
      <c r="G144" s="12">
        <v>10862.554</v>
      </c>
      <c r="H144" s="12">
        <v>6176.6310000000003</v>
      </c>
      <c r="I144" s="12">
        <v>4685.9229999999998</v>
      </c>
      <c r="J144" s="12">
        <v>5171.7</v>
      </c>
      <c r="K144" s="5">
        <v>1.8347155481044399E-2</v>
      </c>
      <c r="L144" s="5">
        <v>2.5537285264813078E-2</v>
      </c>
      <c r="M144" s="8">
        <v>7.8100000000000003E-2</v>
      </c>
      <c r="N144" s="12">
        <v>23159.782592592601</v>
      </c>
      <c r="O144" s="3">
        <f t="shared" si="22"/>
        <v>26</v>
      </c>
      <c r="P144" s="13">
        <v>1996</v>
      </c>
      <c r="Q144" s="14">
        <v>124.27</v>
      </c>
      <c r="R144" s="14">
        <v>171.88</v>
      </c>
      <c r="S144" s="2">
        <f t="shared" si="20"/>
        <v>16.744625219813141</v>
      </c>
      <c r="T144" s="8">
        <f t="shared" si="23"/>
        <v>0.17703193159597375</v>
      </c>
      <c r="U144" s="8">
        <f t="shared" si="24"/>
        <v>7.6368596188336552E-2</v>
      </c>
      <c r="V144" s="9">
        <f t="shared" si="25"/>
        <v>1.3181247323099421</v>
      </c>
      <c r="W144">
        <f t="shared" si="26"/>
        <v>1.090060715045343</v>
      </c>
      <c r="X144">
        <f t="shared" si="21"/>
        <v>8.751450367873888</v>
      </c>
      <c r="Y144" s="8">
        <f t="shared" si="27"/>
        <v>0.42181433574461402</v>
      </c>
      <c r="Z144" s="8">
        <f t="shared" si="28"/>
        <v>5.8676301296024969E-2</v>
      </c>
      <c r="AA144" s="10">
        <f t="shared" si="29"/>
        <v>5.97528445189556E-2</v>
      </c>
    </row>
    <row r="145" spans="1:27" x14ac:dyDescent="0.3">
      <c r="A145" t="s">
        <v>46</v>
      </c>
      <c r="B145" s="11">
        <v>2021</v>
      </c>
      <c r="C145" s="12">
        <v>22.759</v>
      </c>
      <c r="D145" s="12">
        <v>914.89099999999996</v>
      </c>
      <c r="E145" s="12">
        <v>495.262</v>
      </c>
      <c r="F145" s="12">
        <v>358.36599999999999</v>
      </c>
      <c r="G145" s="12">
        <v>1410.153</v>
      </c>
      <c r="H145" s="12">
        <v>465.72</v>
      </c>
      <c r="I145" s="12">
        <v>944.43299999999999</v>
      </c>
      <c r="J145" s="12">
        <v>413.89</v>
      </c>
      <c r="K145" s="5">
        <v>1.8347155481044399E-2</v>
      </c>
      <c r="L145" s="5">
        <v>2.5537285264813078E-2</v>
      </c>
      <c r="M145" s="8">
        <v>7.8100000000000003E-2</v>
      </c>
      <c r="N145" s="12">
        <v>23159.782592592601</v>
      </c>
      <c r="O145" s="3">
        <f t="shared" si="22"/>
        <v>49</v>
      </c>
      <c r="P145" s="13">
        <v>1973</v>
      </c>
      <c r="Q145" s="14">
        <v>124.27</v>
      </c>
      <c r="R145" s="14">
        <v>171.88</v>
      </c>
      <c r="S145" s="2">
        <f t="shared" si="20"/>
        <v>16.744625219813141</v>
      </c>
      <c r="T145" s="8">
        <f t="shared" si="23"/>
        <v>2.409805671762846E-2</v>
      </c>
      <c r="U145" s="8">
        <f t="shared" si="24"/>
        <v>1.6139383456972401E-2</v>
      </c>
      <c r="V145" s="9">
        <f t="shared" si="25"/>
        <v>0.49312126958714914</v>
      </c>
      <c r="W145">
        <f t="shared" si="26"/>
        <v>2.2104689651839862</v>
      </c>
      <c r="X145">
        <f t="shared" si="21"/>
        <v>6.7098271152049556</v>
      </c>
      <c r="Y145" s="8">
        <f t="shared" si="27"/>
        <v>0.25413270758563078</v>
      </c>
      <c r="Z145" s="8">
        <f t="shared" si="28"/>
        <v>5.8676301296024969E-2</v>
      </c>
      <c r="AA145" s="10">
        <f t="shared" si="29"/>
        <v>5.97528445189556E-2</v>
      </c>
    </row>
    <row r="146" spans="1:27" x14ac:dyDescent="0.3">
      <c r="A146" t="s">
        <v>47</v>
      </c>
      <c r="B146" s="11">
        <v>2021</v>
      </c>
      <c r="C146" s="12">
        <v>290.82799999999997</v>
      </c>
      <c r="D146" s="12">
        <v>2114.1950000000002</v>
      </c>
      <c r="E146" s="12">
        <v>1021.748</v>
      </c>
      <c r="F146" s="12">
        <v>975.46699999999998</v>
      </c>
      <c r="G146" s="12">
        <v>3135.9430000000002</v>
      </c>
      <c r="H146" s="12">
        <v>1362.0129999999999</v>
      </c>
      <c r="I146" s="12">
        <v>1773.93</v>
      </c>
      <c r="J146" s="12">
        <v>1359.99</v>
      </c>
      <c r="K146" s="5">
        <v>1.8347155481044399E-2</v>
      </c>
      <c r="L146" s="5">
        <v>2.5537285264813078E-2</v>
      </c>
      <c r="M146" s="8">
        <v>7.8100000000000003E-2</v>
      </c>
      <c r="N146" s="12">
        <v>23159.782592592601</v>
      </c>
      <c r="O146" s="3">
        <f t="shared" si="22"/>
        <v>47</v>
      </c>
      <c r="P146" s="13">
        <v>1975</v>
      </c>
      <c r="Q146" s="14">
        <v>124.27</v>
      </c>
      <c r="R146" s="14">
        <v>171.88</v>
      </c>
      <c r="S146" s="2">
        <f t="shared" si="20"/>
        <v>16.744625219813141</v>
      </c>
      <c r="T146" s="8">
        <f t="shared" si="23"/>
        <v>0.16394558973578438</v>
      </c>
      <c r="U146" s="8">
        <f t="shared" si="24"/>
        <v>9.2740206056041177E-2</v>
      </c>
      <c r="V146" s="9">
        <f t="shared" si="25"/>
        <v>0.76779410687005678</v>
      </c>
      <c r="W146">
        <f t="shared" si="26"/>
        <v>1.5545665776954243</v>
      </c>
      <c r="X146">
        <f t="shared" si="21"/>
        <v>7.5090588323660015</v>
      </c>
      <c r="Y146" s="8">
        <f t="shared" si="27"/>
        <v>0.31106018189743878</v>
      </c>
      <c r="Z146" s="8">
        <f t="shared" si="28"/>
        <v>5.8676301296024969E-2</v>
      </c>
      <c r="AA146" s="10">
        <f t="shared" si="29"/>
        <v>5.97528445189556E-2</v>
      </c>
    </row>
    <row r="147" spans="1:27" x14ac:dyDescent="0.3">
      <c r="A147" t="s">
        <v>48</v>
      </c>
      <c r="B147" s="11">
        <v>2021</v>
      </c>
      <c r="C147" s="12">
        <v>59.720999999999997</v>
      </c>
      <c r="D147" s="12">
        <v>965.61099999999999</v>
      </c>
      <c r="E147" s="12">
        <v>303.13200000000001</v>
      </c>
      <c r="F147" s="12">
        <v>189.55199999999999</v>
      </c>
      <c r="G147" s="12">
        <v>1268.7429999999999</v>
      </c>
      <c r="H147" s="12">
        <v>304.70699999999999</v>
      </c>
      <c r="I147" s="12">
        <v>964.03599999999994</v>
      </c>
      <c r="J147" s="12">
        <v>271.92</v>
      </c>
      <c r="K147" s="5">
        <v>1.8347155481044399E-2</v>
      </c>
      <c r="L147" s="5">
        <v>2.5537285264813078E-2</v>
      </c>
      <c r="M147" s="8">
        <v>7.8100000000000003E-2</v>
      </c>
      <c r="N147" s="12">
        <v>23159.782592592601</v>
      </c>
      <c r="O147" s="3">
        <f t="shared" si="22"/>
        <v>29</v>
      </c>
      <c r="P147" s="13">
        <v>1993</v>
      </c>
      <c r="Q147" s="14">
        <v>124.27</v>
      </c>
      <c r="R147" s="14">
        <v>171.88</v>
      </c>
      <c r="S147" s="2">
        <f t="shared" si="20"/>
        <v>16.744625219813141</v>
      </c>
      <c r="T147" s="8">
        <f t="shared" si="23"/>
        <v>6.1948931367708258E-2</v>
      </c>
      <c r="U147" s="8">
        <f t="shared" si="24"/>
        <v>4.7070998618317497E-2</v>
      </c>
      <c r="V147" s="9">
        <f t="shared" si="25"/>
        <v>0.31607429598064801</v>
      </c>
      <c r="W147">
        <f t="shared" si="26"/>
        <v>3.5510848779052662</v>
      </c>
      <c r="X147">
        <f t="shared" si="21"/>
        <v>6.6041555526147953</v>
      </c>
      <c r="Y147" s="8">
        <f t="shared" si="27"/>
        <v>0.1494014154166762</v>
      </c>
      <c r="Z147" s="8">
        <f t="shared" si="28"/>
        <v>5.8676301296024969E-2</v>
      </c>
      <c r="AA147" s="10">
        <f t="shared" si="29"/>
        <v>5.97528445189556E-2</v>
      </c>
    </row>
    <row r="148" spans="1:27" x14ac:dyDescent="0.3">
      <c r="A148" t="s">
        <v>49</v>
      </c>
      <c r="B148" s="11">
        <v>2021</v>
      </c>
      <c r="C148" s="12">
        <v>287.089</v>
      </c>
      <c r="D148" s="12">
        <v>2150.1219999999998</v>
      </c>
      <c r="E148" s="12">
        <v>549.66099999999994</v>
      </c>
      <c r="F148" s="12">
        <v>262.96899999999999</v>
      </c>
      <c r="G148" s="12">
        <v>2699.7829999999999</v>
      </c>
      <c r="H148" s="12">
        <v>723.02800000000002</v>
      </c>
      <c r="I148" s="12">
        <v>1976.7550000000001</v>
      </c>
      <c r="J148" s="12">
        <v>713.1</v>
      </c>
      <c r="K148" s="5">
        <v>1.8347155481044399E-2</v>
      </c>
      <c r="L148" s="5">
        <v>2.5537285264813078E-2</v>
      </c>
      <c r="M148" s="8">
        <v>7.8100000000000003E-2</v>
      </c>
      <c r="N148" s="12">
        <v>23159.782592592601</v>
      </c>
      <c r="O148" s="3">
        <f t="shared" si="22"/>
        <v>26</v>
      </c>
      <c r="P148" s="13">
        <v>1996</v>
      </c>
      <c r="Q148" s="14">
        <v>124.27</v>
      </c>
      <c r="R148" s="14">
        <v>171.88</v>
      </c>
      <c r="S148" s="2">
        <f t="shared" si="20"/>
        <v>16.744625219813141</v>
      </c>
      <c r="T148" s="8">
        <f t="shared" si="23"/>
        <v>0.14523246431651873</v>
      </c>
      <c r="U148" s="8">
        <f t="shared" si="24"/>
        <v>0.10633780566808518</v>
      </c>
      <c r="V148" s="9">
        <f t="shared" si="25"/>
        <v>0.36576510493207298</v>
      </c>
      <c r="W148">
        <f t="shared" si="26"/>
        <v>3.0151759921469639</v>
      </c>
      <c r="X148">
        <f t="shared" si="21"/>
        <v>7.359300305473476</v>
      </c>
      <c r="Y148" s="8">
        <f t="shared" si="27"/>
        <v>9.7403754301734619E-2</v>
      </c>
      <c r="Z148" s="8">
        <f t="shared" si="28"/>
        <v>5.8676301296024969E-2</v>
      </c>
      <c r="AA148" s="10">
        <f t="shared" si="29"/>
        <v>5.97528445189556E-2</v>
      </c>
    </row>
    <row r="149" spans="1:27" x14ac:dyDescent="0.3">
      <c r="A149" t="s">
        <v>50</v>
      </c>
      <c r="B149" s="11">
        <v>2021</v>
      </c>
      <c r="C149" s="12">
        <v>60.786000000000001</v>
      </c>
      <c r="D149" s="12">
        <v>228.511</v>
      </c>
      <c r="E149" s="12">
        <v>152.45400000000001</v>
      </c>
      <c r="F149" s="12">
        <v>96.811999999999998</v>
      </c>
      <c r="G149" s="12">
        <v>380.96499999999997</v>
      </c>
      <c r="H149" s="12">
        <v>115.572</v>
      </c>
      <c r="I149" s="12">
        <v>265.39299999999997</v>
      </c>
      <c r="J149" s="12">
        <v>111.27</v>
      </c>
      <c r="K149" s="5">
        <v>1.8347155481044399E-2</v>
      </c>
      <c r="L149" s="5">
        <v>2.5537285264813078E-2</v>
      </c>
      <c r="M149" s="8">
        <v>7.8100000000000003E-2</v>
      </c>
      <c r="N149" s="12">
        <v>23159.782592592601</v>
      </c>
      <c r="O149" s="3">
        <f t="shared" si="22"/>
        <v>31</v>
      </c>
      <c r="P149" s="13">
        <v>1991</v>
      </c>
      <c r="Q149" s="14">
        <v>124.27</v>
      </c>
      <c r="R149" s="14">
        <v>171.88</v>
      </c>
      <c r="S149" s="2">
        <f t="shared" si="20"/>
        <v>16.744625219813141</v>
      </c>
      <c r="T149" s="8">
        <f t="shared" si="23"/>
        <v>0.2290414592698376</v>
      </c>
      <c r="U149" s="8">
        <f t="shared" si="24"/>
        <v>0.15955796464242122</v>
      </c>
      <c r="V149" s="9">
        <f t="shared" si="25"/>
        <v>0.43547493716865182</v>
      </c>
      <c r="W149">
        <f t="shared" si="26"/>
        <v>2.0536622629639614</v>
      </c>
      <c r="X149">
        <f t="shared" si="21"/>
        <v>5.4010811344712266</v>
      </c>
      <c r="Y149" s="8">
        <f t="shared" si="27"/>
        <v>0.25412308217290303</v>
      </c>
      <c r="Z149" s="8">
        <f t="shared" si="28"/>
        <v>5.8676301296024969E-2</v>
      </c>
      <c r="AA149" s="10">
        <f t="shared" si="29"/>
        <v>5.97528445189556E-2</v>
      </c>
    </row>
    <row r="150" spans="1:27" x14ac:dyDescent="0.3">
      <c r="A150" t="s">
        <v>51</v>
      </c>
      <c r="B150" s="11">
        <v>2021</v>
      </c>
      <c r="C150" s="12">
        <v>330.63299999999998</v>
      </c>
      <c r="D150" s="12">
        <v>3153.04</v>
      </c>
      <c r="E150" s="12">
        <v>612.76</v>
      </c>
      <c r="F150" s="12">
        <v>259.185</v>
      </c>
      <c r="G150" s="12">
        <v>3765.8009999999999</v>
      </c>
      <c r="H150" s="12">
        <v>2155.3609999999999</v>
      </c>
      <c r="I150" s="12">
        <v>1610.44</v>
      </c>
      <c r="J150" s="12">
        <v>2084.75</v>
      </c>
      <c r="K150" s="5">
        <v>1.8347155481044399E-2</v>
      </c>
      <c r="L150" s="5">
        <v>2.5537285264813078E-2</v>
      </c>
      <c r="M150" s="8">
        <v>7.8100000000000003E-2</v>
      </c>
      <c r="N150" s="12">
        <v>23159.782592592601</v>
      </c>
      <c r="O150" s="3">
        <f t="shared" si="22"/>
        <v>40</v>
      </c>
      <c r="P150" s="13">
        <v>1982</v>
      </c>
      <c r="Q150" s="14">
        <v>124.27</v>
      </c>
      <c r="R150" s="14">
        <v>171.88</v>
      </c>
      <c r="S150" s="2">
        <f t="shared" si="20"/>
        <v>16.744625219813141</v>
      </c>
      <c r="T150" s="8">
        <f t="shared" si="23"/>
        <v>0.20530600332828294</v>
      </c>
      <c r="U150" s="8">
        <f t="shared" si="24"/>
        <v>8.7798850762427438E-2</v>
      </c>
      <c r="V150" s="9">
        <f t="shared" si="25"/>
        <v>1.3383677752663867</v>
      </c>
      <c r="W150">
        <f t="shared" si="26"/>
        <v>1.5124307470919773</v>
      </c>
      <c r="X150">
        <f t="shared" si="21"/>
        <v>7.692089493691415</v>
      </c>
      <c r="Y150" s="8">
        <f t="shared" si="27"/>
        <v>6.8825994788359768E-2</v>
      </c>
      <c r="Z150" s="8">
        <f t="shared" si="28"/>
        <v>5.8676301296024969E-2</v>
      </c>
      <c r="AA150" s="10">
        <f t="shared" si="29"/>
        <v>5.97528445189556E-2</v>
      </c>
    </row>
    <row r="151" spans="1:27" x14ac:dyDescent="0.3">
      <c r="A151" t="s">
        <v>52</v>
      </c>
      <c r="B151" s="11">
        <v>2021</v>
      </c>
      <c r="C151" s="12">
        <v>43.591000000000001</v>
      </c>
      <c r="D151" s="12">
        <v>618.95299999999997</v>
      </c>
      <c r="E151" s="12">
        <v>208.429</v>
      </c>
      <c r="F151" s="12">
        <v>150.86799999999999</v>
      </c>
      <c r="G151" s="12">
        <v>827.38199999999995</v>
      </c>
      <c r="H151" s="12">
        <v>124.745</v>
      </c>
      <c r="I151" s="12">
        <v>702.63699999999994</v>
      </c>
      <c r="J151" s="12">
        <v>107.62</v>
      </c>
      <c r="K151" s="5">
        <v>1.8347155481044399E-2</v>
      </c>
      <c r="L151" s="5">
        <v>2.5537285264813078E-2</v>
      </c>
      <c r="M151" s="8">
        <v>7.8100000000000003E-2</v>
      </c>
      <c r="N151" s="12">
        <v>23159.782592592601</v>
      </c>
      <c r="O151" s="3">
        <f t="shared" si="22"/>
        <v>46</v>
      </c>
      <c r="P151" s="13">
        <v>1976</v>
      </c>
      <c r="Q151" s="14">
        <v>124.27</v>
      </c>
      <c r="R151" s="14">
        <v>171.88</v>
      </c>
      <c r="S151" s="2">
        <f t="shared" si="20"/>
        <v>16.744625219813141</v>
      </c>
      <c r="T151" s="8">
        <f t="shared" si="23"/>
        <v>6.2039146814073277E-2</v>
      </c>
      <c r="U151" s="8">
        <f t="shared" si="24"/>
        <v>5.2685458470210861E-2</v>
      </c>
      <c r="V151" s="9">
        <f t="shared" si="25"/>
        <v>0.1775383306031422</v>
      </c>
      <c r="W151">
        <f t="shared" si="26"/>
        <v>5.7512822895372606</v>
      </c>
      <c r="X151">
        <f t="shared" si="21"/>
        <v>6.1766401259771158</v>
      </c>
      <c r="Y151" s="8">
        <f t="shared" si="27"/>
        <v>0.1823438266725648</v>
      </c>
      <c r="Z151" s="8">
        <f t="shared" si="28"/>
        <v>5.8676301296024969E-2</v>
      </c>
      <c r="AA151" s="10">
        <f t="shared" si="29"/>
        <v>5.97528445189556E-2</v>
      </c>
    </row>
    <row r="152" spans="1:27" x14ac:dyDescent="0.3">
      <c r="A152" t="s">
        <v>53</v>
      </c>
      <c r="B152" s="11">
        <v>2021</v>
      </c>
      <c r="C152" s="12">
        <v>127.60599999999999</v>
      </c>
      <c r="D152" s="12">
        <v>7051.8540000000003</v>
      </c>
      <c r="E152" s="12">
        <v>11387.831</v>
      </c>
      <c r="F152" s="12">
        <v>2809.67</v>
      </c>
      <c r="G152" s="12">
        <v>18439.685000000001</v>
      </c>
      <c r="H152" s="12">
        <v>13766.451999999999</v>
      </c>
      <c r="I152" s="12">
        <v>4673.2330000000002</v>
      </c>
      <c r="J152" s="12">
        <v>6754.51</v>
      </c>
      <c r="K152" s="5">
        <v>1.8347155481044399E-2</v>
      </c>
      <c r="L152" s="5">
        <v>2.5537285264813078E-2</v>
      </c>
      <c r="M152" s="8">
        <v>7.8100000000000003E-2</v>
      </c>
      <c r="N152" s="12">
        <v>23159.782592592601</v>
      </c>
      <c r="O152" s="3">
        <f t="shared" si="22"/>
        <v>29</v>
      </c>
      <c r="P152" s="13">
        <v>1993</v>
      </c>
      <c r="Q152" s="14">
        <v>124.27</v>
      </c>
      <c r="R152" s="14">
        <v>171.88</v>
      </c>
      <c r="S152" s="2">
        <f t="shared" si="20"/>
        <v>16.744625219813141</v>
      </c>
      <c r="T152" s="8">
        <f t="shared" si="23"/>
        <v>2.7305721756223152E-2</v>
      </c>
      <c r="U152" s="8">
        <f t="shared" si="24"/>
        <v>6.9201832894650846E-3</v>
      </c>
      <c r="V152" s="9">
        <f t="shared" si="25"/>
        <v>2.9458090362710352</v>
      </c>
      <c r="W152">
        <f t="shared" si="26"/>
        <v>1.0440215500458212</v>
      </c>
      <c r="X152">
        <f t="shared" si="21"/>
        <v>9.2806340416164748</v>
      </c>
      <c r="Y152" s="8">
        <f t="shared" si="27"/>
        <v>0.15237082412199557</v>
      </c>
      <c r="Z152" s="8">
        <f t="shared" si="28"/>
        <v>5.8676301296024969E-2</v>
      </c>
      <c r="AA152" s="10">
        <f t="shared" si="29"/>
        <v>5.97528445189556E-2</v>
      </c>
    </row>
    <row r="153" spans="1:27" x14ac:dyDescent="0.3">
      <c r="A153" t="s">
        <v>54</v>
      </c>
      <c r="B153" s="11">
        <v>2021</v>
      </c>
      <c r="C153" s="12">
        <v>159.84800000000001</v>
      </c>
      <c r="D153" s="12">
        <v>935.77800000000002</v>
      </c>
      <c r="E153" s="12">
        <v>341.43900000000002</v>
      </c>
      <c r="F153" s="12">
        <v>261.62900000000002</v>
      </c>
      <c r="G153" s="12">
        <v>1277.2170000000001</v>
      </c>
      <c r="H153" s="12">
        <v>567.21100000000001</v>
      </c>
      <c r="I153" s="12">
        <v>710.00599999999997</v>
      </c>
      <c r="J153" s="12">
        <v>563.21</v>
      </c>
      <c r="K153" s="5">
        <v>1.8347155481044399E-2</v>
      </c>
      <c r="L153" s="5">
        <v>2.5537285264813078E-2</v>
      </c>
      <c r="M153" s="8">
        <v>7.8100000000000003E-2</v>
      </c>
      <c r="N153" s="12">
        <v>23159.782592592601</v>
      </c>
      <c r="O153" s="3">
        <f t="shared" si="22"/>
        <v>30</v>
      </c>
      <c r="P153" s="13">
        <v>1992</v>
      </c>
      <c r="Q153" s="14">
        <v>124.27</v>
      </c>
      <c r="R153" s="14">
        <v>171.88</v>
      </c>
      <c r="S153" s="2">
        <f t="shared" si="20"/>
        <v>16.744625219813141</v>
      </c>
      <c r="T153" s="8">
        <f t="shared" si="23"/>
        <v>0.22513612561020613</v>
      </c>
      <c r="U153" s="8">
        <f t="shared" si="24"/>
        <v>0.12515336078364131</v>
      </c>
      <c r="V153" s="9">
        <f t="shared" si="25"/>
        <v>0.79888198127903154</v>
      </c>
      <c r="W153">
        <f t="shared" si="26"/>
        <v>1.6615081408355674</v>
      </c>
      <c r="X153">
        <f t="shared" si="21"/>
        <v>6.6108123981997684</v>
      </c>
      <c r="Y153" s="8">
        <f t="shared" si="27"/>
        <v>0.20484302980621147</v>
      </c>
      <c r="Z153" s="8">
        <f t="shared" si="28"/>
        <v>5.8676301296024969E-2</v>
      </c>
      <c r="AA153" s="10">
        <f t="shared" si="29"/>
        <v>5.97528445189556E-2</v>
      </c>
    </row>
    <row r="154" spans="1:27" x14ac:dyDescent="0.3">
      <c r="A154" t="s">
        <v>55</v>
      </c>
      <c r="B154" s="11">
        <v>2021</v>
      </c>
      <c r="C154" s="12">
        <v>236.4</v>
      </c>
      <c r="D154" s="12">
        <v>802.19799999999998</v>
      </c>
      <c r="E154" s="12">
        <v>3463.0590000000002</v>
      </c>
      <c r="F154" s="12">
        <v>25.483000000000001</v>
      </c>
      <c r="G154" s="12">
        <v>4265.2569999999996</v>
      </c>
      <c r="H154" s="12">
        <v>323.214</v>
      </c>
      <c r="I154" s="12">
        <v>3942.0430000000001</v>
      </c>
      <c r="J154" s="12">
        <v>290.70999999999998</v>
      </c>
      <c r="K154" s="5">
        <v>1.8347155481044399E-2</v>
      </c>
      <c r="L154" s="5">
        <v>2.5537285264813078E-2</v>
      </c>
      <c r="M154" s="8">
        <v>7.8100000000000003E-2</v>
      </c>
      <c r="N154" s="12">
        <v>23159.782592592601</v>
      </c>
      <c r="O154" s="3">
        <f t="shared" si="22"/>
        <v>14</v>
      </c>
      <c r="P154" s="13">
        <v>2008</v>
      </c>
      <c r="Q154" s="14">
        <v>124.27</v>
      </c>
      <c r="R154" s="14">
        <v>171.88</v>
      </c>
      <c r="S154" s="2">
        <f t="shared" si="20"/>
        <v>16.744625219813141</v>
      </c>
      <c r="T154" s="8">
        <f t="shared" si="23"/>
        <v>5.9968904448784555E-2</v>
      </c>
      <c r="U154" s="8">
        <f t="shared" si="24"/>
        <v>5.5424561755598789E-2</v>
      </c>
      <c r="V154" s="9">
        <f t="shared" si="25"/>
        <v>8.1991495272882617E-2</v>
      </c>
      <c r="W154">
        <f t="shared" si="26"/>
        <v>2.7594441195693302</v>
      </c>
      <c r="X154">
        <f t="shared" si="21"/>
        <v>7.8166313431048886</v>
      </c>
      <c r="Y154" s="8">
        <f t="shared" si="27"/>
        <v>5.9745520609895261E-3</v>
      </c>
      <c r="Z154" s="8">
        <f t="shared" si="28"/>
        <v>5.8676301296024969E-2</v>
      </c>
      <c r="AA154" s="10">
        <f t="shared" si="29"/>
        <v>5.97528445189556E-2</v>
      </c>
    </row>
    <row r="155" spans="1:27" hidden="1" x14ac:dyDescent="0.3">
      <c r="A155" t="s">
        <v>56</v>
      </c>
      <c r="B155" s="11">
        <v>2021</v>
      </c>
      <c r="C155" s="12">
        <v>-1119.43</v>
      </c>
      <c r="D155" s="12">
        <v>2848.6210000000001</v>
      </c>
      <c r="E155" s="12">
        <v>11168.424999999999</v>
      </c>
      <c r="F155" s="12">
        <v>5882.7790000000005</v>
      </c>
      <c r="G155" s="12">
        <v>14017.046</v>
      </c>
      <c r="H155" s="12">
        <v>8020.0230000000001</v>
      </c>
      <c r="I155" s="12">
        <v>5997.0230000000001</v>
      </c>
      <c r="J155" s="12">
        <v>4828.42</v>
      </c>
      <c r="K155" s="5">
        <v>1.8347155481044399E-2</v>
      </c>
      <c r="L155" s="5">
        <v>2.5537285264813078E-2</v>
      </c>
      <c r="M155" s="8">
        <v>7.8100000000000003E-2</v>
      </c>
      <c r="N155" s="12">
        <v>23159.782592592601</v>
      </c>
      <c r="O155" s="3">
        <f t="shared" si="22"/>
        <v>12</v>
      </c>
      <c r="P155" s="13">
        <v>2010</v>
      </c>
      <c r="Q155" s="14">
        <v>124.27</v>
      </c>
      <c r="R155" s="14">
        <v>171.88</v>
      </c>
      <c r="S155" s="2">
        <f t="shared" si="20"/>
        <v>16.744625219813141</v>
      </c>
      <c r="T155" s="8">
        <f t="shared" si="23"/>
        <v>-0.18666428326187845</v>
      </c>
      <c r="U155" s="8">
        <f t="shared" si="24"/>
        <v>-7.9862047966454561E-2</v>
      </c>
      <c r="V155" s="9">
        <f t="shared" si="25"/>
        <v>1.3373340405731311</v>
      </c>
      <c r="W155">
        <f t="shared" si="26"/>
        <v>0.5899695966796592</v>
      </c>
      <c r="X155">
        <f t="shared" si="21"/>
        <v>9.0064030664682981</v>
      </c>
      <c r="Y155" s="8">
        <f t="shared" si="27"/>
        <v>0.41968750049047426</v>
      </c>
      <c r="Z155" s="8">
        <f t="shared" si="28"/>
        <v>5.8676301296024969E-2</v>
      </c>
      <c r="AA155" s="10">
        <f t="shared" si="29"/>
        <v>5.97528445189556E-2</v>
      </c>
    </row>
    <row r="156" spans="1:27" x14ac:dyDescent="0.3">
      <c r="A156" t="s">
        <v>57</v>
      </c>
      <c r="B156" s="11">
        <v>2021</v>
      </c>
      <c r="C156" s="12">
        <v>16.225000000000001</v>
      </c>
      <c r="D156" s="12">
        <v>166.565</v>
      </c>
      <c r="E156" s="12">
        <v>160.506</v>
      </c>
      <c r="F156" s="12">
        <v>12.9</v>
      </c>
      <c r="G156" s="12">
        <v>327.07100000000003</v>
      </c>
      <c r="H156" s="12">
        <v>65.356999999999999</v>
      </c>
      <c r="I156" s="12">
        <v>261.714</v>
      </c>
      <c r="J156" s="12">
        <v>65.36</v>
      </c>
      <c r="K156" s="5">
        <v>1.8347155481044399E-2</v>
      </c>
      <c r="L156" s="5">
        <v>2.5537285264813078E-2</v>
      </c>
      <c r="M156" s="8">
        <v>7.8100000000000003E-2</v>
      </c>
      <c r="N156" s="12">
        <v>23159.782592592601</v>
      </c>
      <c r="O156" s="3">
        <f t="shared" si="22"/>
        <v>7</v>
      </c>
      <c r="P156" s="13">
        <v>2015</v>
      </c>
      <c r="Q156" s="14">
        <v>124.27</v>
      </c>
      <c r="R156" s="14">
        <v>171.88</v>
      </c>
      <c r="S156" s="2">
        <f t="shared" si="20"/>
        <v>16.744625219813141</v>
      </c>
      <c r="T156" s="8">
        <f t="shared" si="23"/>
        <v>6.1995155016544783E-2</v>
      </c>
      <c r="U156" s="8">
        <f t="shared" si="24"/>
        <v>4.9606966071586905E-2</v>
      </c>
      <c r="V156" s="9">
        <f t="shared" si="25"/>
        <v>0.24972680101179148</v>
      </c>
      <c r="W156">
        <f t="shared" si="26"/>
        <v>2.548424112607099</v>
      </c>
      <c r="X156">
        <f t="shared" si="21"/>
        <v>5.2485508997925088</v>
      </c>
      <c r="Y156" s="8">
        <f t="shared" si="27"/>
        <v>3.9440977647055224E-2</v>
      </c>
      <c r="Z156" s="8">
        <f t="shared" si="28"/>
        <v>5.8676301296024969E-2</v>
      </c>
      <c r="AA156" s="10">
        <f t="shared" si="29"/>
        <v>5.97528445189556E-2</v>
      </c>
    </row>
    <row r="157" spans="1:27" x14ac:dyDescent="0.3">
      <c r="A157" t="s">
        <v>58</v>
      </c>
      <c r="B157" s="11">
        <v>2021</v>
      </c>
      <c r="C157" s="12">
        <v>201.452</v>
      </c>
      <c r="D157" s="12">
        <v>1605.616</v>
      </c>
      <c r="E157" s="12">
        <v>735.149</v>
      </c>
      <c r="F157" s="12">
        <v>672.85500000000002</v>
      </c>
      <c r="G157" s="12">
        <v>2340.7649999999999</v>
      </c>
      <c r="H157" s="12">
        <v>1686.9659999999999</v>
      </c>
      <c r="I157" s="12">
        <v>653.79899999999998</v>
      </c>
      <c r="J157" s="12">
        <v>1374.87</v>
      </c>
      <c r="K157" s="5">
        <v>1.8347155481044399E-2</v>
      </c>
      <c r="L157" s="5">
        <v>2.5537285264813078E-2</v>
      </c>
      <c r="M157" s="8">
        <v>7.8100000000000003E-2</v>
      </c>
      <c r="N157" s="12">
        <v>23159.782592592601</v>
      </c>
      <c r="O157" s="3">
        <f t="shared" si="22"/>
        <v>60</v>
      </c>
      <c r="P157" s="13">
        <v>1962</v>
      </c>
      <c r="Q157" s="14">
        <v>124.27</v>
      </c>
      <c r="R157" s="14">
        <v>171.88</v>
      </c>
      <c r="S157" s="2">
        <f t="shared" si="20"/>
        <v>16.744625219813141</v>
      </c>
      <c r="T157" s="8">
        <f t="shared" si="23"/>
        <v>0.30812528009372914</v>
      </c>
      <c r="U157" s="8">
        <f t="shared" si="24"/>
        <v>8.6062462485554936E-2</v>
      </c>
      <c r="V157" s="9">
        <f t="shared" si="25"/>
        <v>2.5802517287423199</v>
      </c>
      <c r="W157">
        <f t="shared" si="26"/>
        <v>1.1678311403987287</v>
      </c>
      <c r="X157">
        <f t="shared" si="21"/>
        <v>7.2166067050822624</v>
      </c>
      <c r="Y157" s="8">
        <f t="shared" si="27"/>
        <v>0.28745089746300889</v>
      </c>
      <c r="Z157" s="8">
        <f t="shared" si="28"/>
        <v>5.8676301296024969E-2</v>
      </c>
      <c r="AA157" s="10">
        <f t="shared" si="29"/>
        <v>5.97528445189556E-2</v>
      </c>
    </row>
    <row r="158" spans="1:27" x14ac:dyDescent="0.3">
      <c r="A158" t="s">
        <v>59</v>
      </c>
      <c r="B158" s="11">
        <v>2021</v>
      </c>
      <c r="C158" s="12">
        <v>27.021999999999998</v>
      </c>
      <c r="D158" s="12">
        <v>268.20699999999999</v>
      </c>
      <c r="E158" s="12">
        <v>69.552000000000007</v>
      </c>
      <c r="F158" s="12">
        <v>38.04</v>
      </c>
      <c r="G158" s="12">
        <v>337.75799999999998</v>
      </c>
      <c r="H158" s="12">
        <v>136.40799999999999</v>
      </c>
      <c r="I158" s="12">
        <v>201.35</v>
      </c>
      <c r="J158" s="12">
        <v>135.49</v>
      </c>
      <c r="K158" s="5">
        <v>1.8347155481044399E-2</v>
      </c>
      <c r="L158" s="5">
        <v>2.5537285264813078E-2</v>
      </c>
      <c r="M158" s="8">
        <v>7.8100000000000003E-2</v>
      </c>
      <c r="N158" s="12">
        <v>23159.782592592601</v>
      </c>
      <c r="O158" s="3">
        <f t="shared" si="22"/>
        <v>24</v>
      </c>
      <c r="P158" s="13">
        <v>1998</v>
      </c>
      <c r="Q158" s="14">
        <v>124.27</v>
      </c>
      <c r="R158" s="14">
        <v>171.88</v>
      </c>
      <c r="S158" s="2">
        <f t="shared" si="20"/>
        <v>16.744625219813141</v>
      </c>
      <c r="T158" s="8">
        <f t="shared" si="23"/>
        <v>0.1342041221753166</v>
      </c>
      <c r="U158" s="8">
        <f t="shared" si="24"/>
        <v>8.0004026551554669E-2</v>
      </c>
      <c r="V158" s="9">
        <f t="shared" si="25"/>
        <v>0.67746709709461128</v>
      </c>
      <c r="W158">
        <f t="shared" si="26"/>
        <v>1.9795335449110634</v>
      </c>
      <c r="X158">
        <f t="shared" si="21"/>
        <v>5.2807032897994937</v>
      </c>
      <c r="Y158" s="8">
        <f t="shared" si="27"/>
        <v>0.11262501554367328</v>
      </c>
      <c r="Z158" s="8">
        <f t="shared" si="28"/>
        <v>5.8676301296024969E-2</v>
      </c>
      <c r="AA158" s="10">
        <f t="shared" si="29"/>
        <v>5.97528445189556E-2</v>
      </c>
    </row>
    <row r="159" spans="1:27" x14ac:dyDescent="0.3">
      <c r="A159" t="s">
        <v>60</v>
      </c>
      <c r="B159" s="11">
        <v>2021</v>
      </c>
      <c r="C159" s="12">
        <v>143.298</v>
      </c>
      <c r="D159" s="12">
        <v>5515.2780000000002</v>
      </c>
      <c r="E159" s="12">
        <v>2038.5809999999999</v>
      </c>
      <c r="F159" s="12">
        <v>1086.8409999999999</v>
      </c>
      <c r="G159" s="12">
        <v>7553.8590000000004</v>
      </c>
      <c r="H159" s="12">
        <v>4411.25</v>
      </c>
      <c r="I159" s="12">
        <v>3142.6080000000002</v>
      </c>
      <c r="J159" s="12">
        <v>4115.8900000000003</v>
      </c>
      <c r="K159" s="5">
        <v>1.8347155481044399E-2</v>
      </c>
      <c r="L159" s="5">
        <v>2.5537285264813078E-2</v>
      </c>
      <c r="M159" s="8">
        <v>7.8100000000000003E-2</v>
      </c>
      <c r="N159" s="12">
        <v>23159.782592592601</v>
      </c>
      <c r="O159" s="3">
        <f t="shared" si="22"/>
        <v>19</v>
      </c>
      <c r="P159" s="13">
        <v>2003</v>
      </c>
      <c r="Q159" s="14">
        <v>124.27</v>
      </c>
      <c r="R159" s="14">
        <v>171.88</v>
      </c>
      <c r="S159" s="2">
        <f t="shared" si="20"/>
        <v>16.744625219813141</v>
      </c>
      <c r="T159" s="8">
        <f t="shared" si="23"/>
        <v>4.5598432893953045E-2</v>
      </c>
      <c r="U159" s="8">
        <f t="shared" si="24"/>
        <v>1.8970171405105655E-2</v>
      </c>
      <c r="V159" s="9">
        <f t="shared" si="25"/>
        <v>1.4036908198540829</v>
      </c>
      <c r="W159">
        <f t="shared" si="26"/>
        <v>1.3399964527720614</v>
      </c>
      <c r="X159">
        <f t="shared" si="21"/>
        <v>8.3881874645718693</v>
      </c>
      <c r="Y159" s="8">
        <f t="shared" si="27"/>
        <v>0.14387891010409379</v>
      </c>
      <c r="Z159" s="8">
        <f t="shared" si="28"/>
        <v>5.8676301296024969E-2</v>
      </c>
      <c r="AA159" s="10">
        <f t="shared" si="29"/>
        <v>5.97528445189556E-2</v>
      </c>
    </row>
    <row r="160" spans="1:27" x14ac:dyDescent="0.3">
      <c r="A160" t="s">
        <v>61</v>
      </c>
      <c r="B160" s="11">
        <v>2021</v>
      </c>
      <c r="C160" s="12">
        <v>653.29100000000005</v>
      </c>
      <c r="D160" s="12">
        <v>7013.5919999999996</v>
      </c>
      <c r="E160" s="12">
        <v>7059.1130000000003</v>
      </c>
      <c r="F160" s="12">
        <v>2540.8310000000001</v>
      </c>
      <c r="G160" s="12">
        <v>14072.706</v>
      </c>
      <c r="H160" s="12">
        <v>7178.0630000000001</v>
      </c>
      <c r="I160" s="12">
        <v>6894.643</v>
      </c>
      <c r="J160" s="12">
        <v>5397.24</v>
      </c>
      <c r="K160" s="5">
        <v>1.8347155481044399E-2</v>
      </c>
      <c r="L160" s="5">
        <v>2.5537285264813078E-2</v>
      </c>
      <c r="M160" s="8">
        <v>7.8100000000000003E-2</v>
      </c>
      <c r="N160" s="12">
        <v>23159.782592592601</v>
      </c>
      <c r="O160" s="3">
        <f t="shared" si="22"/>
        <v>29</v>
      </c>
      <c r="P160" s="13">
        <v>1993</v>
      </c>
      <c r="Q160" s="14">
        <v>124.27</v>
      </c>
      <c r="R160" s="14">
        <v>171.88</v>
      </c>
      <c r="S160" s="2">
        <f t="shared" si="20"/>
        <v>16.744625219813141</v>
      </c>
      <c r="T160" s="8">
        <f t="shared" si="23"/>
        <v>9.4753419430128591E-2</v>
      </c>
      <c r="U160" s="8">
        <f t="shared" si="24"/>
        <v>4.6422557253736424E-2</v>
      </c>
      <c r="V160" s="9">
        <f t="shared" si="25"/>
        <v>1.0411072770555343</v>
      </c>
      <c r="W160">
        <f t="shared" si="26"/>
        <v>1.2994775107277052</v>
      </c>
      <c r="X160">
        <f t="shared" si="21"/>
        <v>9.0103660827916414</v>
      </c>
      <c r="Y160" s="8">
        <f t="shared" si="27"/>
        <v>0.18055027938478926</v>
      </c>
      <c r="Z160" s="8">
        <f t="shared" si="28"/>
        <v>5.8676301296024969E-2</v>
      </c>
      <c r="AA160" s="10">
        <f t="shared" si="29"/>
        <v>5.97528445189556E-2</v>
      </c>
    </row>
    <row r="161" spans="1:27" x14ac:dyDescent="0.3">
      <c r="A161" t="s">
        <v>62</v>
      </c>
      <c r="B161" s="11">
        <v>2021</v>
      </c>
      <c r="C161" s="12">
        <v>18.071999999999999</v>
      </c>
      <c r="D161" s="12">
        <v>788.81</v>
      </c>
      <c r="E161" s="12">
        <v>286.17399999999998</v>
      </c>
      <c r="F161" s="12">
        <v>265.30599999999998</v>
      </c>
      <c r="G161" s="12">
        <v>1074.9829999999999</v>
      </c>
      <c r="H161" s="12">
        <v>457.03800000000001</v>
      </c>
      <c r="I161" s="12">
        <v>617.94500000000005</v>
      </c>
      <c r="J161" s="12">
        <v>450.15</v>
      </c>
      <c r="K161" s="5">
        <v>1.8347155481044399E-2</v>
      </c>
      <c r="L161" s="5">
        <v>2.5537285264813078E-2</v>
      </c>
      <c r="M161" s="8">
        <v>7.8100000000000003E-2</v>
      </c>
      <c r="N161" s="12">
        <v>23159.782592592601</v>
      </c>
      <c r="O161" s="3">
        <f t="shared" si="22"/>
        <v>21</v>
      </c>
      <c r="P161" s="13">
        <v>2001</v>
      </c>
      <c r="Q161" s="14">
        <v>124.27</v>
      </c>
      <c r="R161" s="14">
        <v>171.88</v>
      </c>
      <c r="S161" s="2">
        <f t="shared" si="20"/>
        <v>16.744625219813141</v>
      </c>
      <c r="T161" s="8">
        <f t="shared" si="23"/>
        <v>2.9245321185542399E-2</v>
      </c>
      <c r="U161" s="8">
        <f t="shared" si="24"/>
        <v>1.6811428645848354E-2</v>
      </c>
      <c r="V161" s="9">
        <f t="shared" si="25"/>
        <v>0.73960951217341342</v>
      </c>
      <c r="W161">
        <f t="shared" si="26"/>
        <v>1.7523270021104076</v>
      </c>
      <c r="X161">
        <f t="shared" si="21"/>
        <v>6.4384337535645297</v>
      </c>
      <c r="Y161" s="8">
        <f t="shared" si="27"/>
        <v>0.24680018195636583</v>
      </c>
      <c r="Z161" s="8">
        <f t="shared" si="28"/>
        <v>5.8676301296024969E-2</v>
      </c>
      <c r="AA161" s="10">
        <f t="shared" si="29"/>
        <v>5.97528445189556E-2</v>
      </c>
    </row>
    <row r="162" spans="1:27" x14ac:dyDescent="0.3">
      <c r="A162" t="s">
        <v>63</v>
      </c>
      <c r="B162" s="11">
        <v>2021</v>
      </c>
      <c r="C162" s="12">
        <v>39.631</v>
      </c>
      <c r="D162" s="12">
        <v>189.40299999999999</v>
      </c>
      <c r="E162" s="12">
        <v>90.349000000000004</v>
      </c>
      <c r="F162" s="12">
        <v>73.075000000000003</v>
      </c>
      <c r="G162" s="12">
        <v>279.75200000000001</v>
      </c>
      <c r="H162" s="12">
        <v>83.292000000000002</v>
      </c>
      <c r="I162" s="12">
        <v>196.459</v>
      </c>
      <c r="J162" s="12">
        <v>80.52</v>
      </c>
      <c r="K162" s="5">
        <v>1.8347155481044399E-2</v>
      </c>
      <c r="L162" s="5">
        <v>2.5537285264813078E-2</v>
      </c>
      <c r="M162" s="8">
        <v>7.8100000000000003E-2</v>
      </c>
      <c r="N162" s="12">
        <v>23159.782592592601</v>
      </c>
      <c r="O162" s="3">
        <f t="shared" si="22"/>
        <v>37</v>
      </c>
      <c r="P162" s="13">
        <v>1985</v>
      </c>
      <c r="Q162" s="14">
        <v>124.27</v>
      </c>
      <c r="R162" s="14">
        <v>171.88</v>
      </c>
      <c r="S162" s="2">
        <f t="shared" si="20"/>
        <v>16.744625219813141</v>
      </c>
      <c r="T162" s="8">
        <f t="shared" si="23"/>
        <v>0.2017265689024173</v>
      </c>
      <c r="U162" s="8">
        <f t="shared" si="24"/>
        <v>0.14166476021619148</v>
      </c>
      <c r="V162" s="9">
        <f t="shared" si="25"/>
        <v>0.42396632376220994</v>
      </c>
      <c r="W162">
        <f t="shared" si="26"/>
        <v>2.3522478887232987</v>
      </c>
      <c r="X162">
        <f t="shared" si="21"/>
        <v>5.0922771234881692</v>
      </c>
      <c r="Y162" s="8">
        <f t="shared" si="27"/>
        <v>0.26121350338871574</v>
      </c>
      <c r="Z162" s="8">
        <f t="shared" si="28"/>
        <v>5.8676301296024969E-2</v>
      </c>
      <c r="AA162" s="10">
        <f t="shared" si="29"/>
        <v>5.97528445189556E-2</v>
      </c>
    </row>
    <row r="163" spans="1:27" x14ac:dyDescent="0.3">
      <c r="A163" t="s">
        <v>64</v>
      </c>
      <c r="B163" s="11">
        <v>2021</v>
      </c>
      <c r="C163" s="12">
        <v>167.148</v>
      </c>
      <c r="D163" s="12">
        <v>698.24099999999999</v>
      </c>
      <c r="E163" s="12">
        <v>469.40300000000002</v>
      </c>
      <c r="F163" s="12">
        <v>410.30700000000002</v>
      </c>
      <c r="G163" s="12">
        <v>1167.644</v>
      </c>
      <c r="H163" s="12">
        <v>418.54300000000001</v>
      </c>
      <c r="I163" s="12">
        <v>749.101</v>
      </c>
      <c r="J163" s="12">
        <v>410.2</v>
      </c>
      <c r="K163" s="5">
        <v>1.8347155481044399E-2</v>
      </c>
      <c r="L163" s="5">
        <v>2.5537285264813078E-2</v>
      </c>
      <c r="M163" s="8">
        <v>7.8100000000000003E-2</v>
      </c>
      <c r="N163" s="12">
        <v>23159.782592592601</v>
      </c>
      <c r="O163" s="3">
        <f t="shared" si="22"/>
        <v>50</v>
      </c>
      <c r="P163" s="13">
        <v>1972</v>
      </c>
      <c r="Q163" s="14">
        <v>124.27</v>
      </c>
      <c r="R163" s="14">
        <v>171.88</v>
      </c>
      <c r="S163" s="2">
        <f t="shared" si="20"/>
        <v>16.744625219813141</v>
      </c>
      <c r="T163" s="8">
        <f t="shared" si="23"/>
        <v>0.22313146024367875</v>
      </c>
      <c r="U163" s="8">
        <f t="shared" si="24"/>
        <v>0.14314979565689542</v>
      </c>
      <c r="V163" s="9">
        <f t="shared" si="25"/>
        <v>0.55872706083692325</v>
      </c>
      <c r="W163">
        <f t="shared" si="26"/>
        <v>1.7021964895173087</v>
      </c>
      <c r="X163">
        <f t="shared" si="21"/>
        <v>6.5211169494896311</v>
      </c>
      <c r="Y163" s="8">
        <f t="shared" si="27"/>
        <v>0.35139734371092562</v>
      </c>
      <c r="Z163" s="8">
        <f t="shared" si="28"/>
        <v>5.8676301296024969E-2</v>
      </c>
      <c r="AA163" s="10">
        <f t="shared" si="29"/>
        <v>5.97528445189556E-2</v>
      </c>
    </row>
    <row r="164" spans="1:27" x14ac:dyDescent="0.3">
      <c r="A164" t="s">
        <v>65</v>
      </c>
      <c r="B164" s="11">
        <v>2021</v>
      </c>
      <c r="C164" s="12">
        <v>33.152000000000001</v>
      </c>
      <c r="D164" s="12">
        <v>930.06399999999996</v>
      </c>
      <c r="E164" s="12">
        <v>1596.8019999999999</v>
      </c>
      <c r="F164" s="12">
        <v>1186.7170000000001</v>
      </c>
      <c r="G164" s="12">
        <v>2526.866</v>
      </c>
      <c r="H164" s="12">
        <v>922.745</v>
      </c>
      <c r="I164" s="12">
        <v>1604.1220000000001</v>
      </c>
      <c r="J164" s="12">
        <v>846.11</v>
      </c>
      <c r="K164" s="5">
        <v>1.8347155481044399E-2</v>
      </c>
      <c r="L164" s="5">
        <v>2.5537285264813078E-2</v>
      </c>
      <c r="M164" s="8">
        <v>7.8100000000000003E-2</v>
      </c>
      <c r="N164" s="12">
        <v>23159.782592592601</v>
      </c>
      <c r="O164" s="3">
        <f t="shared" si="22"/>
        <v>42</v>
      </c>
      <c r="P164" s="13">
        <v>1980</v>
      </c>
      <c r="Q164" s="14">
        <v>124.27</v>
      </c>
      <c r="R164" s="14">
        <v>171.88</v>
      </c>
      <c r="S164" s="2">
        <f t="shared" si="20"/>
        <v>16.744625219813141</v>
      </c>
      <c r="T164" s="8">
        <f t="shared" si="23"/>
        <v>2.0666757266591944E-2</v>
      </c>
      <c r="U164" s="8">
        <f t="shared" si="24"/>
        <v>1.3119809281536892E-2</v>
      </c>
      <c r="V164" s="9">
        <f t="shared" si="25"/>
        <v>0.5752336792338737</v>
      </c>
      <c r="W164">
        <f t="shared" si="26"/>
        <v>1.0992235052179975</v>
      </c>
      <c r="X164">
        <f t="shared" si="21"/>
        <v>7.2931087057583897</v>
      </c>
      <c r="Y164" s="8">
        <f t="shared" si="27"/>
        <v>0.46963986218501502</v>
      </c>
      <c r="Z164" s="8">
        <f t="shared" si="28"/>
        <v>5.8676301296024969E-2</v>
      </c>
      <c r="AA164" s="10">
        <f t="shared" si="29"/>
        <v>5.97528445189556E-2</v>
      </c>
    </row>
    <row r="165" spans="1:27" x14ac:dyDescent="0.3">
      <c r="A165" t="s">
        <v>66</v>
      </c>
      <c r="B165" s="11">
        <v>2021</v>
      </c>
      <c r="C165" s="12">
        <v>319.11200000000002</v>
      </c>
      <c r="D165" s="12">
        <v>2218.732</v>
      </c>
      <c r="E165" s="12">
        <v>268.23500000000001</v>
      </c>
      <c r="F165" s="12">
        <v>141.76599999999999</v>
      </c>
      <c r="G165" s="12">
        <v>2486.9659999999999</v>
      </c>
      <c r="H165" s="12">
        <v>313.58199999999999</v>
      </c>
      <c r="I165" s="12">
        <v>2173.3850000000002</v>
      </c>
      <c r="J165" s="12">
        <v>289.93</v>
      </c>
      <c r="K165" s="5">
        <v>1.8347155481044399E-2</v>
      </c>
      <c r="L165" s="5">
        <v>2.5537285264813078E-2</v>
      </c>
      <c r="M165" s="8">
        <v>7.8100000000000003E-2</v>
      </c>
      <c r="N165" s="12">
        <v>23159.782592592601</v>
      </c>
      <c r="O165" s="3">
        <f t="shared" si="22"/>
        <v>64</v>
      </c>
      <c r="P165" s="13">
        <v>1958</v>
      </c>
      <c r="Q165" s="14">
        <v>124.27</v>
      </c>
      <c r="R165" s="14">
        <v>171.88</v>
      </c>
      <c r="S165" s="2">
        <f t="shared" si="20"/>
        <v>16.744625219813141</v>
      </c>
      <c r="T165" s="8">
        <f t="shared" si="23"/>
        <v>0.14682718432307207</v>
      </c>
      <c r="U165" s="8">
        <f t="shared" si="24"/>
        <v>0.12831377670623564</v>
      </c>
      <c r="V165" s="9">
        <f t="shared" si="25"/>
        <v>0.14428276628393036</v>
      </c>
      <c r="W165">
        <f t="shared" si="26"/>
        <v>7.6526471907012033</v>
      </c>
      <c r="X165">
        <f t="shared" si="21"/>
        <v>7.277192399701585</v>
      </c>
      <c r="Y165" s="8">
        <f t="shared" si="27"/>
        <v>5.7003593937351778E-2</v>
      </c>
      <c r="Z165" s="8">
        <f t="shared" si="28"/>
        <v>5.8676301296024969E-2</v>
      </c>
      <c r="AA165" s="10">
        <f t="shared" si="29"/>
        <v>5.97528445189556E-2</v>
      </c>
    </row>
    <row r="166" spans="1:27" hidden="1" x14ac:dyDescent="0.3">
      <c r="A166" t="s">
        <v>67</v>
      </c>
      <c r="B166" s="11">
        <v>2021</v>
      </c>
      <c r="C166" s="12">
        <v>442.36599999999999</v>
      </c>
      <c r="D166" s="12">
        <v>2489.3679999999999</v>
      </c>
      <c r="E166" s="12">
        <v>713.26900000000001</v>
      </c>
      <c r="F166" s="12">
        <v>499.85700000000003</v>
      </c>
      <c r="G166" s="12">
        <v>3202.6370000000002</v>
      </c>
      <c r="H166" s="12">
        <v>1707.2360000000001</v>
      </c>
      <c r="I166" s="12">
        <v>1495.4010000000001</v>
      </c>
      <c r="J166" s="12">
        <v>1528.82</v>
      </c>
      <c r="K166" s="5">
        <v>1.8347155481044399E-2</v>
      </c>
      <c r="L166" s="5">
        <v>2.5537285264813078E-2</v>
      </c>
      <c r="M166" s="8">
        <v>7.8100000000000003E-2</v>
      </c>
      <c r="N166" s="12">
        <v>23159.782592592601</v>
      </c>
      <c r="O166" s="3">
        <f t="shared" si="22"/>
        <v>34</v>
      </c>
      <c r="P166" s="13">
        <v>1988</v>
      </c>
      <c r="Q166" s="14">
        <v>124.27</v>
      </c>
      <c r="R166" s="14">
        <v>171.88</v>
      </c>
      <c r="S166" s="2">
        <f t="shared" si="20"/>
        <v>16.744625219813141</v>
      </c>
      <c r="T166" s="8">
        <f t="shared" si="23"/>
        <v>0.29581764356182721</v>
      </c>
      <c r="U166" s="8">
        <f t="shared" si="24"/>
        <v>0.13812555091320058</v>
      </c>
      <c r="V166" s="9">
        <f t="shared" si="25"/>
        <v>1.1416576557057272</v>
      </c>
      <c r="W166">
        <f t="shared" si="26"/>
        <v>1.6282937167227012</v>
      </c>
      <c r="X166">
        <f t="shared" si="21"/>
        <v>7.530103439016032</v>
      </c>
      <c r="Y166" s="8">
        <f t="shared" si="27"/>
        <v>0.15607669554807491</v>
      </c>
      <c r="Z166" s="8">
        <f t="shared" si="28"/>
        <v>5.8676301296024969E-2</v>
      </c>
      <c r="AA166" s="10">
        <f t="shared" si="29"/>
        <v>5.97528445189556E-2</v>
      </c>
    </row>
    <row r="167" spans="1:27" x14ac:dyDescent="0.3">
      <c r="A167" t="s">
        <v>68</v>
      </c>
      <c r="B167" s="11">
        <v>2021</v>
      </c>
      <c r="C167" s="12">
        <v>10101.380999999999</v>
      </c>
      <c r="D167" s="12">
        <v>43630.175999999999</v>
      </c>
      <c r="E167" s="12">
        <v>82463.294999999998</v>
      </c>
      <c r="F167" s="12">
        <v>42653.938999999998</v>
      </c>
      <c r="G167" s="12">
        <v>126093.47100000001</v>
      </c>
      <c r="H167" s="12">
        <v>83756.819000000003</v>
      </c>
      <c r="I167" s="12">
        <v>42336.652000000002</v>
      </c>
      <c r="J167" s="12">
        <v>34547.839999999997</v>
      </c>
      <c r="K167" s="5">
        <v>1.8347155481044399E-2</v>
      </c>
      <c r="L167" s="5">
        <v>2.5537285264813078E-2</v>
      </c>
      <c r="M167" s="8">
        <v>7.8100000000000003E-2</v>
      </c>
      <c r="N167" s="12">
        <v>23159.782592592601</v>
      </c>
      <c r="O167" s="3">
        <f t="shared" si="22"/>
        <v>18</v>
      </c>
      <c r="P167" s="13">
        <v>2004</v>
      </c>
      <c r="Q167" s="14">
        <v>124.27</v>
      </c>
      <c r="R167" s="14">
        <v>171.88</v>
      </c>
      <c r="S167" s="2">
        <f t="shared" si="20"/>
        <v>16.744625219813141</v>
      </c>
      <c r="T167" s="8">
        <f t="shared" si="23"/>
        <v>0.23859659474254127</v>
      </c>
      <c r="U167" s="8">
        <f t="shared" si="24"/>
        <v>8.0110262013486797E-2</v>
      </c>
      <c r="V167" s="9">
        <f t="shared" si="25"/>
        <v>1.9783524450634404</v>
      </c>
      <c r="W167">
        <f t="shared" si="26"/>
        <v>1.2628915729608567</v>
      </c>
      <c r="X167">
        <f t="shared" si="21"/>
        <v>11.203152371325903</v>
      </c>
      <c r="Y167" s="8">
        <f t="shared" si="27"/>
        <v>0.33827238366687518</v>
      </c>
      <c r="Z167" s="8">
        <f t="shared" si="28"/>
        <v>5.8676301296024969E-2</v>
      </c>
      <c r="AA167" s="10">
        <f t="shared" si="29"/>
        <v>5.97528445189556E-2</v>
      </c>
    </row>
    <row r="168" spans="1:27" x14ac:dyDescent="0.3">
      <c r="A168" t="s">
        <v>69</v>
      </c>
      <c r="B168" s="11">
        <v>2021</v>
      </c>
      <c r="C168" s="12">
        <v>77.605000000000004</v>
      </c>
      <c r="D168" s="12">
        <v>1029.32</v>
      </c>
      <c r="E168" s="12">
        <v>624.73699999999997</v>
      </c>
      <c r="F168" s="12">
        <v>363.97899999999998</v>
      </c>
      <c r="G168" s="12">
        <v>1654.056</v>
      </c>
      <c r="H168" s="12">
        <v>817.65899999999999</v>
      </c>
      <c r="I168" s="12">
        <v>836.39800000000002</v>
      </c>
      <c r="J168" s="12">
        <v>700.84</v>
      </c>
      <c r="K168" s="5">
        <v>1.8347155481044399E-2</v>
      </c>
      <c r="L168" s="5">
        <v>2.5537285264813078E-2</v>
      </c>
      <c r="M168" s="8">
        <v>7.8100000000000003E-2</v>
      </c>
      <c r="N168" s="12">
        <v>23159.782592592601</v>
      </c>
      <c r="O168" s="3">
        <f t="shared" si="22"/>
        <v>27</v>
      </c>
      <c r="P168" s="13">
        <v>1995</v>
      </c>
      <c r="Q168" s="14">
        <v>124.27</v>
      </c>
      <c r="R168" s="14">
        <v>171.88</v>
      </c>
      <c r="S168" s="2">
        <f t="shared" si="20"/>
        <v>16.744625219813141</v>
      </c>
      <c r="T168" s="8">
        <f t="shared" si="23"/>
        <v>9.2784774712517254E-2</v>
      </c>
      <c r="U168" s="8">
        <f t="shared" si="24"/>
        <v>4.691800035790808E-2</v>
      </c>
      <c r="V168" s="9">
        <f t="shared" si="25"/>
        <v>0.97759559444188049</v>
      </c>
      <c r="W168">
        <f t="shared" si="26"/>
        <v>1.4686947092060954</v>
      </c>
      <c r="X168">
        <f t="shared" si="21"/>
        <v>6.8693593594073858</v>
      </c>
      <c r="Y168" s="8">
        <f t="shared" si="27"/>
        <v>0.22005240451351102</v>
      </c>
      <c r="Z168" s="8">
        <f t="shared" si="28"/>
        <v>5.8676301296024969E-2</v>
      </c>
      <c r="AA168" s="10">
        <f t="shared" si="29"/>
        <v>5.97528445189556E-2</v>
      </c>
    </row>
    <row r="169" spans="1:27" x14ac:dyDescent="0.3">
      <c r="A169" t="s">
        <v>70</v>
      </c>
      <c r="B169" s="11">
        <v>2021</v>
      </c>
      <c r="C169" s="12">
        <v>54.35</v>
      </c>
      <c r="D169" s="12">
        <v>376.24799999999999</v>
      </c>
      <c r="E169" s="12">
        <v>490.76400000000001</v>
      </c>
      <c r="F169" s="12">
        <v>314.37200000000001</v>
      </c>
      <c r="G169" s="12">
        <v>867.01199999999994</v>
      </c>
      <c r="H169" s="12">
        <v>488.91500000000002</v>
      </c>
      <c r="I169" s="12">
        <v>378.09699999999998</v>
      </c>
      <c r="J169" s="12">
        <v>419.16</v>
      </c>
      <c r="K169" s="5">
        <v>1.8347155481044399E-2</v>
      </c>
      <c r="L169" s="5">
        <v>2.5537285264813078E-2</v>
      </c>
      <c r="M169" s="8">
        <v>7.8100000000000003E-2</v>
      </c>
      <c r="N169" s="12">
        <v>23159.782592592601</v>
      </c>
      <c r="O169" s="3">
        <f t="shared" si="22"/>
        <v>29</v>
      </c>
      <c r="P169" s="13">
        <v>1993</v>
      </c>
      <c r="Q169" s="14">
        <v>124.27</v>
      </c>
      <c r="R169" s="14">
        <v>171.88</v>
      </c>
      <c r="S169" s="2">
        <f t="shared" si="20"/>
        <v>16.744625219813141</v>
      </c>
      <c r="T169" s="8">
        <f t="shared" si="23"/>
        <v>0.14374618153542609</v>
      </c>
      <c r="U169" s="8">
        <f t="shared" si="24"/>
        <v>6.2686560278289116E-2</v>
      </c>
      <c r="V169" s="9">
        <f t="shared" si="25"/>
        <v>1.2930941001912208</v>
      </c>
      <c r="W169">
        <f t="shared" si="26"/>
        <v>0.89762381906670474</v>
      </c>
      <c r="X169">
        <f t="shared" si="21"/>
        <v>6.2234264445965053</v>
      </c>
      <c r="Y169" s="8">
        <f t="shared" si="27"/>
        <v>0.36259244393387868</v>
      </c>
      <c r="Z169" s="8">
        <f t="shared" si="28"/>
        <v>5.8676301296024969E-2</v>
      </c>
      <c r="AA169" s="10">
        <f t="shared" si="29"/>
        <v>5.97528445189556E-2</v>
      </c>
    </row>
    <row r="170" spans="1:27" x14ac:dyDescent="0.3">
      <c r="A170" t="s">
        <v>71</v>
      </c>
      <c r="B170" s="11">
        <v>2021</v>
      </c>
      <c r="C170" s="12">
        <v>225.631</v>
      </c>
      <c r="D170" s="12">
        <v>1043.93</v>
      </c>
      <c r="E170" s="12">
        <v>888.029</v>
      </c>
      <c r="F170" s="12">
        <v>735.346</v>
      </c>
      <c r="G170" s="12">
        <v>1931.9590000000001</v>
      </c>
      <c r="H170" s="12">
        <v>627.32600000000002</v>
      </c>
      <c r="I170" s="12">
        <v>1304.633</v>
      </c>
      <c r="J170" s="12">
        <v>595.38</v>
      </c>
      <c r="K170" s="5">
        <v>1.8347155481044399E-2</v>
      </c>
      <c r="L170" s="5">
        <v>2.5537285264813078E-2</v>
      </c>
      <c r="M170" s="8">
        <v>7.8100000000000003E-2</v>
      </c>
      <c r="N170" s="12">
        <v>23159.782592592601</v>
      </c>
      <c r="O170" s="3">
        <f t="shared" si="22"/>
        <v>54</v>
      </c>
      <c r="P170" s="13">
        <v>1968</v>
      </c>
      <c r="Q170" s="14">
        <v>124.27</v>
      </c>
      <c r="R170" s="14">
        <v>171.88</v>
      </c>
      <c r="S170" s="2">
        <f t="shared" si="20"/>
        <v>16.744625219813141</v>
      </c>
      <c r="T170" s="8">
        <f t="shared" si="23"/>
        <v>0.17294595491605685</v>
      </c>
      <c r="U170" s="8">
        <f t="shared" si="24"/>
        <v>0.1167887103194219</v>
      </c>
      <c r="V170" s="9">
        <f t="shared" si="25"/>
        <v>0.48084480463088086</v>
      </c>
      <c r="W170">
        <f t="shared" si="26"/>
        <v>1.7533843931606705</v>
      </c>
      <c r="X170">
        <f t="shared" si="21"/>
        <v>7.0246634200964895</v>
      </c>
      <c r="Y170" s="8">
        <f t="shared" si="27"/>
        <v>0.38062194901651636</v>
      </c>
      <c r="Z170" s="8">
        <f t="shared" si="28"/>
        <v>5.8676301296024969E-2</v>
      </c>
      <c r="AA170" s="10">
        <f t="shared" si="29"/>
        <v>5.97528445189556E-2</v>
      </c>
    </row>
    <row r="171" spans="1:27" x14ac:dyDescent="0.3">
      <c r="A171" t="s">
        <v>72</v>
      </c>
      <c r="B171" s="11">
        <v>2021</v>
      </c>
      <c r="C171" s="12">
        <v>510.755</v>
      </c>
      <c r="D171" s="12">
        <v>10058.956</v>
      </c>
      <c r="E171" s="12">
        <v>4964.9449999999997</v>
      </c>
      <c r="F171" s="12">
        <v>3402.0590000000002</v>
      </c>
      <c r="G171" s="12">
        <v>15023.901</v>
      </c>
      <c r="H171" s="12">
        <v>7444.2470000000003</v>
      </c>
      <c r="I171" s="12">
        <v>7579.6540000000005</v>
      </c>
      <c r="J171" s="12">
        <v>5992.75</v>
      </c>
      <c r="K171" s="5">
        <v>1.8347155481044399E-2</v>
      </c>
      <c r="L171" s="5">
        <v>2.5537285264813078E-2</v>
      </c>
      <c r="M171" s="8">
        <v>7.8100000000000003E-2</v>
      </c>
      <c r="N171" s="12">
        <v>23159.782592592601</v>
      </c>
      <c r="O171" s="3">
        <f t="shared" si="22"/>
        <v>24</v>
      </c>
      <c r="P171" s="13">
        <v>1998</v>
      </c>
      <c r="Q171" s="14">
        <v>124.27</v>
      </c>
      <c r="R171" s="14">
        <v>171.88</v>
      </c>
      <c r="S171" s="2">
        <f t="shared" si="20"/>
        <v>16.744625219813141</v>
      </c>
      <c r="T171" s="8">
        <f t="shared" si="23"/>
        <v>6.73850020066879E-2</v>
      </c>
      <c r="U171" s="8">
        <f t="shared" si="24"/>
        <v>3.3996163845861335E-2</v>
      </c>
      <c r="V171" s="9">
        <f t="shared" si="25"/>
        <v>0.98213546423095299</v>
      </c>
      <c r="W171">
        <f t="shared" si="26"/>
        <v>1.6785208793959367</v>
      </c>
      <c r="X171">
        <f t="shared" si="21"/>
        <v>9.075771239050761</v>
      </c>
      <c r="Y171" s="8">
        <f t="shared" si="27"/>
        <v>0.2264431188677295</v>
      </c>
      <c r="Z171" s="8">
        <f t="shared" si="28"/>
        <v>5.8676301296024969E-2</v>
      </c>
      <c r="AA171" s="10">
        <f t="shared" si="29"/>
        <v>5.97528445189556E-2</v>
      </c>
    </row>
    <row r="172" spans="1:27" x14ac:dyDescent="0.3">
      <c r="A172" t="s">
        <v>73</v>
      </c>
      <c r="B172" s="11">
        <v>2021</v>
      </c>
      <c r="C172" s="12">
        <v>1029.0419999999999</v>
      </c>
      <c r="D172" s="12">
        <v>9292.1919999999991</v>
      </c>
      <c r="E172" s="12">
        <v>1326.8240000000001</v>
      </c>
      <c r="F172" s="12">
        <v>909.98500000000001</v>
      </c>
      <c r="G172" s="12">
        <v>10619.017</v>
      </c>
      <c r="H172" s="12">
        <v>4606.3829999999998</v>
      </c>
      <c r="I172" s="12">
        <v>6012.634</v>
      </c>
      <c r="J172" s="12">
        <v>4563</v>
      </c>
      <c r="K172" s="5">
        <v>1.8347155481044399E-2</v>
      </c>
      <c r="L172" s="5">
        <v>2.5537285264813078E-2</v>
      </c>
      <c r="M172" s="8">
        <v>7.8100000000000003E-2</v>
      </c>
      <c r="N172" s="12">
        <v>23159.782592592601</v>
      </c>
      <c r="O172" s="3">
        <f t="shared" si="22"/>
        <v>34</v>
      </c>
      <c r="P172" s="13">
        <v>1988</v>
      </c>
      <c r="Q172" s="14">
        <v>124.27</v>
      </c>
      <c r="R172" s="14">
        <v>171.88</v>
      </c>
      <c r="S172" s="2">
        <f t="shared" si="20"/>
        <v>16.744625219813141</v>
      </c>
      <c r="T172" s="8">
        <f t="shared" si="23"/>
        <v>0.17114662226238947</v>
      </c>
      <c r="U172" s="8">
        <f t="shared" si="24"/>
        <v>9.6905579866761668E-2</v>
      </c>
      <c r="V172" s="9">
        <f t="shared" si="25"/>
        <v>0.76611731231270686</v>
      </c>
      <c r="W172">
        <f t="shared" si="26"/>
        <v>2.0364216524216521</v>
      </c>
      <c r="X172">
        <f t="shared" si="21"/>
        <v>8.7287753563879011</v>
      </c>
      <c r="Y172" s="8">
        <f t="shared" si="27"/>
        <v>8.5693901799008335E-2</v>
      </c>
      <c r="Z172" s="8">
        <f t="shared" si="28"/>
        <v>5.8676301296024969E-2</v>
      </c>
      <c r="AA172" s="10">
        <f t="shared" si="29"/>
        <v>5.97528445189556E-2</v>
      </c>
    </row>
    <row r="173" spans="1:27" x14ac:dyDescent="0.3">
      <c r="A173" t="s">
        <v>74</v>
      </c>
      <c r="B173" s="11">
        <v>2021</v>
      </c>
      <c r="C173" s="12">
        <v>398.24200000000002</v>
      </c>
      <c r="D173" s="12">
        <v>4977.5540000000001</v>
      </c>
      <c r="E173" s="12">
        <v>414.74299999999999</v>
      </c>
      <c r="F173" s="12">
        <v>287.71699999999998</v>
      </c>
      <c r="G173" s="12">
        <v>5392.2969999999996</v>
      </c>
      <c r="H173" s="12">
        <v>4023.2049999999999</v>
      </c>
      <c r="I173" s="12">
        <v>1369.0909999999999</v>
      </c>
      <c r="J173" s="12">
        <v>4022.37</v>
      </c>
      <c r="K173" s="5">
        <v>1.8347155481044399E-2</v>
      </c>
      <c r="L173" s="5">
        <v>2.5537285264813078E-2</v>
      </c>
      <c r="M173" s="8">
        <v>7.8100000000000003E-2</v>
      </c>
      <c r="N173" s="12">
        <v>23159.782592592601</v>
      </c>
      <c r="O173" s="3">
        <f t="shared" si="22"/>
        <v>18</v>
      </c>
      <c r="P173" s="13">
        <v>2004</v>
      </c>
      <c r="Q173" s="14">
        <v>124.27</v>
      </c>
      <c r="R173" s="14">
        <v>171.88</v>
      </c>
      <c r="S173" s="2">
        <f t="shared" si="20"/>
        <v>16.744625219813141</v>
      </c>
      <c r="T173" s="8">
        <f t="shared" si="23"/>
        <v>0.29088059157499396</v>
      </c>
      <c r="U173" s="8">
        <f t="shared" si="24"/>
        <v>7.3853869695975585E-2</v>
      </c>
      <c r="V173" s="9">
        <f t="shared" si="25"/>
        <v>2.9385957544093126</v>
      </c>
      <c r="W173">
        <f t="shared" si="26"/>
        <v>1.2374679604312881</v>
      </c>
      <c r="X173">
        <f t="shared" si="21"/>
        <v>8.0511003597588786</v>
      </c>
      <c r="Y173" s="8">
        <f t="shared" si="27"/>
        <v>5.3357038753614645E-2</v>
      </c>
      <c r="Z173" s="8">
        <f t="shared" si="28"/>
        <v>5.8676301296024969E-2</v>
      </c>
      <c r="AA173" s="10">
        <f t="shared" si="29"/>
        <v>5.97528445189556E-2</v>
      </c>
    </row>
    <row r="174" spans="1:27" x14ac:dyDescent="0.3">
      <c r="A174" t="s">
        <v>75</v>
      </c>
      <c r="B174" s="11">
        <v>2021</v>
      </c>
      <c r="C174" s="12">
        <v>3929.306</v>
      </c>
      <c r="D174" s="12">
        <v>22877.032999999999</v>
      </c>
      <c r="E174" s="12">
        <v>7609.991</v>
      </c>
      <c r="F174" s="12">
        <v>4401.8</v>
      </c>
      <c r="G174" s="12">
        <v>30487.024000000001</v>
      </c>
      <c r="H174" s="12">
        <v>7892.2389999999996</v>
      </c>
      <c r="I174" s="12">
        <v>22594.786</v>
      </c>
      <c r="J174" s="12">
        <v>7258.02</v>
      </c>
      <c r="K174" s="5">
        <v>1.8347155481044399E-2</v>
      </c>
      <c r="L174" s="5">
        <v>2.5537285264813078E-2</v>
      </c>
      <c r="M174" s="8">
        <v>7.8100000000000003E-2</v>
      </c>
      <c r="N174" s="12">
        <v>23159.782592592601</v>
      </c>
      <c r="O174" s="3">
        <f t="shared" si="22"/>
        <v>19</v>
      </c>
      <c r="P174" s="13">
        <v>2003</v>
      </c>
      <c r="Q174" s="14">
        <v>124.27</v>
      </c>
      <c r="R174" s="14">
        <v>171.88</v>
      </c>
      <c r="S174" s="2">
        <f t="shared" si="20"/>
        <v>16.744625219813141</v>
      </c>
      <c r="T174" s="8">
        <f t="shared" si="23"/>
        <v>0.17390321820264198</v>
      </c>
      <c r="U174" s="8">
        <f t="shared" si="24"/>
        <v>0.12888453789389218</v>
      </c>
      <c r="V174" s="9">
        <f t="shared" si="25"/>
        <v>0.34929470011355718</v>
      </c>
      <c r="W174">
        <f t="shared" si="26"/>
        <v>3.1519661009476412</v>
      </c>
      <c r="X174">
        <f t="shared" si="21"/>
        <v>9.7834300565274592</v>
      </c>
      <c r="Y174" s="8">
        <f t="shared" si="27"/>
        <v>0.14438273804619303</v>
      </c>
      <c r="Z174" s="8">
        <f t="shared" si="28"/>
        <v>5.8676301296024969E-2</v>
      </c>
      <c r="AA174" s="10">
        <f t="shared" si="29"/>
        <v>5.97528445189556E-2</v>
      </c>
    </row>
    <row r="175" spans="1:27" x14ac:dyDescent="0.3">
      <c r="A175" t="s">
        <v>76</v>
      </c>
      <c r="B175" s="11">
        <v>2021</v>
      </c>
      <c r="C175" s="12">
        <v>440.75</v>
      </c>
      <c r="D175" s="12">
        <v>15019.928</v>
      </c>
      <c r="E175" s="12">
        <v>8480.0190000000002</v>
      </c>
      <c r="F175" s="12">
        <v>4397.3450000000003</v>
      </c>
      <c r="G175" s="12">
        <v>23499.947</v>
      </c>
      <c r="H175" s="12">
        <v>14058.376</v>
      </c>
      <c r="I175" s="12">
        <v>9441.5720000000001</v>
      </c>
      <c r="J175" s="12">
        <v>10576.66</v>
      </c>
      <c r="K175" s="5">
        <v>1.8347155481044399E-2</v>
      </c>
      <c r="L175" s="5">
        <v>2.5537285264813078E-2</v>
      </c>
      <c r="M175" s="8">
        <v>7.8100000000000003E-2</v>
      </c>
      <c r="N175" s="12">
        <v>23159.782592592601</v>
      </c>
      <c r="O175" s="3">
        <f t="shared" si="22"/>
        <v>27</v>
      </c>
      <c r="P175" s="13">
        <v>1995</v>
      </c>
      <c r="Q175" s="14">
        <v>124.27</v>
      </c>
      <c r="R175" s="14">
        <v>171.88</v>
      </c>
      <c r="S175" s="2">
        <f t="shared" si="20"/>
        <v>16.744625219813141</v>
      </c>
      <c r="T175" s="8">
        <f t="shared" si="23"/>
        <v>4.6681844930060376E-2</v>
      </c>
      <c r="U175" s="8">
        <f t="shared" si="24"/>
        <v>1.8755361448261988E-2</v>
      </c>
      <c r="V175" s="9">
        <f t="shared" si="25"/>
        <v>1.4889867916063131</v>
      </c>
      <c r="W175">
        <f t="shared" si="26"/>
        <v>1.4201012417908867</v>
      </c>
      <c r="X175">
        <f t="shared" si="21"/>
        <v>9.5231270718918548</v>
      </c>
      <c r="Y175" s="8">
        <f t="shared" si="27"/>
        <v>0.18712148584845745</v>
      </c>
      <c r="Z175" s="8">
        <f t="shared" si="28"/>
        <v>5.8676301296024969E-2</v>
      </c>
      <c r="AA175" s="10">
        <f t="shared" si="29"/>
        <v>5.97528445189556E-2</v>
      </c>
    </row>
    <row r="176" spans="1:27" x14ac:dyDescent="0.3">
      <c r="A176" t="s">
        <v>77</v>
      </c>
      <c r="B176" s="11">
        <v>2021</v>
      </c>
      <c r="C176" s="12">
        <v>158.68899999999999</v>
      </c>
      <c r="D176" s="12">
        <v>490.517</v>
      </c>
      <c r="E176" s="12">
        <v>446.58100000000002</v>
      </c>
      <c r="F176" s="12">
        <v>377.97899999999998</v>
      </c>
      <c r="G176" s="12">
        <v>937.09799999999996</v>
      </c>
      <c r="H176" s="12">
        <v>383.005</v>
      </c>
      <c r="I176" s="12">
        <v>554.09400000000005</v>
      </c>
      <c r="J176" s="12">
        <v>357</v>
      </c>
      <c r="K176" s="5">
        <v>1.8347155481044399E-2</v>
      </c>
      <c r="L176" s="5">
        <v>2.5537285264813078E-2</v>
      </c>
      <c r="M176" s="8">
        <v>7.8100000000000003E-2</v>
      </c>
      <c r="N176" s="12">
        <v>23159.782592592601</v>
      </c>
      <c r="O176" s="3">
        <f t="shared" si="22"/>
        <v>14</v>
      </c>
      <c r="P176" s="13">
        <v>2008</v>
      </c>
      <c r="Q176" s="14">
        <v>124.27</v>
      </c>
      <c r="R176" s="14">
        <v>171.88</v>
      </c>
      <c r="S176" s="2">
        <f t="shared" si="20"/>
        <v>16.744625219813141</v>
      </c>
      <c r="T176" s="8">
        <f t="shared" si="23"/>
        <v>0.28639364439968668</v>
      </c>
      <c r="U176" s="8">
        <f t="shared" si="24"/>
        <v>0.16934088003602613</v>
      </c>
      <c r="V176" s="9">
        <f t="shared" si="25"/>
        <v>0.69122748125769262</v>
      </c>
      <c r="W176">
        <f t="shared" si="26"/>
        <v>1.3739971988795519</v>
      </c>
      <c r="X176">
        <f t="shared" si="21"/>
        <v>6.3011614929648534</v>
      </c>
      <c r="Y176" s="8">
        <f t="shared" si="27"/>
        <v>0.403350556718721</v>
      </c>
      <c r="Z176" s="8">
        <f t="shared" si="28"/>
        <v>5.8676301296024969E-2</v>
      </c>
      <c r="AA176" s="10">
        <f t="shared" si="29"/>
        <v>5.97528445189556E-2</v>
      </c>
    </row>
    <row r="177" spans="1:27" x14ac:dyDescent="0.3">
      <c r="A177" t="s">
        <v>78</v>
      </c>
      <c r="B177" s="11">
        <v>2021</v>
      </c>
      <c r="C177" s="12">
        <v>40.045000000000002</v>
      </c>
      <c r="D177" s="12">
        <v>507.041</v>
      </c>
      <c r="E177" s="12">
        <v>728.33</v>
      </c>
      <c r="F177" s="12">
        <v>54.462000000000003</v>
      </c>
      <c r="G177" s="12">
        <v>1235.3710000000001</v>
      </c>
      <c r="H177" s="12">
        <v>802.779</v>
      </c>
      <c r="I177" s="12">
        <v>432.59300000000002</v>
      </c>
      <c r="J177" s="12">
        <v>514.73</v>
      </c>
      <c r="K177" s="5">
        <v>1.8347155481044399E-2</v>
      </c>
      <c r="L177" s="5">
        <v>2.5537285264813078E-2</v>
      </c>
      <c r="M177" s="8">
        <v>7.8100000000000003E-2</v>
      </c>
      <c r="N177" s="12">
        <v>23159.782592592601</v>
      </c>
      <c r="O177" s="3">
        <f t="shared" si="22"/>
        <v>62</v>
      </c>
      <c r="P177" s="13">
        <v>1960</v>
      </c>
      <c r="Q177" s="14">
        <v>124.27</v>
      </c>
      <c r="R177" s="14">
        <v>171.88</v>
      </c>
      <c r="S177" s="2">
        <f t="shared" si="20"/>
        <v>16.744625219813141</v>
      </c>
      <c r="T177" s="8">
        <f t="shared" si="23"/>
        <v>9.256969021690134E-2</v>
      </c>
      <c r="U177" s="8">
        <f t="shared" si="24"/>
        <v>3.2415363481901389E-2</v>
      </c>
      <c r="V177" s="9">
        <f t="shared" si="25"/>
        <v>1.8557373790144547</v>
      </c>
      <c r="W177">
        <f t="shared" si="26"/>
        <v>0.9850620713772269</v>
      </c>
      <c r="X177">
        <f t="shared" si="21"/>
        <v>6.5775002358891692</v>
      </c>
      <c r="Y177" s="8">
        <f t="shared" si="27"/>
        <v>4.4085541914129438E-2</v>
      </c>
      <c r="Z177" s="8">
        <f t="shared" si="28"/>
        <v>5.8676301296024969E-2</v>
      </c>
      <c r="AA177" s="10">
        <f t="shared" si="29"/>
        <v>5.97528445189556E-2</v>
      </c>
    </row>
    <row r="178" spans="1:27" x14ac:dyDescent="0.3">
      <c r="A178" t="s">
        <v>79</v>
      </c>
      <c r="B178" s="11">
        <v>2021</v>
      </c>
      <c r="C178" s="12">
        <v>54.447000000000003</v>
      </c>
      <c r="D178" s="12">
        <v>324.65800000000002</v>
      </c>
      <c r="E178" s="12">
        <v>189.774</v>
      </c>
      <c r="F178" s="12">
        <v>70.882000000000005</v>
      </c>
      <c r="G178" s="12">
        <v>514.43200000000002</v>
      </c>
      <c r="H178" s="12">
        <v>140.80099999999999</v>
      </c>
      <c r="I178" s="12">
        <v>373.63099999999997</v>
      </c>
      <c r="J178" s="12">
        <v>140.80000000000001</v>
      </c>
      <c r="K178" s="5">
        <v>1.8347155481044399E-2</v>
      </c>
      <c r="L178" s="5">
        <v>2.5537285264813078E-2</v>
      </c>
      <c r="M178" s="8">
        <v>7.8100000000000003E-2</v>
      </c>
      <c r="N178" s="12">
        <v>23159.782592592601</v>
      </c>
      <c r="O178" s="3">
        <f t="shared" si="22"/>
        <v>46</v>
      </c>
      <c r="P178" s="13">
        <v>1976</v>
      </c>
      <c r="Q178" s="14">
        <v>124.27</v>
      </c>
      <c r="R178" s="14">
        <v>171.88</v>
      </c>
      <c r="S178" s="2">
        <f t="shared" si="20"/>
        <v>16.744625219813141</v>
      </c>
      <c r="T178" s="8">
        <f t="shared" si="23"/>
        <v>0.14572398971177447</v>
      </c>
      <c r="U178" s="8">
        <f t="shared" si="24"/>
        <v>0.10583906133366509</v>
      </c>
      <c r="V178" s="9">
        <f t="shared" si="25"/>
        <v>0.37684506906546833</v>
      </c>
      <c r="W178">
        <f t="shared" si="26"/>
        <v>2.305809659090909</v>
      </c>
      <c r="X178">
        <f t="shared" si="21"/>
        <v>5.7014370064679785</v>
      </c>
      <c r="Y178" s="8">
        <f t="shared" si="27"/>
        <v>0.13778691838765864</v>
      </c>
      <c r="Z178" s="8">
        <f t="shared" si="28"/>
        <v>5.8676301296024969E-2</v>
      </c>
      <c r="AA178" s="10">
        <f t="shared" si="29"/>
        <v>5.97528445189556E-2</v>
      </c>
    </row>
    <row r="179" spans="1:27" x14ac:dyDescent="0.3">
      <c r="A179" t="s">
        <v>80</v>
      </c>
      <c r="B179" s="11">
        <v>2021</v>
      </c>
      <c r="C179" s="12">
        <v>278.48</v>
      </c>
      <c r="D179" s="12">
        <v>986.23</v>
      </c>
      <c r="E179" s="12">
        <v>984.90899999999999</v>
      </c>
      <c r="F179" s="12">
        <v>806.745</v>
      </c>
      <c r="G179" s="12">
        <v>1971.14</v>
      </c>
      <c r="H179" s="12">
        <v>712.14599999999996</v>
      </c>
      <c r="I179" s="12">
        <v>1258.9929999999999</v>
      </c>
      <c r="J179" s="12">
        <v>711.87</v>
      </c>
      <c r="K179" s="5">
        <v>1.8347155481044399E-2</v>
      </c>
      <c r="L179" s="5">
        <v>2.5537285264813078E-2</v>
      </c>
      <c r="M179" s="8">
        <v>7.8100000000000003E-2</v>
      </c>
      <c r="N179" s="12">
        <v>23159.782592592601</v>
      </c>
      <c r="O179" s="3">
        <f t="shared" si="22"/>
        <v>22</v>
      </c>
      <c r="P179" s="13">
        <v>2000</v>
      </c>
      <c r="Q179" s="14">
        <v>124.27</v>
      </c>
      <c r="R179" s="14">
        <v>171.88</v>
      </c>
      <c r="S179" s="2">
        <f t="shared" si="20"/>
        <v>16.744625219813141</v>
      </c>
      <c r="T179" s="8">
        <f t="shared" si="23"/>
        <v>0.22119265158741949</v>
      </c>
      <c r="U179" s="8">
        <f t="shared" si="24"/>
        <v>0.14127865093296266</v>
      </c>
      <c r="V179" s="9">
        <f t="shared" si="25"/>
        <v>0.56564730701441546</v>
      </c>
      <c r="W179">
        <f t="shared" si="26"/>
        <v>1.3854074479890992</v>
      </c>
      <c r="X179">
        <f t="shared" si="21"/>
        <v>7.0447409616455543</v>
      </c>
      <c r="Y179" s="8">
        <f t="shared" si="27"/>
        <v>0.40927838712623149</v>
      </c>
      <c r="Z179" s="8">
        <f t="shared" si="28"/>
        <v>5.8676301296024969E-2</v>
      </c>
      <c r="AA179" s="10">
        <f t="shared" si="29"/>
        <v>5.97528445189556E-2</v>
      </c>
    </row>
    <row r="180" spans="1:27" x14ac:dyDescent="0.3">
      <c r="A180" t="s">
        <v>81</v>
      </c>
      <c r="B180" s="11">
        <v>2021</v>
      </c>
      <c r="C180" s="12">
        <v>211.32900000000001</v>
      </c>
      <c r="D180" s="12">
        <v>2103.4209999999998</v>
      </c>
      <c r="E180" s="12">
        <v>2325.5889999999999</v>
      </c>
      <c r="F180" s="12">
        <v>497.80799999999999</v>
      </c>
      <c r="G180" s="12">
        <v>4429.01</v>
      </c>
      <c r="H180" s="12">
        <v>2559.0059999999999</v>
      </c>
      <c r="I180" s="12">
        <v>1870.0039999999999</v>
      </c>
      <c r="J180" s="12">
        <v>2148.56</v>
      </c>
      <c r="K180" s="5">
        <v>1.8347155481044399E-2</v>
      </c>
      <c r="L180" s="5">
        <v>2.5537285264813078E-2</v>
      </c>
      <c r="M180" s="8">
        <v>7.8100000000000003E-2</v>
      </c>
      <c r="N180" s="12">
        <v>23159.782592592601</v>
      </c>
      <c r="O180" s="3">
        <f t="shared" si="22"/>
        <v>40</v>
      </c>
      <c r="P180" s="13">
        <v>1982</v>
      </c>
      <c r="Q180" s="14">
        <v>124.27</v>
      </c>
      <c r="R180" s="14">
        <v>171.88</v>
      </c>
      <c r="S180" s="2">
        <f t="shared" si="20"/>
        <v>16.744625219813141</v>
      </c>
      <c r="T180" s="8">
        <f t="shared" si="23"/>
        <v>0.11300991869536109</v>
      </c>
      <c r="U180" s="8">
        <f t="shared" si="24"/>
        <v>4.7714726315813243E-2</v>
      </c>
      <c r="V180" s="9">
        <f t="shared" si="25"/>
        <v>1.3684494792524509</v>
      </c>
      <c r="W180">
        <f t="shared" si="26"/>
        <v>0.9789910451651338</v>
      </c>
      <c r="X180">
        <f t="shared" si="21"/>
        <v>7.8543049888479608</v>
      </c>
      <c r="Y180" s="8">
        <f t="shared" si="27"/>
        <v>0.11239712712321714</v>
      </c>
      <c r="Z180" s="8">
        <f t="shared" si="28"/>
        <v>5.8676301296024969E-2</v>
      </c>
      <c r="AA180" s="10">
        <f t="shared" si="29"/>
        <v>5.97528445189556E-2</v>
      </c>
    </row>
    <row r="181" spans="1:27" x14ac:dyDescent="0.3">
      <c r="A181" t="s">
        <v>82</v>
      </c>
      <c r="B181" s="11">
        <v>2021</v>
      </c>
      <c r="C181" s="12">
        <v>143.65899999999999</v>
      </c>
      <c r="D181" s="12">
        <v>2351.2600000000002</v>
      </c>
      <c r="E181" s="12">
        <v>1255.1310000000001</v>
      </c>
      <c r="F181" s="12">
        <v>927.71699999999998</v>
      </c>
      <c r="G181" s="12">
        <v>3606.3910000000001</v>
      </c>
      <c r="H181" s="12">
        <v>1897.856</v>
      </c>
      <c r="I181" s="12">
        <v>1708.5350000000001</v>
      </c>
      <c r="J181" s="12">
        <v>1757.42</v>
      </c>
      <c r="K181" s="5">
        <v>1.8347155481044399E-2</v>
      </c>
      <c r="L181" s="5">
        <v>2.5537285264813078E-2</v>
      </c>
      <c r="M181" s="8">
        <v>7.8100000000000003E-2</v>
      </c>
      <c r="N181" s="12">
        <v>23159.782592592601</v>
      </c>
      <c r="O181" s="3">
        <f t="shared" si="22"/>
        <v>46</v>
      </c>
      <c r="P181" s="13">
        <v>1976</v>
      </c>
      <c r="Q181" s="14">
        <v>124.27</v>
      </c>
      <c r="R181" s="14">
        <v>171.88</v>
      </c>
      <c r="S181" s="2">
        <f t="shared" si="20"/>
        <v>16.744625219813141</v>
      </c>
      <c r="T181" s="8">
        <f t="shared" si="23"/>
        <v>8.4083147257738342E-2</v>
      </c>
      <c r="U181" s="8">
        <f t="shared" si="24"/>
        <v>3.9834560367968973E-2</v>
      </c>
      <c r="V181" s="9">
        <f t="shared" si="25"/>
        <v>1.1108089679169579</v>
      </c>
      <c r="W181">
        <f t="shared" si="26"/>
        <v>1.3379044280820749</v>
      </c>
      <c r="X181">
        <f t="shared" si="21"/>
        <v>7.6488364553601977</v>
      </c>
      <c r="Y181" s="8">
        <f t="shared" si="27"/>
        <v>0.25724248979104042</v>
      </c>
      <c r="Z181" s="8">
        <f t="shared" si="28"/>
        <v>5.8676301296024969E-2</v>
      </c>
      <c r="AA181" s="10">
        <f t="shared" si="29"/>
        <v>5.97528445189556E-2</v>
      </c>
    </row>
    <row r="182" spans="1:27" x14ac:dyDescent="0.3">
      <c r="A182" t="s">
        <v>83</v>
      </c>
      <c r="B182" s="11">
        <v>2021</v>
      </c>
      <c r="C182" s="12">
        <v>276.70699999999999</v>
      </c>
      <c r="D182" s="12">
        <v>1867.454</v>
      </c>
      <c r="E182" s="12">
        <v>578.68499999999995</v>
      </c>
      <c r="F182" s="12">
        <v>445.54399999999998</v>
      </c>
      <c r="G182" s="12">
        <v>2446.1390000000001</v>
      </c>
      <c r="H182" s="12">
        <v>620.55999999999995</v>
      </c>
      <c r="I182" s="12">
        <v>1825.578</v>
      </c>
      <c r="J182" s="12">
        <v>578.29999999999995</v>
      </c>
      <c r="K182" s="5">
        <v>1.8347155481044399E-2</v>
      </c>
      <c r="L182" s="5">
        <v>2.5537285264813078E-2</v>
      </c>
      <c r="M182" s="8">
        <v>7.8100000000000003E-2</v>
      </c>
      <c r="N182" s="12">
        <v>23159.782592592601</v>
      </c>
      <c r="O182" s="3">
        <f t="shared" si="22"/>
        <v>41</v>
      </c>
      <c r="P182" s="13">
        <v>1981</v>
      </c>
      <c r="Q182" s="14">
        <v>124.27</v>
      </c>
      <c r="R182" s="14">
        <v>171.88</v>
      </c>
      <c r="S182" s="2">
        <f t="shared" si="20"/>
        <v>16.744625219813141</v>
      </c>
      <c r="T182" s="8">
        <f t="shared" si="23"/>
        <v>0.15157226916625857</v>
      </c>
      <c r="U182" s="8">
        <f t="shared" si="24"/>
        <v>0.11311990038178532</v>
      </c>
      <c r="V182" s="9">
        <f t="shared" si="25"/>
        <v>0.33992521820486443</v>
      </c>
      <c r="W182">
        <f t="shared" si="26"/>
        <v>3.2292132111360887</v>
      </c>
      <c r="X182">
        <f t="shared" si="21"/>
        <v>7.2606397691872209</v>
      </c>
      <c r="Y182" s="8">
        <f t="shared" si="27"/>
        <v>0.18214173438222439</v>
      </c>
      <c r="Z182" s="8">
        <f t="shared" si="28"/>
        <v>5.8676301296024969E-2</v>
      </c>
      <c r="AA182" s="10">
        <f t="shared" si="29"/>
        <v>5.97528445189556E-2</v>
      </c>
    </row>
    <row r="183" spans="1:27" x14ac:dyDescent="0.3">
      <c r="A183" t="s">
        <v>84</v>
      </c>
      <c r="B183" s="11">
        <v>2021</v>
      </c>
      <c r="C183" s="12">
        <v>41.365000000000002</v>
      </c>
      <c r="D183" s="12">
        <v>2726.7310000000002</v>
      </c>
      <c r="E183" s="12">
        <v>394.04</v>
      </c>
      <c r="F183" s="12">
        <v>310.77999999999997</v>
      </c>
      <c r="G183" s="12">
        <v>3120.7710000000002</v>
      </c>
      <c r="H183" s="12">
        <v>2661.9650000000001</v>
      </c>
      <c r="I183" s="12">
        <v>458.80599999999998</v>
      </c>
      <c r="J183" s="12">
        <v>2597.12</v>
      </c>
      <c r="K183" s="5">
        <v>1.8347155481044399E-2</v>
      </c>
      <c r="L183" s="5">
        <v>2.5537285264813078E-2</v>
      </c>
      <c r="M183" s="8">
        <v>7.8100000000000003E-2</v>
      </c>
      <c r="N183" s="12">
        <v>23159.782592592601</v>
      </c>
      <c r="O183" s="3">
        <f t="shared" si="22"/>
        <v>46</v>
      </c>
      <c r="P183" s="13">
        <v>1976</v>
      </c>
      <c r="Q183" s="14">
        <v>124.27</v>
      </c>
      <c r="R183" s="14">
        <v>171.88</v>
      </c>
      <c r="S183" s="2">
        <f t="shared" si="20"/>
        <v>16.744625219813141</v>
      </c>
      <c r="T183" s="8">
        <f t="shared" si="23"/>
        <v>9.0157931674825539E-2</v>
      </c>
      <c r="U183" s="8">
        <f t="shared" si="24"/>
        <v>1.3254737370989412E-2</v>
      </c>
      <c r="V183" s="9">
        <f t="shared" si="25"/>
        <v>5.8019402536148181</v>
      </c>
      <c r="W183">
        <f t="shared" si="26"/>
        <v>1.0499056647363234</v>
      </c>
      <c r="X183">
        <f t="shared" si="21"/>
        <v>7.5042089927414635</v>
      </c>
      <c r="Y183" s="8">
        <f t="shared" si="27"/>
        <v>9.9584365530184668E-2</v>
      </c>
      <c r="Z183" s="8">
        <f t="shared" si="28"/>
        <v>5.8676301296024969E-2</v>
      </c>
      <c r="AA183" s="10">
        <f t="shared" si="29"/>
        <v>5.97528445189556E-2</v>
      </c>
    </row>
    <row r="184" spans="1:27" x14ac:dyDescent="0.3">
      <c r="A184" t="s">
        <v>85</v>
      </c>
      <c r="B184" s="11">
        <v>2021</v>
      </c>
      <c r="C184" s="12">
        <v>87.850999999999999</v>
      </c>
      <c r="D184" s="12">
        <v>856.83299999999997</v>
      </c>
      <c r="E184" s="12">
        <v>533.95500000000004</v>
      </c>
      <c r="F184" s="12">
        <v>434.32</v>
      </c>
      <c r="G184" s="12">
        <v>1390.788</v>
      </c>
      <c r="H184" s="12">
        <v>761.34299999999996</v>
      </c>
      <c r="I184" s="12">
        <v>629.44500000000005</v>
      </c>
      <c r="J184" s="12">
        <v>694.22</v>
      </c>
      <c r="K184" s="5">
        <v>1.8347155481044399E-2</v>
      </c>
      <c r="L184" s="5">
        <v>2.5537285264813078E-2</v>
      </c>
      <c r="M184" s="8">
        <v>7.8100000000000003E-2</v>
      </c>
      <c r="N184" s="12">
        <v>23159.782592592601</v>
      </c>
      <c r="O184" s="3">
        <f t="shared" si="22"/>
        <v>62</v>
      </c>
      <c r="P184" s="13">
        <v>1960</v>
      </c>
      <c r="Q184" s="14">
        <v>124.27</v>
      </c>
      <c r="R184" s="14">
        <v>171.88</v>
      </c>
      <c r="S184" s="2">
        <f t="shared" si="20"/>
        <v>16.744625219813141</v>
      </c>
      <c r="T184" s="8">
        <f t="shared" si="23"/>
        <v>0.13956898537600584</v>
      </c>
      <c r="U184" s="8">
        <f t="shared" si="24"/>
        <v>6.3166348861221119E-2</v>
      </c>
      <c r="V184" s="9">
        <f t="shared" si="25"/>
        <v>1.2095465052546288</v>
      </c>
      <c r="W184">
        <f t="shared" si="26"/>
        <v>1.2342384258592376</v>
      </c>
      <c r="X184">
        <f t="shared" si="21"/>
        <v>6.6959993990500841</v>
      </c>
      <c r="Y184" s="8">
        <f t="shared" si="27"/>
        <v>0.31228339617540557</v>
      </c>
      <c r="Z184" s="8">
        <f t="shared" si="28"/>
        <v>5.8676301296024969E-2</v>
      </c>
      <c r="AA184" s="10">
        <f t="shared" si="29"/>
        <v>5.97528445189556E-2</v>
      </c>
    </row>
    <row r="185" spans="1:27" hidden="1" x14ac:dyDescent="0.3">
      <c r="A185" t="s">
        <v>86</v>
      </c>
      <c r="B185" s="11">
        <v>2021</v>
      </c>
      <c r="C185" s="12">
        <v>428.53199999999998</v>
      </c>
      <c r="D185" s="12">
        <v>1496.9880000000001</v>
      </c>
      <c r="E185" s="12">
        <v>448.59</v>
      </c>
      <c r="F185" s="12">
        <v>410.95299999999997</v>
      </c>
      <c r="G185" s="12">
        <v>1945.578</v>
      </c>
      <c r="H185" s="12">
        <v>683.08699999999999</v>
      </c>
      <c r="I185" s="12">
        <v>1262.491</v>
      </c>
      <c r="J185" s="12">
        <v>676.08</v>
      </c>
      <c r="K185" s="5">
        <v>1.8347155481044399E-2</v>
      </c>
      <c r="L185" s="5">
        <v>2.5537285264813078E-2</v>
      </c>
      <c r="M185" s="8">
        <v>7.8100000000000003E-2</v>
      </c>
      <c r="N185" s="12">
        <v>23159.782592592601</v>
      </c>
      <c r="O185" s="3">
        <f t="shared" si="22"/>
        <v>53</v>
      </c>
      <c r="P185" s="13">
        <v>1969</v>
      </c>
      <c r="Q185" s="14">
        <v>124.27</v>
      </c>
      <c r="R185" s="14">
        <v>171.88</v>
      </c>
      <c r="S185" s="2">
        <f t="shared" si="20"/>
        <v>16.744625219813141</v>
      </c>
      <c r="T185" s="8">
        <f t="shared" si="23"/>
        <v>0.33943370685414787</v>
      </c>
      <c r="U185" s="8">
        <f t="shared" si="24"/>
        <v>0.22025948073014806</v>
      </c>
      <c r="V185" s="9">
        <f t="shared" si="25"/>
        <v>0.54106286698281414</v>
      </c>
      <c r="W185">
        <f t="shared" si="26"/>
        <v>2.2142172523961663</v>
      </c>
      <c r="X185">
        <f t="shared" si="21"/>
        <v>7.0316880112234248</v>
      </c>
      <c r="Y185" s="8">
        <f t="shared" si="27"/>
        <v>0.21122411951615405</v>
      </c>
      <c r="Z185" s="8">
        <f t="shared" si="28"/>
        <v>5.8676301296024969E-2</v>
      </c>
      <c r="AA185" s="10">
        <f t="shared" si="29"/>
        <v>5.97528445189556E-2</v>
      </c>
    </row>
    <row r="186" spans="1:27" x14ac:dyDescent="0.3">
      <c r="A186" t="s">
        <v>87</v>
      </c>
      <c r="B186" s="11">
        <v>2021</v>
      </c>
      <c r="C186" s="12">
        <v>1106.5540000000001</v>
      </c>
      <c r="D186" s="12">
        <v>5542.5889999999999</v>
      </c>
      <c r="E186" s="12">
        <v>3195.038</v>
      </c>
      <c r="F186" s="12">
        <v>2066.6889999999999</v>
      </c>
      <c r="G186" s="12">
        <v>8737.6270000000004</v>
      </c>
      <c r="H186" s="12">
        <v>2853.6779999999999</v>
      </c>
      <c r="I186" s="12">
        <v>5883.9489999999996</v>
      </c>
      <c r="J186" s="12">
        <v>2680.07</v>
      </c>
      <c r="K186" s="5">
        <v>1.8347155481044399E-2</v>
      </c>
      <c r="L186" s="5">
        <v>2.5537285264813078E-2</v>
      </c>
      <c r="M186" s="8">
        <v>7.8100000000000003E-2</v>
      </c>
      <c r="N186" s="12">
        <v>23159.782592592601</v>
      </c>
      <c r="O186" s="3">
        <f t="shared" si="22"/>
        <v>25</v>
      </c>
      <c r="P186" s="13">
        <v>1997</v>
      </c>
      <c r="Q186" s="14">
        <v>124.27</v>
      </c>
      <c r="R186" s="14">
        <v>171.88</v>
      </c>
      <c r="S186" s="2">
        <f t="shared" si="20"/>
        <v>16.744625219813141</v>
      </c>
      <c r="T186" s="8">
        <f t="shared" si="23"/>
        <v>0.18806315282474409</v>
      </c>
      <c r="U186" s="8">
        <f t="shared" si="24"/>
        <v>0.12664239386735093</v>
      </c>
      <c r="V186" s="9">
        <f t="shared" si="25"/>
        <v>0.48499366666842286</v>
      </c>
      <c r="W186">
        <f t="shared" si="26"/>
        <v>2.0680762069647431</v>
      </c>
      <c r="X186">
        <f t="shared" si="21"/>
        <v>8.533767548567802</v>
      </c>
      <c r="Y186" s="8">
        <f t="shared" si="27"/>
        <v>0.23652749196091796</v>
      </c>
      <c r="Z186" s="8">
        <f t="shared" si="28"/>
        <v>5.8676301296024969E-2</v>
      </c>
      <c r="AA186" s="10">
        <f t="shared" si="29"/>
        <v>5.97528445189556E-2</v>
      </c>
    </row>
    <row r="187" spans="1:27" x14ac:dyDescent="0.3">
      <c r="A187" t="s">
        <v>88</v>
      </c>
      <c r="B187" s="11">
        <v>2021</v>
      </c>
      <c r="C187" s="12">
        <v>10632.536</v>
      </c>
      <c r="D187" s="12">
        <v>36109.911</v>
      </c>
      <c r="E187" s="12">
        <v>17222.492999999999</v>
      </c>
      <c r="F187" s="12">
        <v>12706.599</v>
      </c>
      <c r="G187" s="12">
        <v>53332.402999999998</v>
      </c>
      <c r="H187" s="12">
        <v>17482.289000000001</v>
      </c>
      <c r="I187" s="12">
        <v>35850.114000000001</v>
      </c>
      <c r="J187" s="12">
        <v>17068.419999999998</v>
      </c>
      <c r="K187" s="5">
        <v>1.8347155481044399E-2</v>
      </c>
      <c r="L187" s="5">
        <v>2.5537285264813078E-2</v>
      </c>
      <c r="M187" s="8">
        <v>7.8100000000000003E-2</v>
      </c>
      <c r="N187" s="12">
        <v>23159.782592592601</v>
      </c>
      <c r="O187" s="3">
        <f t="shared" si="22"/>
        <v>46</v>
      </c>
      <c r="P187" s="13">
        <v>1976</v>
      </c>
      <c r="Q187" s="14">
        <v>124.27</v>
      </c>
      <c r="R187" s="14">
        <v>171.88</v>
      </c>
      <c r="S187" s="2">
        <f t="shared" si="20"/>
        <v>16.744625219813141</v>
      </c>
      <c r="T187" s="8">
        <f t="shared" si="23"/>
        <v>0.2965830457331321</v>
      </c>
      <c r="U187" s="8">
        <f t="shared" si="24"/>
        <v>0.1993635276475354</v>
      </c>
      <c r="V187" s="9">
        <f t="shared" si="25"/>
        <v>0.48764946744660281</v>
      </c>
      <c r="W187">
        <f t="shared" si="26"/>
        <v>2.1155977530433399</v>
      </c>
      <c r="X187">
        <f t="shared" si="21"/>
        <v>10.342672988727008</v>
      </c>
      <c r="Y187" s="8">
        <f t="shared" si="27"/>
        <v>0.23825288727380239</v>
      </c>
      <c r="Z187" s="8">
        <f t="shared" si="28"/>
        <v>5.8676301296024969E-2</v>
      </c>
      <c r="AA187" s="10">
        <f t="shared" si="29"/>
        <v>5.97528445189556E-2</v>
      </c>
    </row>
    <row r="188" spans="1:27" x14ac:dyDescent="0.3">
      <c r="A188" s="2" t="s">
        <v>27</v>
      </c>
      <c r="B188" s="3">
        <v>2020</v>
      </c>
      <c r="C188" s="4">
        <v>-11.967000000000001</v>
      </c>
      <c r="D188" s="4">
        <v>171.28200000000001</v>
      </c>
      <c r="E188" s="4">
        <v>39.536999999999999</v>
      </c>
      <c r="F188" s="4">
        <v>28.661000000000001</v>
      </c>
      <c r="G188" s="4">
        <v>210.81899999999999</v>
      </c>
      <c r="H188" s="4">
        <v>16.718</v>
      </c>
      <c r="I188" s="4">
        <v>194.101</v>
      </c>
      <c r="J188" s="4">
        <v>15.5</v>
      </c>
      <c r="K188" s="5">
        <v>3.2209343665251404E-2</v>
      </c>
      <c r="L188" s="5">
        <v>2.8654132091227212E-2</v>
      </c>
      <c r="M188" s="5">
        <v>7.6499999999999999E-2</v>
      </c>
      <c r="N188" s="4">
        <v>23208.368333333299</v>
      </c>
      <c r="O188" s="3">
        <f t="shared" si="22"/>
        <v>42</v>
      </c>
      <c r="P188" s="6">
        <v>1979</v>
      </c>
      <c r="Q188" s="7">
        <v>118.69</v>
      </c>
      <c r="R188" s="7">
        <v>168.78</v>
      </c>
      <c r="S188" s="2">
        <f t="shared" si="20"/>
        <v>16.320661437867813</v>
      </c>
      <c r="T188" s="8">
        <f t="shared" si="23"/>
        <v>-6.1653469070226327E-2</v>
      </c>
      <c r="U188" s="8">
        <f t="shared" si="24"/>
        <v>-5.6764333385510797E-2</v>
      </c>
      <c r="V188" s="9">
        <f t="shared" si="25"/>
        <v>8.6130416638760227E-2</v>
      </c>
      <c r="W188">
        <f t="shared" si="26"/>
        <v>11.050451612903226</v>
      </c>
      <c r="X188">
        <f t="shared" si="21"/>
        <v>4.8275740396910836</v>
      </c>
      <c r="Y188" s="8">
        <f t="shared" si="27"/>
        <v>0.13595074447749017</v>
      </c>
      <c r="Z188" s="8">
        <f t="shared" si="28"/>
        <v>4.2908598538236253E-2</v>
      </c>
      <c r="AA188" s="10">
        <f t="shared" si="29"/>
        <v>4.4290656334748595E-2</v>
      </c>
    </row>
    <row r="189" spans="1:27" x14ac:dyDescent="0.3">
      <c r="A189" t="s">
        <v>28</v>
      </c>
      <c r="B189" s="11">
        <v>2020</v>
      </c>
      <c r="C189" s="12">
        <v>14.038</v>
      </c>
      <c r="D189" s="12">
        <v>172.57499999999999</v>
      </c>
      <c r="E189" s="12">
        <v>407.28800000000001</v>
      </c>
      <c r="F189" s="12">
        <v>297.48</v>
      </c>
      <c r="G189" s="12">
        <v>579.86400000000003</v>
      </c>
      <c r="H189" s="12">
        <v>154.93</v>
      </c>
      <c r="I189" s="12">
        <v>424.93400000000003</v>
      </c>
      <c r="J189" s="12">
        <v>92.18</v>
      </c>
      <c r="K189" s="5">
        <v>3.2209343665251404E-2</v>
      </c>
      <c r="L189" s="5">
        <v>2.8654132091227212E-2</v>
      </c>
      <c r="M189" s="8">
        <v>7.6499999999999999E-2</v>
      </c>
      <c r="N189" s="12">
        <v>23208.368333333299</v>
      </c>
      <c r="O189" s="3">
        <f t="shared" si="22"/>
        <v>26</v>
      </c>
      <c r="P189" s="13">
        <v>1995</v>
      </c>
      <c r="Q189" s="14">
        <v>118.69</v>
      </c>
      <c r="R189" s="14">
        <v>168.78</v>
      </c>
      <c r="S189" s="2">
        <f t="shared" si="20"/>
        <v>16.320661437867813</v>
      </c>
      <c r="T189" s="8">
        <f t="shared" si="23"/>
        <v>3.3035718488047552E-2</v>
      </c>
      <c r="U189" s="8">
        <f t="shared" si="24"/>
        <v>2.4209124898252003E-2</v>
      </c>
      <c r="V189" s="9">
        <f t="shared" si="25"/>
        <v>0.36459779636367057</v>
      </c>
      <c r="W189">
        <f t="shared" si="26"/>
        <v>1.8721523106964633</v>
      </c>
      <c r="X189">
        <f t="shared" si="21"/>
        <v>5.8393676875447351</v>
      </c>
      <c r="Y189" s="8">
        <f t="shared" si="27"/>
        <v>0.51301684532924963</v>
      </c>
      <c r="Z189" s="8">
        <f t="shared" si="28"/>
        <v>4.2908598538236253E-2</v>
      </c>
      <c r="AA189" s="10">
        <f t="shared" si="29"/>
        <v>4.4290656334748595E-2</v>
      </c>
    </row>
    <row r="190" spans="1:27" x14ac:dyDescent="0.3">
      <c r="A190" t="s">
        <v>29</v>
      </c>
      <c r="B190" s="11">
        <v>2020</v>
      </c>
      <c r="C190" s="12">
        <v>47.91</v>
      </c>
      <c r="D190" s="12">
        <v>864.48500000000001</v>
      </c>
      <c r="E190" s="12">
        <v>305.61099999999999</v>
      </c>
      <c r="F190" s="12">
        <v>15.265000000000001</v>
      </c>
      <c r="G190" s="12">
        <v>1170.096</v>
      </c>
      <c r="H190" s="12">
        <v>734.81</v>
      </c>
      <c r="I190" s="12">
        <v>435.286</v>
      </c>
      <c r="J190" s="12">
        <v>734.52</v>
      </c>
      <c r="K190" s="5">
        <v>3.2209343665251404E-2</v>
      </c>
      <c r="L190" s="5">
        <v>2.8654132091227212E-2</v>
      </c>
      <c r="M190" s="8">
        <v>7.6499999999999999E-2</v>
      </c>
      <c r="N190" s="12">
        <v>23208.368333333299</v>
      </c>
      <c r="O190" s="3">
        <f t="shared" si="22"/>
        <v>46</v>
      </c>
      <c r="P190" s="13">
        <v>1975</v>
      </c>
      <c r="Q190" s="14">
        <v>118.69</v>
      </c>
      <c r="R190" s="14">
        <v>168.78</v>
      </c>
      <c r="S190" s="2">
        <f t="shared" si="20"/>
        <v>16.320661437867813</v>
      </c>
      <c r="T190" s="8">
        <f t="shared" si="23"/>
        <v>0.11006556608758379</v>
      </c>
      <c r="U190" s="8">
        <f t="shared" si="24"/>
        <v>4.0945358329572953E-2</v>
      </c>
      <c r="V190" s="9">
        <f t="shared" si="25"/>
        <v>1.6881085079694729</v>
      </c>
      <c r="W190">
        <f t="shared" si="26"/>
        <v>1.1769386810434026</v>
      </c>
      <c r="X190">
        <f t="shared" si="21"/>
        <v>6.5414151699661014</v>
      </c>
      <c r="Y190" s="8">
        <f t="shared" si="27"/>
        <v>1.3045938111060973E-2</v>
      </c>
      <c r="Z190" s="8">
        <f t="shared" si="28"/>
        <v>4.2908598538236253E-2</v>
      </c>
      <c r="AA190" s="10">
        <f t="shared" si="29"/>
        <v>4.4290656334748595E-2</v>
      </c>
    </row>
    <row r="191" spans="1:27" x14ac:dyDescent="0.3">
      <c r="A191" t="s">
        <v>30</v>
      </c>
      <c r="B191" s="11">
        <v>2020</v>
      </c>
      <c r="C191" s="12">
        <v>14.288</v>
      </c>
      <c r="D191" s="12">
        <v>258.32</v>
      </c>
      <c r="E191" s="12">
        <v>285.35500000000002</v>
      </c>
      <c r="F191" s="12">
        <v>64.001000000000005</v>
      </c>
      <c r="G191" s="12">
        <v>543.67499999999995</v>
      </c>
      <c r="H191" s="12">
        <v>132.99199999999999</v>
      </c>
      <c r="I191" s="12">
        <v>410.68299999999999</v>
      </c>
      <c r="J191" s="12">
        <v>128.44</v>
      </c>
      <c r="K191" s="5">
        <v>3.2209343665251404E-2</v>
      </c>
      <c r="L191" s="5">
        <v>2.8654132091227212E-2</v>
      </c>
      <c r="M191" s="8">
        <v>7.6499999999999999E-2</v>
      </c>
      <c r="N191" s="12">
        <v>23208.368333333299</v>
      </c>
      <c r="O191" s="3">
        <f t="shared" si="22"/>
        <v>44</v>
      </c>
      <c r="P191" s="13">
        <v>1977</v>
      </c>
      <c r="Q191" s="14">
        <v>118.69</v>
      </c>
      <c r="R191" s="14">
        <v>168.78</v>
      </c>
      <c r="S191" s="2">
        <f t="shared" si="20"/>
        <v>16.320661437867813</v>
      </c>
      <c r="T191" s="8">
        <f t="shared" si="23"/>
        <v>3.4790824066250614E-2</v>
      </c>
      <c r="U191" s="8">
        <f t="shared" si="24"/>
        <v>2.628040649284959E-2</v>
      </c>
      <c r="V191" s="9">
        <f t="shared" si="25"/>
        <v>0.32383127619112551</v>
      </c>
      <c r="W191">
        <f t="shared" si="26"/>
        <v>2.0112114606041733</v>
      </c>
      <c r="X191">
        <f t="shared" si="21"/>
        <v>5.7749257361133219</v>
      </c>
      <c r="Y191" s="8">
        <f t="shared" si="27"/>
        <v>0.11771922564031823</v>
      </c>
      <c r="Z191" s="8">
        <f t="shared" si="28"/>
        <v>4.2908598538236253E-2</v>
      </c>
      <c r="AA191" s="10">
        <f t="shared" si="29"/>
        <v>4.4290656334748595E-2</v>
      </c>
    </row>
    <row r="192" spans="1:27" x14ac:dyDescent="0.3">
      <c r="A192" t="s">
        <v>31</v>
      </c>
      <c r="B192" s="11">
        <v>2020</v>
      </c>
      <c r="C192" s="12">
        <v>28.183</v>
      </c>
      <c r="D192" s="12">
        <v>1320.454</v>
      </c>
      <c r="E192" s="12">
        <v>339.08800000000002</v>
      </c>
      <c r="F192" s="12">
        <v>322.25799999999998</v>
      </c>
      <c r="G192" s="12">
        <v>1659.5419999999999</v>
      </c>
      <c r="H192" s="12">
        <v>965.08199999999999</v>
      </c>
      <c r="I192" s="12">
        <v>694.46</v>
      </c>
      <c r="J192" s="12">
        <v>965.08</v>
      </c>
      <c r="K192" s="5">
        <v>3.2209343665251404E-2</v>
      </c>
      <c r="L192" s="5">
        <v>2.8654132091227212E-2</v>
      </c>
      <c r="M192" s="8">
        <v>7.6499999999999999E-2</v>
      </c>
      <c r="N192" s="12">
        <v>23208.368333333299</v>
      </c>
      <c r="O192" s="3">
        <f t="shared" si="22"/>
        <v>18</v>
      </c>
      <c r="P192" s="13">
        <v>2003</v>
      </c>
      <c r="Q192" s="14">
        <v>118.69</v>
      </c>
      <c r="R192" s="14">
        <v>168.78</v>
      </c>
      <c r="S192" s="2">
        <f t="shared" si="20"/>
        <v>16.320661437867813</v>
      </c>
      <c r="T192" s="8">
        <f t="shared" si="23"/>
        <v>4.0582610949514729E-2</v>
      </c>
      <c r="U192" s="8">
        <f t="shared" si="24"/>
        <v>1.6982396347908039E-2</v>
      </c>
      <c r="V192" s="9">
        <f t="shared" si="25"/>
        <v>1.3896869510122973</v>
      </c>
      <c r="W192">
        <f t="shared" si="26"/>
        <v>1.3682326853732332</v>
      </c>
      <c r="X192">
        <f t="shared" si="21"/>
        <v>6.8908710339259978</v>
      </c>
      <c r="Y192" s="8">
        <f t="shared" si="27"/>
        <v>0.19418490161743421</v>
      </c>
      <c r="Z192" s="8">
        <f t="shared" si="28"/>
        <v>4.2908598538236253E-2</v>
      </c>
      <c r="AA192" s="10">
        <f t="shared" si="29"/>
        <v>4.4290656334748595E-2</v>
      </c>
    </row>
    <row r="193" spans="1:27" x14ac:dyDescent="0.3">
      <c r="A193" t="s">
        <v>32</v>
      </c>
      <c r="B193" s="11">
        <v>2020</v>
      </c>
      <c r="C193" s="12">
        <v>24.442</v>
      </c>
      <c r="D193" s="12">
        <v>1519.0889999999999</v>
      </c>
      <c r="E193" s="12">
        <v>318.80200000000002</v>
      </c>
      <c r="F193" s="12">
        <v>273.85000000000002</v>
      </c>
      <c r="G193" s="12">
        <v>1837.8910000000001</v>
      </c>
      <c r="H193" s="12">
        <v>1415.7470000000001</v>
      </c>
      <c r="I193" s="12">
        <v>422.14400000000001</v>
      </c>
      <c r="J193" s="12">
        <v>1317.85</v>
      </c>
      <c r="K193" s="5">
        <v>3.2209343665251404E-2</v>
      </c>
      <c r="L193" s="5">
        <v>2.8654132091227212E-2</v>
      </c>
      <c r="M193" s="8">
        <v>7.6499999999999999E-2</v>
      </c>
      <c r="N193" s="12">
        <v>23208.368333333299</v>
      </c>
      <c r="O193" s="3">
        <f t="shared" si="22"/>
        <v>15</v>
      </c>
      <c r="P193" s="13">
        <v>2006</v>
      </c>
      <c r="Q193" s="14">
        <v>118.69</v>
      </c>
      <c r="R193" s="14">
        <v>168.78</v>
      </c>
      <c r="S193" s="2">
        <f t="shared" si="20"/>
        <v>16.320661437867813</v>
      </c>
      <c r="T193" s="8">
        <f t="shared" si="23"/>
        <v>5.7899674044875685E-2</v>
      </c>
      <c r="U193" s="8">
        <f t="shared" si="24"/>
        <v>1.3298938838048611E-2</v>
      </c>
      <c r="V193" s="9">
        <f t="shared" si="25"/>
        <v>3.3537063182231659</v>
      </c>
      <c r="W193">
        <f t="shared" si="26"/>
        <v>1.1527025078726714</v>
      </c>
      <c r="X193">
        <f t="shared" si="21"/>
        <v>6.9929480918245162</v>
      </c>
      <c r="Y193" s="8">
        <f t="shared" si="27"/>
        <v>0.14900230753619231</v>
      </c>
      <c r="Z193" s="8">
        <f t="shared" si="28"/>
        <v>4.2908598538236253E-2</v>
      </c>
      <c r="AA193" s="10">
        <f t="shared" si="29"/>
        <v>4.4290656334748595E-2</v>
      </c>
    </row>
    <row r="194" spans="1:27" hidden="1" x14ac:dyDescent="0.3">
      <c r="A194" t="s">
        <v>33</v>
      </c>
      <c r="B194" s="11">
        <v>2020</v>
      </c>
      <c r="C194" s="12">
        <v>24.753</v>
      </c>
      <c r="D194" s="12">
        <v>580.87699999999995</v>
      </c>
      <c r="E194" s="12">
        <v>177.72900000000001</v>
      </c>
      <c r="F194" s="12">
        <v>120.036</v>
      </c>
      <c r="G194" s="12">
        <v>758.60599999999999</v>
      </c>
      <c r="H194" s="12">
        <v>319.66000000000003</v>
      </c>
      <c r="I194" s="12">
        <v>438.94600000000003</v>
      </c>
      <c r="J194" s="12">
        <v>315.63</v>
      </c>
      <c r="K194" s="5">
        <v>3.2209343665251404E-2</v>
      </c>
      <c r="L194" s="5">
        <v>2.8654132091227212E-2</v>
      </c>
      <c r="M194" s="8">
        <v>7.6499999999999999E-2</v>
      </c>
      <c r="N194" s="12">
        <v>23208.368333333299</v>
      </c>
      <c r="O194" s="3">
        <f t="shared" si="22"/>
        <v>45</v>
      </c>
      <c r="P194" s="13">
        <v>1976</v>
      </c>
      <c r="Q194" s="14">
        <v>118.69</v>
      </c>
      <c r="R194" s="14">
        <v>168.78</v>
      </c>
      <c r="S194" s="2">
        <f t="shared" ref="S194:S257" si="30">N194*Q194/(R194*1000)</f>
        <v>16.320661437867813</v>
      </c>
      <c r="T194" s="8">
        <f t="shared" si="23"/>
        <v>5.639190242079891E-2</v>
      </c>
      <c r="U194" s="8">
        <f t="shared" si="24"/>
        <v>3.2629586372899769E-2</v>
      </c>
      <c r="V194" s="9">
        <f t="shared" si="25"/>
        <v>0.72824447654153357</v>
      </c>
      <c r="W194">
        <f t="shared" si="26"/>
        <v>1.8403732218103475</v>
      </c>
      <c r="X194">
        <f t="shared" ref="X194:X257" si="31">LN(100*G194/R194)</f>
        <v>6.1080566327884087</v>
      </c>
      <c r="Y194" s="8">
        <f t="shared" si="27"/>
        <v>0.15823233668070119</v>
      </c>
      <c r="Z194" s="8">
        <f t="shared" si="28"/>
        <v>4.2908598538236253E-2</v>
      </c>
      <c r="AA194" s="10">
        <f t="shared" si="29"/>
        <v>4.4290656334748595E-2</v>
      </c>
    </row>
    <row r="195" spans="1:27" x14ac:dyDescent="0.3">
      <c r="A195" t="s">
        <v>34</v>
      </c>
      <c r="B195" s="11">
        <v>2020</v>
      </c>
      <c r="C195" s="12">
        <v>202.17</v>
      </c>
      <c r="D195" s="12">
        <v>2783.81</v>
      </c>
      <c r="E195" s="12">
        <v>2050.27</v>
      </c>
      <c r="F195" s="12">
        <v>1019.1130000000001</v>
      </c>
      <c r="G195" s="12">
        <v>4834.08</v>
      </c>
      <c r="H195" s="12">
        <v>2500.105</v>
      </c>
      <c r="I195" s="12">
        <v>2333.9740000000002</v>
      </c>
      <c r="J195" s="12">
        <v>2338.9899999999998</v>
      </c>
      <c r="K195" s="5">
        <v>3.2209343665251404E-2</v>
      </c>
      <c r="L195" s="5">
        <v>2.8654132091227212E-2</v>
      </c>
      <c r="M195" s="8">
        <v>7.6499999999999999E-2</v>
      </c>
      <c r="N195" s="12">
        <v>23208.368333333299</v>
      </c>
      <c r="O195" s="3">
        <f t="shared" ref="O195:O258" si="32">B195-P195+1</f>
        <v>28</v>
      </c>
      <c r="P195" s="13">
        <v>1993</v>
      </c>
      <c r="Q195" s="14">
        <v>118.69</v>
      </c>
      <c r="R195" s="14">
        <v>168.78</v>
      </c>
      <c r="S195" s="2">
        <f t="shared" si="30"/>
        <v>16.320661437867813</v>
      </c>
      <c r="T195" s="8">
        <f t="shared" ref="T195:T258" si="33">C195/I195</f>
        <v>8.6620502199253283E-2</v>
      </c>
      <c r="U195" s="8">
        <f t="shared" ref="U195:U258" si="34">C195/G195</f>
        <v>4.1821815112699827E-2</v>
      </c>
      <c r="V195" s="9">
        <f t="shared" ref="V195:V258" si="35">H195/I195</f>
        <v>1.0711794561550385</v>
      </c>
      <c r="W195">
        <f t="shared" ref="W195:W258" si="36">D195/J195</f>
        <v>1.1901761016507126</v>
      </c>
      <c r="X195">
        <f t="shared" si="31"/>
        <v>7.9600202048262148</v>
      </c>
      <c r="Y195" s="8">
        <f t="shared" ref="Y195:Y258" si="37">F195/G195</f>
        <v>0.21081839770959523</v>
      </c>
      <c r="Z195" s="8">
        <f t="shared" ref="Z195:Z258" si="38">(M195+1)/(K195+1)-1</f>
        <v>4.2908598538236253E-2</v>
      </c>
      <c r="AA195" s="10">
        <f t="shared" ref="AA195:AA258" si="39">M195-K195</f>
        <v>4.4290656334748595E-2</v>
      </c>
    </row>
    <row r="196" spans="1:27" x14ac:dyDescent="0.3">
      <c r="A196" t="s">
        <v>35</v>
      </c>
      <c r="B196" s="11">
        <v>2020</v>
      </c>
      <c r="C196" s="12">
        <v>572.35699999999997</v>
      </c>
      <c r="D196" s="12">
        <v>8321.8220000000001</v>
      </c>
      <c r="E196" s="12">
        <v>9282.7729999999992</v>
      </c>
      <c r="F196" s="12">
        <v>6957.4539999999997</v>
      </c>
      <c r="G196" s="12">
        <v>17604.595000000001</v>
      </c>
      <c r="H196" s="12">
        <v>10732.486999999999</v>
      </c>
      <c r="I196" s="12">
        <v>6872.1090000000004</v>
      </c>
      <c r="J196" s="12">
        <v>6533.71</v>
      </c>
      <c r="K196" s="5">
        <v>3.2209343665251404E-2</v>
      </c>
      <c r="L196" s="5">
        <v>2.8654132091227212E-2</v>
      </c>
      <c r="M196" s="8">
        <v>7.6499999999999999E-2</v>
      </c>
      <c r="N196" s="12">
        <v>23208.368333333299</v>
      </c>
      <c r="O196" s="3">
        <f t="shared" si="32"/>
        <v>24</v>
      </c>
      <c r="P196" s="13">
        <v>1997</v>
      </c>
      <c r="Q196" s="14">
        <v>118.69</v>
      </c>
      <c r="R196" s="14">
        <v>168.78</v>
      </c>
      <c r="S196" s="2">
        <f t="shared" si="30"/>
        <v>16.320661437867813</v>
      </c>
      <c r="T196" s="8">
        <f t="shared" si="33"/>
        <v>8.3286950192437273E-2</v>
      </c>
      <c r="U196" s="8">
        <f t="shared" si="34"/>
        <v>3.2511795926006816E-2</v>
      </c>
      <c r="V196" s="9">
        <f t="shared" si="35"/>
        <v>1.5617457464658955</v>
      </c>
      <c r="W196">
        <f t="shared" si="36"/>
        <v>1.2736748340529347</v>
      </c>
      <c r="X196">
        <f t="shared" si="31"/>
        <v>9.2524893207546342</v>
      </c>
      <c r="Y196" s="8">
        <f t="shared" si="37"/>
        <v>0.39520670597647939</v>
      </c>
      <c r="Z196" s="8">
        <f t="shared" si="38"/>
        <v>4.2908598538236253E-2</v>
      </c>
      <c r="AA196" s="10">
        <f t="shared" si="39"/>
        <v>4.4290656334748595E-2</v>
      </c>
    </row>
    <row r="197" spans="1:27" x14ac:dyDescent="0.3">
      <c r="A197" t="s">
        <v>36</v>
      </c>
      <c r="B197" s="11">
        <v>2020</v>
      </c>
      <c r="C197" s="12">
        <v>45.826999999999998</v>
      </c>
      <c r="D197" s="12">
        <v>4665.3860000000004</v>
      </c>
      <c r="E197" s="12">
        <v>580.447</v>
      </c>
      <c r="F197" s="12">
        <v>213.768</v>
      </c>
      <c r="G197" s="12">
        <v>5245.8329999999996</v>
      </c>
      <c r="H197" s="12">
        <v>4680.2439999999997</v>
      </c>
      <c r="I197" s="12">
        <v>565.58799999999997</v>
      </c>
      <c r="J197" s="12">
        <v>4615.93</v>
      </c>
      <c r="K197" s="5">
        <v>3.2209343665251404E-2</v>
      </c>
      <c r="L197" s="5">
        <v>2.8654132091227212E-2</v>
      </c>
      <c r="M197" s="8">
        <v>7.6499999999999999E-2</v>
      </c>
      <c r="N197" s="12">
        <v>23208.368333333299</v>
      </c>
      <c r="O197" s="3">
        <f t="shared" si="32"/>
        <v>4</v>
      </c>
      <c r="P197" s="13">
        <v>2017</v>
      </c>
      <c r="Q197" s="14">
        <v>118.69</v>
      </c>
      <c r="R197" s="14">
        <v>168.78</v>
      </c>
      <c r="S197" s="2">
        <f t="shared" si="30"/>
        <v>16.320661437867813</v>
      </c>
      <c r="T197" s="8">
        <f t="shared" si="33"/>
        <v>8.1025410722999777E-2</v>
      </c>
      <c r="U197" s="8">
        <f t="shared" si="34"/>
        <v>8.7358861786107182E-3</v>
      </c>
      <c r="V197" s="9">
        <f t="shared" si="35"/>
        <v>8.2750058346358131</v>
      </c>
      <c r="W197">
        <f t="shared" si="36"/>
        <v>1.0107142006052952</v>
      </c>
      <c r="X197">
        <f t="shared" si="31"/>
        <v>8.041763420400267</v>
      </c>
      <c r="Y197" s="8">
        <f t="shared" si="37"/>
        <v>4.0750058189042621E-2</v>
      </c>
      <c r="Z197" s="8">
        <f t="shared" si="38"/>
        <v>4.2908598538236253E-2</v>
      </c>
      <c r="AA197" s="10">
        <f t="shared" si="39"/>
        <v>4.4290656334748595E-2</v>
      </c>
    </row>
    <row r="198" spans="1:27" x14ac:dyDescent="0.3">
      <c r="A198" t="s">
        <v>37</v>
      </c>
      <c r="B198" s="11">
        <v>2020</v>
      </c>
      <c r="C198" s="12">
        <v>96.616</v>
      </c>
      <c r="D198" s="12">
        <v>717.59</v>
      </c>
      <c r="E198" s="12">
        <v>825.51199999999994</v>
      </c>
      <c r="F198" s="12">
        <v>474.71899999999999</v>
      </c>
      <c r="G198" s="12">
        <v>1543.1020000000001</v>
      </c>
      <c r="H198" s="12">
        <v>447.38</v>
      </c>
      <c r="I198" s="12">
        <v>1095.722</v>
      </c>
      <c r="J198" s="12">
        <v>430.84</v>
      </c>
      <c r="K198" s="5">
        <v>3.2209343665251404E-2</v>
      </c>
      <c r="L198" s="5">
        <v>2.8654132091227212E-2</v>
      </c>
      <c r="M198" s="8">
        <v>7.6499999999999999E-2</v>
      </c>
      <c r="N198" s="12">
        <v>23208.368333333299</v>
      </c>
      <c r="O198" s="3">
        <f t="shared" si="32"/>
        <v>22</v>
      </c>
      <c r="P198" s="13">
        <v>1999</v>
      </c>
      <c r="Q198" s="14">
        <v>118.69</v>
      </c>
      <c r="R198" s="14">
        <v>168.78</v>
      </c>
      <c r="S198" s="2">
        <f t="shared" si="30"/>
        <v>16.320661437867813</v>
      </c>
      <c r="T198" s="8">
        <f t="shared" si="33"/>
        <v>8.8175650393074151E-2</v>
      </c>
      <c r="U198" s="8">
        <f t="shared" si="34"/>
        <v>6.2611544797427518E-2</v>
      </c>
      <c r="V198" s="9">
        <f t="shared" si="35"/>
        <v>0.40829699504071287</v>
      </c>
      <c r="W198">
        <f t="shared" si="36"/>
        <v>1.6655603008077247</v>
      </c>
      <c r="X198">
        <f t="shared" si="31"/>
        <v>6.8181240494268716</v>
      </c>
      <c r="Y198" s="8">
        <f t="shared" si="37"/>
        <v>0.30763941722582172</v>
      </c>
      <c r="Z198" s="8">
        <f t="shared" si="38"/>
        <v>4.2908598538236253E-2</v>
      </c>
      <c r="AA198" s="10">
        <f t="shared" si="39"/>
        <v>4.4290656334748595E-2</v>
      </c>
    </row>
    <row r="199" spans="1:27" x14ac:dyDescent="0.3">
      <c r="A199" t="s">
        <v>38</v>
      </c>
      <c r="B199" s="11">
        <v>2020</v>
      </c>
      <c r="C199" s="12">
        <v>660.58900000000006</v>
      </c>
      <c r="D199" s="12">
        <v>4500.7629999999999</v>
      </c>
      <c r="E199" s="12">
        <v>3183.319</v>
      </c>
      <c r="F199" s="12">
        <v>2556.0210000000002</v>
      </c>
      <c r="G199" s="12">
        <v>7684.0829999999996</v>
      </c>
      <c r="H199" s="12">
        <v>1948.5450000000001</v>
      </c>
      <c r="I199" s="12">
        <v>5735.5379999999996</v>
      </c>
      <c r="J199" s="12">
        <v>1746.19</v>
      </c>
      <c r="K199" s="5">
        <v>3.2209343665251404E-2</v>
      </c>
      <c r="L199" s="5">
        <v>2.8654132091227212E-2</v>
      </c>
      <c r="M199" s="8">
        <v>7.6499999999999999E-2</v>
      </c>
      <c r="N199" s="12">
        <v>23208.368333333299</v>
      </c>
      <c r="O199" s="3">
        <f t="shared" si="32"/>
        <v>131</v>
      </c>
      <c r="P199" s="13">
        <v>1890</v>
      </c>
      <c r="Q199" s="14">
        <v>118.69</v>
      </c>
      <c r="R199" s="14">
        <v>168.78</v>
      </c>
      <c r="S199" s="2">
        <f t="shared" si="30"/>
        <v>16.320661437867813</v>
      </c>
      <c r="T199" s="8">
        <f t="shared" si="33"/>
        <v>0.11517472292921782</v>
      </c>
      <c r="U199" s="8">
        <f t="shared" si="34"/>
        <v>8.5968488367447374E-2</v>
      </c>
      <c r="V199" s="9">
        <f t="shared" si="35"/>
        <v>0.33973186124823868</v>
      </c>
      <c r="W199">
        <f t="shared" si="36"/>
        <v>2.5774761051202901</v>
      </c>
      <c r="X199">
        <f t="shared" si="31"/>
        <v>8.4234804197541795</v>
      </c>
      <c r="Y199" s="8">
        <f t="shared" si="37"/>
        <v>0.33263839029328551</v>
      </c>
      <c r="Z199" s="8">
        <f t="shared" si="38"/>
        <v>4.2908598538236253E-2</v>
      </c>
      <c r="AA199" s="10">
        <f t="shared" si="39"/>
        <v>4.4290656334748595E-2</v>
      </c>
    </row>
    <row r="200" spans="1:27" x14ac:dyDescent="0.3">
      <c r="A200" t="s">
        <v>39</v>
      </c>
      <c r="B200" s="11">
        <v>2020</v>
      </c>
      <c r="C200" s="12">
        <v>20.152999999999999</v>
      </c>
      <c r="D200" s="12">
        <v>326.72500000000002</v>
      </c>
      <c r="E200" s="12">
        <v>124.03</v>
      </c>
      <c r="F200" s="12">
        <v>41.908999999999999</v>
      </c>
      <c r="G200" s="12">
        <v>450.755</v>
      </c>
      <c r="H200" s="12">
        <v>73.227000000000004</v>
      </c>
      <c r="I200" s="12">
        <v>377.52800000000002</v>
      </c>
      <c r="J200" s="12">
        <v>67.11</v>
      </c>
      <c r="K200" s="5">
        <v>3.2209343665251404E-2</v>
      </c>
      <c r="L200" s="5">
        <v>2.8654132091227212E-2</v>
      </c>
      <c r="M200" s="8">
        <v>7.6499999999999999E-2</v>
      </c>
      <c r="N200" s="12">
        <v>23208.368333333299</v>
      </c>
      <c r="O200" s="3">
        <f t="shared" si="32"/>
        <v>6</v>
      </c>
      <c r="P200" s="13">
        <v>2015</v>
      </c>
      <c r="Q200" s="14">
        <v>118.69</v>
      </c>
      <c r="R200" s="14">
        <v>168.78</v>
      </c>
      <c r="S200" s="2">
        <f t="shared" si="30"/>
        <v>16.320661437867813</v>
      </c>
      <c r="T200" s="8">
        <f t="shared" si="33"/>
        <v>5.3381471043207382E-2</v>
      </c>
      <c r="U200" s="8">
        <f t="shared" si="34"/>
        <v>4.4709431953056537E-2</v>
      </c>
      <c r="V200" s="9">
        <f t="shared" si="35"/>
        <v>0.19396442118200505</v>
      </c>
      <c r="W200">
        <f t="shared" si="36"/>
        <v>4.8684994784681868</v>
      </c>
      <c r="X200">
        <f t="shared" si="31"/>
        <v>5.5874980489035799</v>
      </c>
      <c r="Y200" s="8">
        <f t="shared" si="37"/>
        <v>9.2975119521691379E-2</v>
      </c>
      <c r="Z200" s="8">
        <f t="shared" si="38"/>
        <v>4.2908598538236253E-2</v>
      </c>
      <c r="AA200" s="10">
        <f t="shared" si="39"/>
        <v>4.4290656334748595E-2</v>
      </c>
    </row>
    <row r="201" spans="1:27" x14ac:dyDescent="0.3">
      <c r="A201" t="s">
        <v>40</v>
      </c>
      <c r="B201" s="11">
        <v>2020</v>
      </c>
      <c r="C201" s="12">
        <v>128.94800000000001</v>
      </c>
      <c r="D201" s="12">
        <v>839.01599999999996</v>
      </c>
      <c r="E201" s="12">
        <v>72.603999999999999</v>
      </c>
      <c r="F201" s="12">
        <v>58.948</v>
      </c>
      <c r="G201" s="12">
        <v>911.62</v>
      </c>
      <c r="H201" s="12">
        <v>180.982</v>
      </c>
      <c r="I201" s="12">
        <v>730.63800000000003</v>
      </c>
      <c r="J201" s="12">
        <v>180.48</v>
      </c>
      <c r="K201" s="5">
        <v>3.2209343665251404E-2</v>
      </c>
      <c r="L201" s="5">
        <v>2.8654132091227212E-2</v>
      </c>
      <c r="M201" s="8">
        <v>7.6499999999999999E-2</v>
      </c>
      <c r="N201" s="12">
        <v>23208.368333333299</v>
      </c>
      <c r="O201" s="3">
        <f t="shared" si="32"/>
        <v>29</v>
      </c>
      <c r="P201" s="13">
        <v>1992</v>
      </c>
      <c r="Q201" s="14">
        <v>118.69</v>
      </c>
      <c r="R201" s="14">
        <v>168.78</v>
      </c>
      <c r="S201" s="2">
        <f t="shared" si="30"/>
        <v>16.320661437867813</v>
      </c>
      <c r="T201" s="8">
        <f t="shared" si="33"/>
        <v>0.17648685121770288</v>
      </c>
      <c r="U201" s="8">
        <f t="shared" si="34"/>
        <v>0.1414492880805599</v>
      </c>
      <c r="V201" s="9">
        <f t="shared" si="35"/>
        <v>0.24770406138197026</v>
      </c>
      <c r="W201">
        <f t="shared" si="36"/>
        <v>4.6488031914893622</v>
      </c>
      <c r="X201">
        <f t="shared" si="31"/>
        <v>6.2917973308362596</v>
      </c>
      <c r="Y201" s="8">
        <f t="shared" si="37"/>
        <v>6.4662907790526761E-2</v>
      </c>
      <c r="Z201" s="8">
        <f t="shared" si="38"/>
        <v>4.2908598538236253E-2</v>
      </c>
      <c r="AA201" s="10">
        <f t="shared" si="39"/>
        <v>4.4290656334748595E-2</v>
      </c>
    </row>
    <row r="202" spans="1:27" x14ac:dyDescent="0.3">
      <c r="A202" t="s">
        <v>41</v>
      </c>
      <c r="B202" s="11">
        <v>2020</v>
      </c>
      <c r="C202" s="12">
        <v>60.145000000000003</v>
      </c>
      <c r="D202" s="12">
        <v>929.79700000000003</v>
      </c>
      <c r="E202" s="12">
        <v>562.87099999999998</v>
      </c>
      <c r="F202" s="12">
        <v>341.59399999999999</v>
      </c>
      <c r="G202" s="12">
        <v>1492.6679999999999</v>
      </c>
      <c r="H202" s="12">
        <v>934.97400000000005</v>
      </c>
      <c r="I202" s="12">
        <v>557.69399999999996</v>
      </c>
      <c r="J202" s="12">
        <v>902.69</v>
      </c>
      <c r="K202" s="5">
        <v>3.2209343665251404E-2</v>
      </c>
      <c r="L202" s="5">
        <v>2.8654132091227212E-2</v>
      </c>
      <c r="M202" s="8">
        <v>7.6499999999999999E-2</v>
      </c>
      <c r="N202" s="12">
        <v>23208.368333333299</v>
      </c>
      <c r="O202" s="3">
        <f t="shared" si="32"/>
        <v>44</v>
      </c>
      <c r="P202" s="13">
        <v>1977</v>
      </c>
      <c r="Q202" s="14">
        <v>118.69</v>
      </c>
      <c r="R202" s="14">
        <v>168.78</v>
      </c>
      <c r="S202" s="2">
        <f t="shared" si="30"/>
        <v>16.320661437867813</v>
      </c>
      <c r="T202" s="8">
        <f t="shared" si="33"/>
        <v>0.10784587964008938</v>
      </c>
      <c r="U202" s="8">
        <f t="shared" si="34"/>
        <v>4.0293621890467278E-2</v>
      </c>
      <c r="V202" s="9">
        <f t="shared" si="35"/>
        <v>1.6765000161378822</v>
      </c>
      <c r="W202">
        <f t="shared" si="36"/>
        <v>1.0300291351405244</v>
      </c>
      <c r="X202">
        <f t="shared" si="31"/>
        <v>6.7848944960043802</v>
      </c>
      <c r="Y202" s="8">
        <f t="shared" si="37"/>
        <v>0.22884794207419198</v>
      </c>
      <c r="Z202" s="8">
        <f t="shared" si="38"/>
        <v>4.2908598538236253E-2</v>
      </c>
      <c r="AA202" s="10">
        <f t="shared" si="39"/>
        <v>4.4290656334748595E-2</v>
      </c>
    </row>
    <row r="203" spans="1:27" x14ac:dyDescent="0.3">
      <c r="A203" t="s">
        <v>42</v>
      </c>
      <c r="B203" s="11">
        <v>2020</v>
      </c>
      <c r="C203" s="12">
        <v>90.661000000000001</v>
      </c>
      <c r="D203" s="12">
        <v>2255.6570000000002</v>
      </c>
      <c r="E203" s="12">
        <v>1557.5920000000001</v>
      </c>
      <c r="F203" s="12">
        <v>1470.7090000000001</v>
      </c>
      <c r="G203" s="12">
        <v>3813.25</v>
      </c>
      <c r="H203" s="12">
        <v>2537.8029999999999</v>
      </c>
      <c r="I203" s="12">
        <v>1275.4469999999999</v>
      </c>
      <c r="J203" s="12">
        <v>2179.9</v>
      </c>
      <c r="K203" s="5">
        <v>3.2209343665251404E-2</v>
      </c>
      <c r="L203" s="5">
        <v>2.8654132091227212E-2</v>
      </c>
      <c r="M203" s="8">
        <v>7.6499999999999999E-2</v>
      </c>
      <c r="N203" s="12">
        <v>23208.368333333299</v>
      </c>
      <c r="O203" s="3">
        <f t="shared" si="32"/>
        <v>45</v>
      </c>
      <c r="P203" s="13">
        <v>1976</v>
      </c>
      <c r="Q203" s="14">
        <v>118.69</v>
      </c>
      <c r="R203" s="14">
        <v>168.78</v>
      </c>
      <c r="S203" s="2">
        <f t="shared" si="30"/>
        <v>16.320661437867813</v>
      </c>
      <c r="T203" s="8">
        <f t="shared" si="33"/>
        <v>7.1081746242689828E-2</v>
      </c>
      <c r="U203" s="8">
        <f t="shared" si="34"/>
        <v>2.3775257326427587E-2</v>
      </c>
      <c r="V203" s="9">
        <f t="shared" si="35"/>
        <v>1.9897361474055764</v>
      </c>
      <c r="W203">
        <f t="shared" si="36"/>
        <v>1.0347525115831002</v>
      </c>
      <c r="X203">
        <f t="shared" si="31"/>
        <v>7.7228112171383136</v>
      </c>
      <c r="Y203" s="8">
        <f t="shared" si="37"/>
        <v>0.38568386546908806</v>
      </c>
      <c r="Z203" s="8">
        <f t="shared" si="38"/>
        <v>4.2908598538236253E-2</v>
      </c>
      <c r="AA203" s="10">
        <f t="shared" si="39"/>
        <v>4.4290656334748595E-2</v>
      </c>
    </row>
    <row r="204" spans="1:27" x14ac:dyDescent="0.3">
      <c r="A204" t="s">
        <v>43</v>
      </c>
      <c r="B204" s="11">
        <v>2020</v>
      </c>
      <c r="C204" s="12">
        <v>1.43</v>
      </c>
      <c r="D204" s="12">
        <v>968.20100000000002</v>
      </c>
      <c r="E204" s="12">
        <v>610.49599999999998</v>
      </c>
      <c r="F204" s="12">
        <v>160.852</v>
      </c>
      <c r="G204" s="12">
        <v>1578.6969999999999</v>
      </c>
      <c r="H204" s="12">
        <v>1046.364</v>
      </c>
      <c r="I204" s="12">
        <v>532.33299999999997</v>
      </c>
      <c r="J204" s="12">
        <v>869.32</v>
      </c>
      <c r="K204" s="5">
        <v>3.2209343665251404E-2</v>
      </c>
      <c r="L204" s="5">
        <v>2.8654132091227212E-2</v>
      </c>
      <c r="M204" s="8">
        <v>7.6499999999999999E-2</v>
      </c>
      <c r="N204" s="12">
        <v>23208.368333333299</v>
      </c>
      <c r="O204" s="3">
        <f t="shared" si="32"/>
        <v>12</v>
      </c>
      <c r="P204" s="13">
        <v>2009</v>
      </c>
      <c r="Q204" s="14">
        <v>118.69</v>
      </c>
      <c r="R204" s="14">
        <v>168.78</v>
      </c>
      <c r="S204" s="2">
        <f t="shared" si="30"/>
        <v>16.320661437867813</v>
      </c>
      <c r="T204" s="8">
        <f t="shared" si="33"/>
        <v>2.6862884698111897E-3</v>
      </c>
      <c r="U204" s="8">
        <f t="shared" si="34"/>
        <v>9.0581029798625075E-4</v>
      </c>
      <c r="V204" s="9">
        <f t="shared" si="35"/>
        <v>1.9656192646332278</v>
      </c>
      <c r="W204">
        <f t="shared" si="36"/>
        <v>1.1137452261537752</v>
      </c>
      <c r="X204">
        <f t="shared" si="31"/>
        <v>6.8409291964964334</v>
      </c>
      <c r="Y204" s="8">
        <f t="shared" si="37"/>
        <v>0.10188908954663245</v>
      </c>
      <c r="Z204" s="8">
        <f t="shared" si="38"/>
        <v>4.2908598538236253E-2</v>
      </c>
      <c r="AA204" s="10">
        <f t="shared" si="39"/>
        <v>4.4290656334748595E-2</v>
      </c>
    </row>
    <row r="205" spans="1:27" x14ac:dyDescent="0.3">
      <c r="A205" t="s">
        <v>44</v>
      </c>
      <c r="B205" s="11">
        <v>2020</v>
      </c>
      <c r="C205" s="12">
        <v>51.920999999999999</v>
      </c>
      <c r="D205" s="12">
        <v>1095.7760000000001</v>
      </c>
      <c r="E205" s="12">
        <v>543.39</v>
      </c>
      <c r="F205" s="12">
        <v>308.07600000000002</v>
      </c>
      <c r="G205" s="12">
        <v>1639.1659999999999</v>
      </c>
      <c r="H205" s="12">
        <v>992.89300000000003</v>
      </c>
      <c r="I205" s="12">
        <v>646.27300000000002</v>
      </c>
      <c r="J205" s="12">
        <v>841.37</v>
      </c>
      <c r="K205" s="5">
        <v>3.2209343665251404E-2</v>
      </c>
      <c r="L205" s="5">
        <v>2.8654132091227212E-2</v>
      </c>
      <c r="M205" s="8">
        <v>7.6499999999999999E-2</v>
      </c>
      <c r="N205" s="12">
        <v>23208.368333333299</v>
      </c>
      <c r="O205" s="3">
        <f t="shared" si="32"/>
        <v>13</v>
      </c>
      <c r="P205" s="13">
        <v>2008</v>
      </c>
      <c r="Q205" s="14">
        <v>118.69</v>
      </c>
      <c r="R205" s="14">
        <v>168.78</v>
      </c>
      <c r="S205" s="2">
        <f t="shared" si="30"/>
        <v>16.320661437867813</v>
      </c>
      <c r="T205" s="8">
        <f t="shared" si="33"/>
        <v>8.033911365630314E-2</v>
      </c>
      <c r="U205" s="8">
        <f t="shared" si="34"/>
        <v>3.1675254367159886E-2</v>
      </c>
      <c r="V205" s="9">
        <f t="shared" si="35"/>
        <v>1.5363368112237399</v>
      </c>
      <c r="W205">
        <f t="shared" si="36"/>
        <v>1.302371132795322</v>
      </c>
      <c r="X205">
        <f t="shared" si="31"/>
        <v>6.8785169491425657</v>
      </c>
      <c r="Y205" s="8">
        <f t="shared" si="37"/>
        <v>0.1879467973347422</v>
      </c>
      <c r="Z205" s="8">
        <f t="shared" si="38"/>
        <v>4.2908598538236253E-2</v>
      </c>
      <c r="AA205" s="10">
        <f t="shared" si="39"/>
        <v>4.4290656334748595E-2</v>
      </c>
    </row>
    <row r="206" spans="1:27" x14ac:dyDescent="0.3">
      <c r="A206" t="s">
        <v>45</v>
      </c>
      <c r="B206" s="11">
        <v>2020</v>
      </c>
      <c r="C206" s="12">
        <v>1400.296</v>
      </c>
      <c r="D206" s="12">
        <v>4653.09</v>
      </c>
      <c r="E206" s="12">
        <v>5448.1809999999996</v>
      </c>
      <c r="F206" s="12">
        <v>4455.4690000000001</v>
      </c>
      <c r="G206" s="12">
        <v>10101.271000000001</v>
      </c>
      <c r="H206" s="12">
        <v>5894.3109999999997</v>
      </c>
      <c r="I206" s="12">
        <v>4206.96</v>
      </c>
      <c r="J206" s="12">
        <v>4254.59</v>
      </c>
      <c r="K206" s="5">
        <v>3.2209343665251404E-2</v>
      </c>
      <c r="L206" s="5">
        <v>2.8654132091227212E-2</v>
      </c>
      <c r="M206" s="8">
        <v>7.6499999999999999E-2</v>
      </c>
      <c r="N206" s="12">
        <v>23208.368333333299</v>
      </c>
      <c r="O206" s="3">
        <f t="shared" si="32"/>
        <v>25</v>
      </c>
      <c r="P206" s="13">
        <v>1996</v>
      </c>
      <c r="Q206" s="14">
        <v>118.69</v>
      </c>
      <c r="R206" s="14">
        <v>168.78</v>
      </c>
      <c r="S206" s="2">
        <f t="shared" si="30"/>
        <v>16.320661437867813</v>
      </c>
      <c r="T206" s="8">
        <f t="shared" si="33"/>
        <v>0.33285222583528251</v>
      </c>
      <c r="U206" s="8">
        <f t="shared" si="34"/>
        <v>0.13862572343618937</v>
      </c>
      <c r="V206" s="9">
        <f t="shared" si="35"/>
        <v>1.4010855819879438</v>
      </c>
      <c r="W206">
        <f t="shared" si="36"/>
        <v>1.0936635492491638</v>
      </c>
      <c r="X206">
        <f t="shared" si="31"/>
        <v>8.6969906307543923</v>
      </c>
      <c r="Y206" s="8">
        <f t="shared" si="37"/>
        <v>0.44108003834368958</v>
      </c>
      <c r="Z206" s="8">
        <f t="shared" si="38"/>
        <v>4.2908598538236253E-2</v>
      </c>
      <c r="AA206" s="10">
        <f t="shared" si="39"/>
        <v>4.4290656334748595E-2</v>
      </c>
    </row>
    <row r="207" spans="1:27" x14ac:dyDescent="0.3">
      <c r="A207" t="s">
        <v>46</v>
      </c>
      <c r="B207" s="11">
        <v>2020</v>
      </c>
      <c r="C207" s="12">
        <v>18.263999999999999</v>
      </c>
      <c r="D207" s="12">
        <v>930.82500000000005</v>
      </c>
      <c r="E207" s="12">
        <v>478.82299999999998</v>
      </c>
      <c r="F207" s="12">
        <v>380.72199999999998</v>
      </c>
      <c r="G207" s="12">
        <v>1409.6489999999999</v>
      </c>
      <c r="H207" s="12">
        <v>486.46100000000001</v>
      </c>
      <c r="I207" s="12">
        <v>923.18799999999999</v>
      </c>
      <c r="J207" s="12">
        <v>432.76</v>
      </c>
      <c r="K207" s="5">
        <v>3.2209343665251404E-2</v>
      </c>
      <c r="L207" s="5">
        <v>2.8654132091227212E-2</v>
      </c>
      <c r="M207" s="8">
        <v>7.6499999999999999E-2</v>
      </c>
      <c r="N207" s="12">
        <v>23208.368333333299</v>
      </c>
      <c r="O207" s="3">
        <f t="shared" si="32"/>
        <v>48</v>
      </c>
      <c r="P207" s="13">
        <v>1973</v>
      </c>
      <c r="Q207" s="14">
        <v>118.69</v>
      </c>
      <c r="R207" s="14">
        <v>168.78</v>
      </c>
      <c r="S207" s="2">
        <f t="shared" si="30"/>
        <v>16.320661437867813</v>
      </c>
      <c r="T207" s="8">
        <f t="shared" si="33"/>
        <v>1.9783619371135673E-2</v>
      </c>
      <c r="U207" s="8">
        <f t="shared" si="34"/>
        <v>1.2956416810142099E-2</v>
      </c>
      <c r="V207" s="9">
        <f t="shared" si="35"/>
        <v>0.52693600870028645</v>
      </c>
      <c r="W207">
        <f t="shared" si="36"/>
        <v>2.1509035030964045</v>
      </c>
      <c r="X207">
        <f t="shared" si="31"/>
        <v>6.7276701104705205</v>
      </c>
      <c r="Y207" s="8">
        <f t="shared" si="37"/>
        <v>0.27008283622376916</v>
      </c>
      <c r="Z207" s="8">
        <f t="shared" si="38"/>
        <v>4.2908598538236253E-2</v>
      </c>
      <c r="AA207" s="10">
        <f t="shared" si="39"/>
        <v>4.4290656334748595E-2</v>
      </c>
    </row>
    <row r="208" spans="1:27" x14ac:dyDescent="0.3">
      <c r="A208" t="s">
        <v>47</v>
      </c>
      <c r="B208" s="11">
        <v>2020</v>
      </c>
      <c r="C208" s="12">
        <v>256.31700000000001</v>
      </c>
      <c r="D208" s="12">
        <v>1311.509</v>
      </c>
      <c r="E208" s="12">
        <v>1119.2</v>
      </c>
      <c r="F208" s="12">
        <v>1063.6010000000001</v>
      </c>
      <c r="G208" s="12">
        <v>2430.71</v>
      </c>
      <c r="H208" s="12">
        <v>743.41700000000003</v>
      </c>
      <c r="I208" s="12">
        <v>1687.2929999999999</v>
      </c>
      <c r="J208" s="12">
        <v>742.18</v>
      </c>
      <c r="K208" s="5">
        <v>3.2209343665251404E-2</v>
      </c>
      <c r="L208" s="5">
        <v>2.8654132091227212E-2</v>
      </c>
      <c r="M208" s="8">
        <v>7.6499999999999999E-2</v>
      </c>
      <c r="N208" s="12">
        <v>23208.368333333299</v>
      </c>
      <c r="O208" s="3">
        <f t="shared" si="32"/>
        <v>46</v>
      </c>
      <c r="P208" s="13">
        <v>1975</v>
      </c>
      <c r="Q208" s="14">
        <v>118.69</v>
      </c>
      <c r="R208" s="14">
        <v>168.78</v>
      </c>
      <c r="S208" s="2">
        <f t="shared" si="30"/>
        <v>16.320661437867813</v>
      </c>
      <c r="T208" s="8">
        <f t="shared" si="33"/>
        <v>0.15191018987217988</v>
      </c>
      <c r="U208" s="8">
        <f t="shared" si="34"/>
        <v>0.10544943658437247</v>
      </c>
      <c r="V208" s="9">
        <f t="shared" si="35"/>
        <v>0.44059745402843492</v>
      </c>
      <c r="W208">
        <f t="shared" si="36"/>
        <v>1.767103667573904</v>
      </c>
      <c r="X208">
        <f t="shared" si="31"/>
        <v>7.2725127689862479</v>
      </c>
      <c r="Y208" s="8">
        <f t="shared" si="37"/>
        <v>0.43756803567681873</v>
      </c>
      <c r="Z208" s="8">
        <f t="shared" si="38"/>
        <v>4.2908598538236253E-2</v>
      </c>
      <c r="AA208" s="10">
        <f t="shared" si="39"/>
        <v>4.4290656334748595E-2</v>
      </c>
    </row>
    <row r="209" spans="1:27" x14ac:dyDescent="0.3">
      <c r="A209" t="s">
        <v>48</v>
      </c>
      <c r="B209" s="11">
        <v>2020</v>
      </c>
      <c r="C209" s="12">
        <v>42.057000000000002</v>
      </c>
      <c r="D209" s="12">
        <v>1087.29</v>
      </c>
      <c r="E209" s="12">
        <v>265.74299999999999</v>
      </c>
      <c r="F209" s="12">
        <v>206.17099999999999</v>
      </c>
      <c r="G209" s="12">
        <v>1353.0329999999999</v>
      </c>
      <c r="H209" s="12">
        <v>408.70600000000002</v>
      </c>
      <c r="I209" s="12">
        <v>944.327</v>
      </c>
      <c r="J209" s="12">
        <v>153.16999999999999</v>
      </c>
      <c r="K209" s="5">
        <v>3.2209343665251404E-2</v>
      </c>
      <c r="L209" s="5">
        <v>2.8654132091227212E-2</v>
      </c>
      <c r="M209" s="8">
        <v>7.6499999999999999E-2</v>
      </c>
      <c r="N209" s="12">
        <v>23208.368333333299</v>
      </c>
      <c r="O209" s="3">
        <f t="shared" si="32"/>
        <v>28</v>
      </c>
      <c r="P209" s="13">
        <v>1993</v>
      </c>
      <c r="Q209" s="14">
        <v>118.69</v>
      </c>
      <c r="R209" s="14">
        <v>168.78</v>
      </c>
      <c r="S209" s="2">
        <f t="shared" si="30"/>
        <v>16.320661437867813</v>
      </c>
      <c r="T209" s="8">
        <f t="shared" si="33"/>
        <v>4.4536479418675945E-2</v>
      </c>
      <c r="U209" s="8">
        <f t="shared" si="34"/>
        <v>3.1083499072084721E-2</v>
      </c>
      <c r="V209" s="9">
        <f t="shared" si="35"/>
        <v>0.43280134953252425</v>
      </c>
      <c r="W209">
        <f t="shared" si="36"/>
        <v>7.0985832734869758</v>
      </c>
      <c r="X209">
        <f t="shared" si="31"/>
        <v>6.6866781123755237</v>
      </c>
      <c r="Y209" s="8">
        <f t="shared" si="37"/>
        <v>0.15237691911431578</v>
      </c>
      <c r="Z209" s="8">
        <f t="shared" si="38"/>
        <v>4.2908598538236253E-2</v>
      </c>
      <c r="AA209" s="10">
        <f t="shared" si="39"/>
        <v>4.4290656334748595E-2</v>
      </c>
    </row>
    <row r="210" spans="1:27" x14ac:dyDescent="0.3">
      <c r="A210" t="s">
        <v>49</v>
      </c>
      <c r="B210" s="11">
        <v>2020</v>
      </c>
      <c r="C210" s="12">
        <v>225.96299999999999</v>
      </c>
      <c r="D210" s="12">
        <v>1221.0060000000001</v>
      </c>
      <c r="E210" s="12">
        <v>490.15499999999997</v>
      </c>
      <c r="F210" s="12">
        <v>307.81799999999998</v>
      </c>
      <c r="G210" s="12">
        <v>1711.162</v>
      </c>
      <c r="H210" s="12">
        <v>630.01400000000001</v>
      </c>
      <c r="I210" s="12">
        <v>1081.1469999999999</v>
      </c>
      <c r="J210" s="12">
        <v>619.65</v>
      </c>
      <c r="K210" s="5">
        <v>3.2209343665251404E-2</v>
      </c>
      <c r="L210" s="5">
        <v>2.8654132091227212E-2</v>
      </c>
      <c r="M210" s="8">
        <v>7.6499999999999999E-2</v>
      </c>
      <c r="N210" s="12">
        <v>23208.368333333299</v>
      </c>
      <c r="O210" s="3">
        <f t="shared" si="32"/>
        <v>25</v>
      </c>
      <c r="P210" s="13">
        <v>1996</v>
      </c>
      <c r="Q210" s="14">
        <v>118.69</v>
      </c>
      <c r="R210" s="14">
        <v>168.78</v>
      </c>
      <c r="S210" s="2">
        <f t="shared" si="30"/>
        <v>16.320661437867813</v>
      </c>
      <c r="T210" s="8">
        <f t="shared" si="33"/>
        <v>0.20900303104018234</v>
      </c>
      <c r="U210" s="8">
        <f t="shared" si="34"/>
        <v>0.13205237142947307</v>
      </c>
      <c r="V210" s="9">
        <f t="shared" si="35"/>
        <v>0.58272741819567553</v>
      </c>
      <c r="W210">
        <f t="shared" si="36"/>
        <v>1.9704768821108694</v>
      </c>
      <c r="X210">
        <f t="shared" si="31"/>
        <v>6.9215020451412794</v>
      </c>
      <c r="Y210" s="8">
        <f t="shared" si="37"/>
        <v>0.1798882864392734</v>
      </c>
      <c r="Z210" s="8">
        <f t="shared" si="38"/>
        <v>4.2908598538236253E-2</v>
      </c>
      <c r="AA210" s="10">
        <f t="shared" si="39"/>
        <v>4.4290656334748595E-2</v>
      </c>
    </row>
    <row r="211" spans="1:27" x14ac:dyDescent="0.3">
      <c r="A211" t="s">
        <v>50</v>
      </c>
      <c r="B211" s="11">
        <v>2020</v>
      </c>
      <c r="C211" s="12">
        <v>79.977000000000004</v>
      </c>
      <c r="D211" s="12">
        <v>296.18099999999998</v>
      </c>
      <c r="E211" s="12">
        <v>102.681</v>
      </c>
      <c r="F211" s="12">
        <v>98.167000000000002</v>
      </c>
      <c r="G211" s="12">
        <v>398.86200000000002</v>
      </c>
      <c r="H211" s="12">
        <v>128.327</v>
      </c>
      <c r="I211" s="12">
        <v>270.53399999999999</v>
      </c>
      <c r="J211" s="12">
        <v>123.93</v>
      </c>
      <c r="K211" s="5">
        <v>3.2209343665251404E-2</v>
      </c>
      <c r="L211" s="5">
        <v>2.8654132091227212E-2</v>
      </c>
      <c r="M211" s="8">
        <v>7.6499999999999999E-2</v>
      </c>
      <c r="N211" s="12">
        <v>23208.368333333299</v>
      </c>
      <c r="O211" s="3">
        <f t="shared" si="32"/>
        <v>30</v>
      </c>
      <c r="P211" s="13">
        <v>1991</v>
      </c>
      <c r="Q211" s="14">
        <v>118.69</v>
      </c>
      <c r="R211" s="14">
        <v>168.78</v>
      </c>
      <c r="S211" s="2">
        <f t="shared" si="30"/>
        <v>16.320661437867813</v>
      </c>
      <c r="T211" s="8">
        <f t="shared" si="33"/>
        <v>0.2956264277318193</v>
      </c>
      <c r="U211" s="8">
        <f t="shared" si="34"/>
        <v>0.20051295936940597</v>
      </c>
      <c r="V211" s="9">
        <f t="shared" si="35"/>
        <v>0.47434703216601243</v>
      </c>
      <c r="W211">
        <f t="shared" si="36"/>
        <v>2.3899055918663761</v>
      </c>
      <c r="X211">
        <f t="shared" si="31"/>
        <v>5.4651895866615039</v>
      </c>
      <c r="Y211" s="8">
        <f t="shared" si="37"/>
        <v>0.24611770487035614</v>
      </c>
      <c r="Z211" s="8">
        <f t="shared" si="38"/>
        <v>4.2908598538236253E-2</v>
      </c>
      <c r="AA211" s="10">
        <f t="shared" si="39"/>
        <v>4.4290656334748595E-2</v>
      </c>
    </row>
    <row r="212" spans="1:27" x14ac:dyDescent="0.3">
      <c r="A212" t="s">
        <v>51</v>
      </c>
      <c r="B212" s="11">
        <v>2020</v>
      </c>
      <c r="C212" s="12">
        <v>309.27699999999999</v>
      </c>
      <c r="D212" s="12">
        <v>2160.5329999999999</v>
      </c>
      <c r="E212" s="12">
        <v>548.029</v>
      </c>
      <c r="F212" s="12">
        <v>185.46199999999999</v>
      </c>
      <c r="G212" s="12">
        <v>2708.5619999999999</v>
      </c>
      <c r="H212" s="12">
        <v>1418.5740000000001</v>
      </c>
      <c r="I212" s="12">
        <v>1289.9880000000001</v>
      </c>
      <c r="J212" s="12">
        <v>1415.97</v>
      </c>
      <c r="K212" s="5">
        <v>3.2209343665251404E-2</v>
      </c>
      <c r="L212" s="5">
        <v>2.8654132091227212E-2</v>
      </c>
      <c r="M212" s="8">
        <v>7.6499999999999999E-2</v>
      </c>
      <c r="N212" s="12">
        <v>23208.368333333299</v>
      </c>
      <c r="O212" s="3">
        <f t="shared" si="32"/>
        <v>39</v>
      </c>
      <c r="P212" s="13">
        <v>1982</v>
      </c>
      <c r="Q212" s="14">
        <v>118.69</v>
      </c>
      <c r="R212" s="14">
        <v>168.78</v>
      </c>
      <c r="S212" s="2">
        <f t="shared" si="30"/>
        <v>16.320661437867813</v>
      </c>
      <c r="T212" s="8">
        <f t="shared" si="33"/>
        <v>0.23975184265279986</v>
      </c>
      <c r="U212" s="8">
        <f t="shared" si="34"/>
        <v>0.11418494389273717</v>
      </c>
      <c r="V212" s="9">
        <f t="shared" si="35"/>
        <v>1.0996799970232281</v>
      </c>
      <c r="W212">
        <f t="shared" si="36"/>
        <v>1.5258324682020099</v>
      </c>
      <c r="X212">
        <f t="shared" si="31"/>
        <v>7.3807472399932532</v>
      </c>
      <c r="Y212" s="8">
        <f t="shared" si="37"/>
        <v>6.847249573759065E-2</v>
      </c>
      <c r="Z212" s="8">
        <f t="shared" si="38"/>
        <v>4.2908598538236253E-2</v>
      </c>
      <c r="AA212" s="10">
        <f t="shared" si="39"/>
        <v>4.4290656334748595E-2</v>
      </c>
    </row>
    <row r="213" spans="1:27" x14ac:dyDescent="0.3">
      <c r="A213" t="s">
        <v>52</v>
      </c>
      <c r="B213" s="11">
        <v>2020</v>
      </c>
      <c r="C213" s="12">
        <v>46.414000000000001</v>
      </c>
      <c r="D213" s="12">
        <v>1011.79</v>
      </c>
      <c r="E213" s="12">
        <v>211.001</v>
      </c>
      <c r="F213" s="12">
        <v>160.91200000000001</v>
      </c>
      <c r="G213" s="12">
        <v>1222.79</v>
      </c>
      <c r="H213" s="12">
        <v>564.36199999999997</v>
      </c>
      <c r="I213" s="12">
        <v>658.428</v>
      </c>
      <c r="J213" s="12">
        <v>547.99</v>
      </c>
      <c r="K213" s="5">
        <v>3.2209343665251404E-2</v>
      </c>
      <c r="L213" s="5">
        <v>2.8654132091227212E-2</v>
      </c>
      <c r="M213" s="8">
        <v>7.6499999999999999E-2</v>
      </c>
      <c r="N213" s="12">
        <v>23208.368333333299</v>
      </c>
      <c r="O213" s="3">
        <f t="shared" si="32"/>
        <v>45</v>
      </c>
      <c r="P213" s="13">
        <v>1976</v>
      </c>
      <c r="Q213" s="14">
        <v>118.69</v>
      </c>
      <c r="R213" s="14">
        <v>168.78</v>
      </c>
      <c r="S213" s="2">
        <f t="shared" si="30"/>
        <v>16.320661437867813</v>
      </c>
      <c r="T213" s="8">
        <f t="shared" si="33"/>
        <v>7.0492141889470075E-2</v>
      </c>
      <c r="U213" s="8">
        <f t="shared" si="34"/>
        <v>3.7957457944536678E-2</v>
      </c>
      <c r="V213" s="9">
        <f t="shared" si="35"/>
        <v>0.85713548026511621</v>
      </c>
      <c r="W213">
        <f t="shared" si="36"/>
        <v>1.8463658095950655</v>
      </c>
      <c r="X213">
        <f t="shared" si="31"/>
        <v>6.58546450628927</v>
      </c>
      <c r="Y213" s="8">
        <f t="shared" si="37"/>
        <v>0.13159414126710228</v>
      </c>
      <c r="Z213" s="8">
        <f t="shared" si="38"/>
        <v>4.2908598538236253E-2</v>
      </c>
      <c r="AA213" s="10">
        <f t="shared" si="39"/>
        <v>4.4290656334748595E-2</v>
      </c>
    </row>
    <row r="214" spans="1:27" x14ac:dyDescent="0.3">
      <c r="A214" t="s">
        <v>53</v>
      </c>
      <c r="B214" s="11">
        <v>2020</v>
      </c>
      <c r="C214" s="12">
        <v>-2383.34</v>
      </c>
      <c r="D214" s="12">
        <v>8930.375</v>
      </c>
      <c r="E214" s="12">
        <v>28335.444</v>
      </c>
      <c r="F214" s="12">
        <v>12626.27</v>
      </c>
      <c r="G214" s="12">
        <v>37265.82</v>
      </c>
      <c r="H214" s="12">
        <v>27238.024000000001</v>
      </c>
      <c r="I214" s="12">
        <v>10027.795</v>
      </c>
      <c r="J214" s="12">
        <v>15428.98</v>
      </c>
      <c r="K214" s="5">
        <v>3.2209343665251404E-2</v>
      </c>
      <c r="L214" s="5">
        <v>2.8654132091227212E-2</v>
      </c>
      <c r="M214" s="8">
        <v>7.6499999999999999E-2</v>
      </c>
      <c r="N214" s="12">
        <v>23208.368333333299</v>
      </c>
      <c r="O214" s="3">
        <f t="shared" si="32"/>
        <v>28</v>
      </c>
      <c r="P214" s="13">
        <v>1993</v>
      </c>
      <c r="Q214" s="14">
        <v>118.69</v>
      </c>
      <c r="R214" s="14">
        <v>168.78</v>
      </c>
      <c r="S214" s="2">
        <f t="shared" si="30"/>
        <v>16.320661437867813</v>
      </c>
      <c r="T214" s="8">
        <f t="shared" si="33"/>
        <v>-0.23767338682133013</v>
      </c>
      <c r="U214" s="8">
        <f t="shared" si="34"/>
        <v>-6.3955120268385346E-2</v>
      </c>
      <c r="V214" s="9">
        <f t="shared" si="35"/>
        <v>2.7162525759651053</v>
      </c>
      <c r="W214">
        <f t="shared" si="36"/>
        <v>0.57880527423070094</v>
      </c>
      <c r="X214">
        <f t="shared" si="31"/>
        <v>10.002405925893889</v>
      </c>
      <c r="Y214" s="8">
        <f t="shared" si="37"/>
        <v>0.33881637382459318</v>
      </c>
      <c r="Z214" s="8">
        <f t="shared" si="38"/>
        <v>4.2908598538236253E-2</v>
      </c>
      <c r="AA214" s="10">
        <f t="shared" si="39"/>
        <v>4.4290656334748595E-2</v>
      </c>
    </row>
    <row r="215" spans="1:27" x14ac:dyDescent="0.3">
      <c r="A215" t="s">
        <v>54</v>
      </c>
      <c r="B215" s="11">
        <v>2020</v>
      </c>
      <c r="C215" s="12">
        <v>125.352</v>
      </c>
      <c r="D215" s="12">
        <v>919.05600000000004</v>
      </c>
      <c r="E215" s="12">
        <v>313.31400000000002</v>
      </c>
      <c r="F215" s="12">
        <v>248.54599999999999</v>
      </c>
      <c r="G215" s="12">
        <v>1232.3699999999999</v>
      </c>
      <c r="H215" s="12">
        <v>697.06899999999996</v>
      </c>
      <c r="I215" s="12">
        <v>535.30100000000004</v>
      </c>
      <c r="J215" s="12">
        <v>693.39</v>
      </c>
      <c r="K215" s="5">
        <v>3.2209343665251404E-2</v>
      </c>
      <c r="L215" s="5">
        <v>2.8654132091227212E-2</v>
      </c>
      <c r="M215" s="8">
        <v>7.6499999999999999E-2</v>
      </c>
      <c r="N215" s="12">
        <v>23208.368333333299</v>
      </c>
      <c r="O215" s="3">
        <f t="shared" si="32"/>
        <v>29</v>
      </c>
      <c r="P215" s="13">
        <v>1992</v>
      </c>
      <c r="Q215" s="14">
        <v>118.69</v>
      </c>
      <c r="R215" s="14">
        <v>168.78</v>
      </c>
      <c r="S215" s="2">
        <f t="shared" si="30"/>
        <v>16.320661437867813</v>
      </c>
      <c r="T215" s="8">
        <f t="shared" si="33"/>
        <v>0.23417105516335668</v>
      </c>
      <c r="U215" s="8">
        <f t="shared" si="34"/>
        <v>0.10171620536040314</v>
      </c>
      <c r="V215" s="9">
        <f t="shared" si="35"/>
        <v>1.3022000706144765</v>
      </c>
      <c r="W215">
        <f t="shared" si="36"/>
        <v>1.3254532081512569</v>
      </c>
      <c r="X215">
        <f t="shared" si="31"/>
        <v>6.5932685179386326</v>
      </c>
      <c r="Y215" s="8">
        <f t="shared" si="37"/>
        <v>0.20168131324196467</v>
      </c>
      <c r="Z215" s="8">
        <f t="shared" si="38"/>
        <v>4.2908598538236253E-2</v>
      </c>
      <c r="AA215" s="10">
        <f t="shared" si="39"/>
        <v>4.4290656334748595E-2</v>
      </c>
    </row>
    <row r="216" spans="1:27" x14ac:dyDescent="0.3">
      <c r="A216" t="s">
        <v>55</v>
      </c>
      <c r="B216" s="11">
        <v>2020</v>
      </c>
      <c r="C216" s="12">
        <v>286.38799999999998</v>
      </c>
      <c r="D216" s="12">
        <v>653.53099999999995</v>
      </c>
      <c r="E216" s="12">
        <v>3293.1320000000001</v>
      </c>
      <c r="F216" s="12">
        <v>26.216999999999999</v>
      </c>
      <c r="G216" s="12">
        <v>3946.663</v>
      </c>
      <c r="H216" s="12">
        <v>204.559</v>
      </c>
      <c r="I216" s="12">
        <v>3742.1030000000001</v>
      </c>
      <c r="J216" s="12">
        <v>149.88</v>
      </c>
      <c r="K216" s="5">
        <v>3.2209343665251404E-2</v>
      </c>
      <c r="L216" s="5">
        <v>2.8654132091227212E-2</v>
      </c>
      <c r="M216" s="8">
        <v>7.6499999999999999E-2</v>
      </c>
      <c r="N216" s="12">
        <v>23208.368333333299</v>
      </c>
      <c r="O216" s="3">
        <f t="shared" si="32"/>
        <v>13</v>
      </c>
      <c r="P216" s="13">
        <v>2008</v>
      </c>
      <c r="Q216" s="14">
        <v>118.69</v>
      </c>
      <c r="R216" s="14">
        <v>168.78</v>
      </c>
      <c r="S216" s="2">
        <f t="shared" si="30"/>
        <v>16.320661437867813</v>
      </c>
      <c r="T216" s="8">
        <f t="shared" si="33"/>
        <v>7.6531298042838466E-2</v>
      </c>
      <c r="U216" s="8">
        <f t="shared" si="34"/>
        <v>7.256459444345767E-2</v>
      </c>
      <c r="V216" s="9">
        <f t="shared" si="35"/>
        <v>5.466418214570791E-2</v>
      </c>
      <c r="W216">
        <f t="shared" si="36"/>
        <v>4.3603616226314381</v>
      </c>
      <c r="X216">
        <f t="shared" si="31"/>
        <v>7.7571997849736727</v>
      </c>
      <c r="Y216" s="8">
        <f t="shared" si="37"/>
        <v>6.6428271174914094E-3</v>
      </c>
      <c r="Z216" s="8">
        <f t="shared" si="38"/>
        <v>4.2908598538236253E-2</v>
      </c>
      <c r="AA216" s="10">
        <f t="shared" si="39"/>
        <v>4.4290656334748595E-2</v>
      </c>
    </row>
    <row r="217" spans="1:27" hidden="1" x14ac:dyDescent="0.3">
      <c r="A217" t="s">
        <v>56</v>
      </c>
      <c r="B217" s="11">
        <v>2020</v>
      </c>
      <c r="C217" s="12">
        <v>20.896000000000001</v>
      </c>
      <c r="D217" s="12">
        <v>6229.9319999999998</v>
      </c>
      <c r="E217" s="12">
        <v>18439.935000000001</v>
      </c>
      <c r="F217" s="12">
        <v>9817.4009999999998</v>
      </c>
      <c r="G217" s="12">
        <v>24669.866999999998</v>
      </c>
      <c r="H217" s="12">
        <v>15989.847</v>
      </c>
      <c r="I217" s="12">
        <v>8680.02</v>
      </c>
      <c r="J217" s="12">
        <v>10978.68</v>
      </c>
      <c r="K217" s="5">
        <v>3.2209343665251404E-2</v>
      </c>
      <c r="L217" s="5">
        <v>2.8654132091227212E-2</v>
      </c>
      <c r="M217" s="8">
        <v>7.6499999999999999E-2</v>
      </c>
      <c r="N217" s="12">
        <v>23208.368333333299</v>
      </c>
      <c r="O217" s="3">
        <f t="shared" si="32"/>
        <v>11</v>
      </c>
      <c r="P217" s="13">
        <v>2010</v>
      </c>
      <c r="Q217" s="14">
        <v>118.69</v>
      </c>
      <c r="R217" s="14">
        <v>168.78</v>
      </c>
      <c r="S217" s="2">
        <f t="shared" si="30"/>
        <v>16.320661437867813</v>
      </c>
      <c r="T217" s="8">
        <f t="shared" si="33"/>
        <v>2.4073677249591592E-3</v>
      </c>
      <c r="U217" s="8">
        <f t="shared" si="34"/>
        <v>8.4702523933347519E-4</v>
      </c>
      <c r="V217" s="9">
        <f t="shared" si="35"/>
        <v>1.8421440273179093</v>
      </c>
      <c r="W217">
        <f t="shared" si="36"/>
        <v>0.56745728994742539</v>
      </c>
      <c r="X217">
        <f t="shared" si="31"/>
        <v>9.5899119126037853</v>
      </c>
      <c r="Y217" s="8">
        <f t="shared" si="37"/>
        <v>0.39795111177534925</v>
      </c>
      <c r="Z217" s="8">
        <f t="shared" si="38"/>
        <v>4.2908598538236253E-2</v>
      </c>
      <c r="AA217" s="10">
        <f t="shared" si="39"/>
        <v>4.4290656334748595E-2</v>
      </c>
    </row>
    <row r="218" spans="1:27" x14ac:dyDescent="0.3">
      <c r="A218" t="s">
        <v>57</v>
      </c>
      <c r="B218" s="11">
        <v>2020</v>
      </c>
      <c r="C218" s="12">
        <v>12.005000000000001</v>
      </c>
      <c r="D218" s="12">
        <v>127.342</v>
      </c>
      <c r="E218" s="12">
        <v>132.40799999999999</v>
      </c>
      <c r="F218" s="12">
        <v>10.105</v>
      </c>
      <c r="G218" s="12">
        <v>259.75</v>
      </c>
      <c r="H218" s="12">
        <v>13.781000000000001</v>
      </c>
      <c r="I218" s="12">
        <v>245.96899999999999</v>
      </c>
      <c r="J218" s="12">
        <v>13.78</v>
      </c>
      <c r="K218" s="5">
        <v>3.2209343665251404E-2</v>
      </c>
      <c r="L218" s="5">
        <v>2.8654132091227212E-2</v>
      </c>
      <c r="M218" s="8">
        <v>7.6499999999999999E-2</v>
      </c>
      <c r="N218" s="12">
        <v>23208.368333333299</v>
      </c>
      <c r="O218" s="3">
        <f t="shared" si="32"/>
        <v>6</v>
      </c>
      <c r="P218" s="13">
        <v>2015</v>
      </c>
      <c r="Q218" s="14">
        <v>118.69</v>
      </c>
      <c r="R218" s="14">
        <v>168.78</v>
      </c>
      <c r="S218" s="2">
        <f t="shared" si="30"/>
        <v>16.320661437867813</v>
      </c>
      <c r="T218" s="8">
        <f t="shared" si="33"/>
        <v>4.880696347913762E-2</v>
      </c>
      <c r="U218" s="8">
        <f t="shared" si="34"/>
        <v>4.6217516843118388E-2</v>
      </c>
      <c r="V218" s="9">
        <f t="shared" si="35"/>
        <v>5.6027385564847605E-2</v>
      </c>
      <c r="W218">
        <f t="shared" si="36"/>
        <v>9.2410740203193029</v>
      </c>
      <c r="X218">
        <f t="shared" si="31"/>
        <v>5.0362937242376073</v>
      </c>
      <c r="Y218" s="8">
        <f t="shared" si="37"/>
        <v>3.8902791145332051E-2</v>
      </c>
      <c r="Z218" s="8">
        <f t="shared" si="38"/>
        <v>4.2908598538236253E-2</v>
      </c>
      <c r="AA218" s="10">
        <f t="shared" si="39"/>
        <v>4.4290656334748595E-2</v>
      </c>
    </row>
    <row r="219" spans="1:27" x14ac:dyDescent="0.3">
      <c r="A219" t="s">
        <v>58</v>
      </c>
      <c r="B219" s="11">
        <v>2020</v>
      </c>
      <c r="C219" s="12">
        <v>62.238999999999997</v>
      </c>
      <c r="D219" s="12">
        <v>963.18700000000001</v>
      </c>
      <c r="E219" s="12">
        <v>788.05</v>
      </c>
      <c r="F219" s="12">
        <v>737.82600000000002</v>
      </c>
      <c r="G219" s="12">
        <v>1751.2370000000001</v>
      </c>
      <c r="H219" s="12">
        <v>1273.248</v>
      </c>
      <c r="I219" s="12">
        <v>477.99</v>
      </c>
      <c r="J219" s="12">
        <v>946.95</v>
      </c>
      <c r="K219" s="5">
        <v>3.2209343665251404E-2</v>
      </c>
      <c r="L219" s="5">
        <v>2.8654132091227212E-2</v>
      </c>
      <c r="M219" s="8">
        <v>7.6499999999999999E-2</v>
      </c>
      <c r="N219" s="12">
        <v>23208.368333333299</v>
      </c>
      <c r="O219" s="3">
        <f t="shared" si="32"/>
        <v>59</v>
      </c>
      <c r="P219" s="13">
        <v>1962</v>
      </c>
      <c r="Q219" s="14">
        <v>118.69</v>
      </c>
      <c r="R219" s="14">
        <v>168.78</v>
      </c>
      <c r="S219" s="2">
        <f t="shared" si="30"/>
        <v>16.320661437867813</v>
      </c>
      <c r="T219" s="8">
        <f t="shared" si="33"/>
        <v>0.13020983702587918</v>
      </c>
      <c r="U219" s="8">
        <f t="shared" si="34"/>
        <v>3.5540021139343216E-2</v>
      </c>
      <c r="V219" s="9">
        <f t="shared" si="35"/>
        <v>2.6637544718508757</v>
      </c>
      <c r="W219">
        <f t="shared" si="36"/>
        <v>1.0171466286498758</v>
      </c>
      <c r="X219">
        <f t="shared" si="31"/>
        <v>6.9446517686128413</v>
      </c>
      <c r="Y219" s="8">
        <f t="shared" si="37"/>
        <v>0.42131704617935778</v>
      </c>
      <c r="Z219" s="8">
        <f t="shared" si="38"/>
        <v>4.2908598538236253E-2</v>
      </c>
      <c r="AA219" s="10">
        <f t="shared" si="39"/>
        <v>4.4290656334748595E-2</v>
      </c>
    </row>
    <row r="220" spans="1:27" x14ac:dyDescent="0.3">
      <c r="A220" t="s">
        <v>59</v>
      </c>
      <c r="B220" s="11">
        <v>2020</v>
      </c>
      <c r="C220" s="12">
        <v>23.123999999999999</v>
      </c>
      <c r="D220" s="12">
        <v>283.39600000000002</v>
      </c>
      <c r="E220" s="12">
        <v>76.757000000000005</v>
      </c>
      <c r="F220" s="12">
        <v>43.686999999999998</v>
      </c>
      <c r="G220" s="12">
        <v>360.154</v>
      </c>
      <c r="H220" s="12">
        <v>173.82499999999999</v>
      </c>
      <c r="I220" s="12">
        <v>186.32900000000001</v>
      </c>
      <c r="J220" s="12">
        <v>172.24</v>
      </c>
      <c r="K220" s="5">
        <v>3.2209343665251404E-2</v>
      </c>
      <c r="L220" s="5">
        <v>2.8654132091227212E-2</v>
      </c>
      <c r="M220" s="8">
        <v>7.6499999999999999E-2</v>
      </c>
      <c r="N220" s="12">
        <v>23208.368333333299</v>
      </c>
      <c r="O220" s="3">
        <f t="shared" si="32"/>
        <v>23</v>
      </c>
      <c r="P220" s="13">
        <v>1998</v>
      </c>
      <c r="Q220" s="14">
        <v>118.69</v>
      </c>
      <c r="R220" s="14">
        <v>168.78</v>
      </c>
      <c r="S220" s="2">
        <f t="shared" si="30"/>
        <v>16.320661437867813</v>
      </c>
      <c r="T220" s="8">
        <f t="shared" si="33"/>
        <v>0.12410306500866745</v>
      </c>
      <c r="U220" s="8">
        <f t="shared" si="34"/>
        <v>6.4205867490018151E-2</v>
      </c>
      <c r="V220" s="9">
        <f t="shared" si="35"/>
        <v>0.93289289375244855</v>
      </c>
      <c r="W220">
        <f t="shared" si="36"/>
        <v>1.6453553181607059</v>
      </c>
      <c r="X220">
        <f t="shared" si="31"/>
        <v>5.3631058120153758</v>
      </c>
      <c r="Y220" s="8">
        <f t="shared" si="37"/>
        <v>0.12130088795348656</v>
      </c>
      <c r="Z220" s="8">
        <f t="shared" si="38"/>
        <v>4.2908598538236253E-2</v>
      </c>
      <c r="AA220" s="10">
        <f t="shared" si="39"/>
        <v>4.4290656334748595E-2</v>
      </c>
    </row>
    <row r="221" spans="1:27" x14ac:dyDescent="0.3">
      <c r="A221" t="s">
        <v>60</v>
      </c>
      <c r="B221" s="11">
        <v>2020</v>
      </c>
      <c r="C221" s="12">
        <v>107.133</v>
      </c>
      <c r="D221" s="12">
        <v>5426.5020000000004</v>
      </c>
      <c r="E221" s="12">
        <v>2287.134</v>
      </c>
      <c r="F221" s="12">
        <v>1175.1769999999999</v>
      </c>
      <c r="G221" s="12">
        <v>7713.6360000000004</v>
      </c>
      <c r="H221" s="12">
        <v>4714.9520000000002</v>
      </c>
      <c r="I221" s="12">
        <v>2998.6840000000002</v>
      </c>
      <c r="J221" s="12">
        <v>4265.93</v>
      </c>
      <c r="K221" s="5">
        <v>3.2209343665251404E-2</v>
      </c>
      <c r="L221" s="5">
        <v>2.8654132091227212E-2</v>
      </c>
      <c r="M221" s="8">
        <v>7.6499999999999999E-2</v>
      </c>
      <c r="N221" s="12">
        <v>23208.368333333299</v>
      </c>
      <c r="O221" s="3">
        <f t="shared" si="32"/>
        <v>18</v>
      </c>
      <c r="P221" s="13">
        <v>2003</v>
      </c>
      <c r="Q221" s="14">
        <v>118.69</v>
      </c>
      <c r="R221" s="14">
        <v>168.78</v>
      </c>
      <c r="S221" s="2">
        <f t="shared" si="30"/>
        <v>16.320661437867813</v>
      </c>
      <c r="T221" s="8">
        <f t="shared" si="33"/>
        <v>3.5726672100161269E-2</v>
      </c>
      <c r="U221" s="8">
        <f t="shared" si="34"/>
        <v>1.3888780855098684E-2</v>
      </c>
      <c r="V221" s="9">
        <f t="shared" si="35"/>
        <v>1.572340399988795</v>
      </c>
      <c r="W221">
        <f t="shared" si="36"/>
        <v>1.2720560346747367</v>
      </c>
      <c r="X221">
        <f t="shared" si="31"/>
        <v>8.4273190449802566</v>
      </c>
      <c r="Y221" s="8">
        <f t="shared" si="37"/>
        <v>0.15235059056455344</v>
      </c>
      <c r="Z221" s="8">
        <f t="shared" si="38"/>
        <v>4.2908598538236253E-2</v>
      </c>
      <c r="AA221" s="10">
        <f t="shared" si="39"/>
        <v>4.4290656334748595E-2</v>
      </c>
    </row>
    <row r="222" spans="1:27" x14ac:dyDescent="0.3">
      <c r="A222" t="s">
        <v>61</v>
      </c>
      <c r="B222" s="11">
        <v>2020</v>
      </c>
      <c r="C222" s="12">
        <v>330.238</v>
      </c>
      <c r="D222" s="12">
        <v>5477.4970000000003</v>
      </c>
      <c r="E222" s="12">
        <v>6871.6580000000004</v>
      </c>
      <c r="F222" s="12">
        <v>2676.57</v>
      </c>
      <c r="G222" s="12">
        <v>12349.155000000001</v>
      </c>
      <c r="H222" s="12">
        <v>4649.768</v>
      </c>
      <c r="I222" s="12">
        <v>7699.3869999999997</v>
      </c>
      <c r="J222" s="12">
        <v>3805.34</v>
      </c>
      <c r="K222" s="5">
        <v>3.2209343665251404E-2</v>
      </c>
      <c r="L222" s="5">
        <v>2.8654132091227212E-2</v>
      </c>
      <c r="M222" s="8">
        <v>7.6499999999999999E-2</v>
      </c>
      <c r="N222" s="12">
        <v>23208.368333333299</v>
      </c>
      <c r="O222" s="3">
        <f t="shared" si="32"/>
        <v>28</v>
      </c>
      <c r="P222" s="13">
        <v>1993</v>
      </c>
      <c r="Q222" s="14">
        <v>118.69</v>
      </c>
      <c r="R222" s="14">
        <v>168.78</v>
      </c>
      <c r="S222" s="2">
        <f t="shared" si="30"/>
        <v>16.320661437867813</v>
      </c>
      <c r="T222" s="8">
        <f t="shared" si="33"/>
        <v>4.2891466554415308E-2</v>
      </c>
      <c r="U222" s="8">
        <f t="shared" si="34"/>
        <v>2.6741748726937187E-2</v>
      </c>
      <c r="V222" s="9">
        <f t="shared" si="35"/>
        <v>0.60391405185893376</v>
      </c>
      <c r="W222">
        <f t="shared" si="36"/>
        <v>1.439423809699002</v>
      </c>
      <c r="X222">
        <f t="shared" si="31"/>
        <v>8.8979170129209351</v>
      </c>
      <c r="Y222" s="8">
        <f t="shared" si="37"/>
        <v>0.21674114544679374</v>
      </c>
      <c r="Z222" s="8">
        <f t="shared" si="38"/>
        <v>4.2908598538236253E-2</v>
      </c>
      <c r="AA222" s="10">
        <f t="shared" si="39"/>
        <v>4.4290656334748595E-2</v>
      </c>
    </row>
    <row r="223" spans="1:27" x14ac:dyDescent="0.3">
      <c r="A223" t="s">
        <v>62</v>
      </c>
      <c r="B223" s="11">
        <v>2020</v>
      </c>
      <c r="C223" s="12">
        <v>0.182</v>
      </c>
      <c r="D223" s="12">
        <v>775.12900000000002</v>
      </c>
      <c r="E223" s="12">
        <v>330.16300000000001</v>
      </c>
      <c r="F223" s="12">
        <v>305.51499999999999</v>
      </c>
      <c r="G223" s="12">
        <v>1105.2919999999999</v>
      </c>
      <c r="H223" s="12">
        <v>505.36599999999999</v>
      </c>
      <c r="I223" s="12">
        <v>599.92700000000002</v>
      </c>
      <c r="J223" s="12">
        <v>497.07</v>
      </c>
      <c r="K223" s="5">
        <v>3.2209343665251404E-2</v>
      </c>
      <c r="L223" s="5">
        <v>2.8654132091227212E-2</v>
      </c>
      <c r="M223" s="8">
        <v>7.6499999999999999E-2</v>
      </c>
      <c r="N223" s="12">
        <v>23208.368333333299</v>
      </c>
      <c r="O223" s="3">
        <f t="shared" si="32"/>
        <v>20</v>
      </c>
      <c r="P223" s="13">
        <v>2001</v>
      </c>
      <c r="Q223" s="14">
        <v>118.69</v>
      </c>
      <c r="R223" s="14">
        <v>168.78</v>
      </c>
      <c r="S223" s="2">
        <f t="shared" si="30"/>
        <v>16.320661437867813</v>
      </c>
      <c r="T223" s="8">
        <f t="shared" si="33"/>
        <v>3.0337024337961119E-4</v>
      </c>
      <c r="U223" s="8">
        <f t="shared" si="34"/>
        <v>1.6466236976292239E-4</v>
      </c>
      <c r="V223" s="9">
        <f t="shared" si="35"/>
        <v>0.8423791561306625</v>
      </c>
      <c r="W223">
        <f t="shared" si="36"/>
        <v>1.5593960609169735</v>
      </c>
      <c r="X223">
        <f t="shared" si="31"/>
        <v>6.4844389266950104</v>
      </c>
      <c r="Y223" s="8">
        <f t="shared" si="37"/>
        <v>0.27641112031933646</v>
      </c>
      <c r="Z223" s="8">
        <f t="shared" si="38"/>
        <v>4.2908598538236253E-2</v>
      </c>
      <c r="AA223" s="10">
        <f t="shared" si="39"/>
        <v>4.4290656334748595E-2</v>
      </c>
    </row>
    <row r="224" spans="1:27" x14ac:dyDescent="0.3">
      <c r="A224" t="s">
        <v>63</v>
      </c>
      <c r="B224" s="11">
        <v>2020</v>
      </c>
      <c r="C224" s="12">
        <v>24.253</v>
      </c>
      <c r="D224" s="12">
        <v>128.10400000000001</v>
      </c>
      <c r="E224" s="12">
        <v>79.441000000000003</v>
      </c>
      <c r="F224" s="12">
        <v>61.052</v>
      </c>
      <c r="G224" s="12">
        <v>207.54499999999999</v>
      </c>
      <c r="H224" s="12">
        <v>48.981999999999999</v>
      </c>
      <c r="I224" s="12">
        <v>158.56299999999999</v>
      </c>
      <c r="J224" s="12">
        <v>46.43</v>
      </c>
      <c r="K224" s="5">
        <v>3.2209343665251404E-2</v>
      </c>
      <c r="L224" s="5">
        <v>2.8654132091227212E-2</v>
      </c>
      <c r="M224" s="8">
        <v>7.6499999999999999E-2</v>
      </c>
      <c r="N224" s="12">
        <v>23208.368333333299</v>
      </c>
      <c r="O224" s="3">
        <f t="shared" si="32"/>
        <v>36</v>
      </c>
      <c r="P224" s="13">
        <v>1985</v>
      </c>
      <c r="Q224" s="14">
        <v>118.69</v>
      </c>
      <c r="R224" s="14">
        <v>168.78</v>
      </c>
      <c r="S224" s="2">
        <f t="shared" si="30"/>
        <v>16.320661437867813</v>
      </c>
      <c r="T224" s="8">
        <f t="shared" si="33"/>
        <v>0.15295497688615883</v>
      </c>
      <c r="U224" s="8">
        <f t="shared" si="34"/>
        <v>0.11685658531884652</v>
      </c>
      <c r="V224" s="9">
        <f t="shared" si="35"/>
        <v>0.30891191513783167</v>
      </c>
      <c r="W224">
        <f t="shared" si="36"/>
        <v>2.7590781822097785</v>
      </c>
      <c r="X224">
        <f t="shared" si="31"/>
        <v>4.8119222778865529</v>
      </c>
      <c r="Y224" s="8">
        <f t="shared" si="37"/>
        <v>0.29416271170107688</v>
      </c>
      <c r="Z224" s="8">
        <f t="shared" si="38"/>
        <v>4.2908598538236253E-2</v>
      </c>
      <c r="AA224" s="10">
        <f t="shared" si="39"/>
        <v>4.4290656334748595E-2</v>
      </c>
    </row>
    <row r="225" spans="1:27" x14ac:dyDescent="0.3">
      <c r="A225" t="s">
        <v>64</v>
      </c>
      <c r="B225" s="11">
        <v>2020</v>
      </c>
      <c r="C225" s="12">
        <v>230.108</v>
      </c>
      <c r="D225" s="12">
        <v>557.21500000000003</v>
      </c>
      <c r="E225" s="12">
        <v>460.45400000000001</v>
      </c>
      <c r="F225" s="12">
        <v>400.68400000000003</v>
      </c>
      <c r="G225" s="12">
        <v>1017.669</v>
      </c>
      <c r="H225" s="12">
        <v>380.17500000000001</v>
      </c>
      <c r="I225" s="12">
        <v>637.49400000000003</v>
      </c>
      <c r="J225" s="12">
        <v>372.27</v>
      </c>
      <c r="K225" s="5">
        <v>3.2209343665251404E-2</v>
      </c>
      <c r="L225" s="5">
        <v>2.8654132091227212E-2</v>
      </c>
      <c r="M225" s="8">
        <v>7.6499999999999999E-2</v>
      </c>
      <c r="N225" s="12">
        <v>23208.368333333299</v>
      </c>
      <c r="O225" s="3">
        <f t="shared" si="32"/>
        <v>49</v>
      </c>
      <c r="P225" s="13">
        <v>1972</v>
      </c>
      <c r="Q225" s="14">
        <v>118.69</v>
      </c>
      <c r="R225" s="14">
        <v>168.78</v>
      </c>
      <c r="S225" s="2">
        <f t="shared" si="30"/>
        <v>16.320661437867813</v>
      </c>
      <c r="T225" s="8">
        <f t="shared" si="33"/>
        <v>0.36095712273370417</v>
      </c>
      <c r="U225" s="8">
        <f t="shared" si="34"/>
        <v>0.22611281271218836</v>
      </c>
      <c r="V225" s="9">
        <f t="shared" si="35"/>
        <v>0.59635855396286086</v>
      </c>
      <c r="W225">
        <f t="shared" si="36"/>
        <v>1.4968033953850701</v>
      </c>
      <c r="X225">
        <f t="shared" si="31"/>
        <v>6.4018440911491385</v>
      </c>
      <c r="Y225" s="8">
        <f t="shared" si="37"/>
        <v>0.39372723351109251</v>
      </c>
      <c r="Z225" s="8">
        <f t="shared" si="38"/>
        <v>4.2908598538236253E-2</v>
      </c>
      <c r="AA225" s="10">
        <f t="shared" si="39"/>
        <v>4.4290656334748595E-2</v>
      </c>
    </row>
    <row r="226" spans="1:27" x14ac:dyDescent="0.3">
      <c r="A226" t="s">
        <v>65</v>
      </c>
      <c r="B226" s="11">
        <v>2020</v>
      </c>
      <c r="C226" s="12">
        <v>18.042000000000002</v>
      </c>
      <c r="D226" s="12">
        <v>735.89700000000005</v>
      </c>
      <c r="E226" s="12">
        <v>1586.5150000000001</v>
      </c>
      <c r="F226" s="12">
        <v>1174.0260000000001</v>
      </c>
      <c r="G226" s="12">
        <v>2322.4119999999998</v>
      </c>
      <c r="H226" s="12">
        <v>806.80700000000002</v>
      </c>
      <c r="I226" s="12">
        <v>1515.605</v>
      </c>
      <c r="J226" s="12">
        <v>731.74</v>
      </c>
      <c r="K226" s="5">
        <v>3.2209343665251404E-2</v>
      </c>
      <c r="L226" s="5">
        <v>2.8654132091227212E-2</v>
      </c>
      <c r="M226" s="8">
        <v>7.6499999999999999E-2</v>
      </c>
      <c r="N226" s="12">
        <v>23208.368333333299</v>
      </c>
      <c r="O226" s="3">
        <f t="shared" si="32"/>
        <v>41</v>
      </c>
      <c r="P226" s="13">
        <v>1980</v>
      </c>
      <c r="Q226" s="14">
        <v>118.69</v>
      </c>
      <c r="R226" s="14">
        <v>168.78</v>
      </c>
      <c r="S226" s="2">
        <f t="shared" si="30"/>
        <v>16.320661437867813</v>
      </c>
      <c r="T226" s="8">
        <f t="shared" si="33"/>
        <v>1.1904157085784225E-2</v>
      </c>
      <c r="U226" s="8">
        <f t="shared" si="34"/>
        <v>7.7686474234545822E-3</v>
      </c>
      <c r="V226" s="9">
        <f t="shared" si="35"/>
        <v>0.53233329264551121</v>
      </c>
      <c r="W226">
        <f t="shared" si="36"/>
        <v>1.005680979582912</v>
      </c>
      <c r="X226">
        <f t="shared" si="31"/>
        <v>7.2269356740238919</v>
      </c>
      <c r="Y226" s="8">
        <f t="shared" si="37"/>
        <v>0.50552012304449001</v>
      </c>
      <c r="Z226" s="8">
        <f t="shared" si="38"/>
        <v>4.2908598538236253E-2</v>
      </c>
      <c r="AA226" s="10">
        <f t="shared" si="39"/>
        <v>4.4290656334748595E-2</v>
      </c>
    </row>
    <row r="227" spans="1:27" x14ac:dyDescent="0.3">
      <c r="A227" t="s">
        <v>66</v>
      </c>
      <c r="B227" s="11">
        <v>2020</v>
      </c>
      <c r="C227" s="12">
        <v>280.73500000000001</v>
      </c>
      <c r="D227" s="12">
        <v>1035.836</v>
      </c>
      <c r="E227" s="12">
        <v>186.76</v>
      </c>
      <c r="F227" s="12">
        <v>151.32599999999999</v>
      </c>
      <c r="G227" s="12">
        <v>1222.596</v>
      </c>
      <c r="H227" s="12">
        <v>310.68599999999998</v>
      </c>
      <c r="I227" s="12">
        <v>911.91</v>
      </c>
      <c r="J227" s="12">
        <v>250.6</v>
      </c>
      <c r="K227" s="5">
        <v>3.2209343665251404E-2</v>
      </c>
      <c r="L227" s="5">
        <v>2.8654132091227212E-2</v>
      </c>
      <c r="M227" s="8">
        <v>7.6499999999999999E-2</v>
      </c>
      <c r="N227" s="12">
        <v>23208.368333333299</v>
      </c>
      <c r="O227" s="3">
        <f t="shared" si="32"/>
        <v>63</v>
      </c>
      <c r="P227" s="13">
        <v>1958</v>
      </c>
      <c r="Q227" s="14">
        <v>118.69</v>
      </c>
      <c r="R227" s="14">
        <v>168.78</v>
      </c>
      <c r="S227" s="2">
        <f t="shared" si="30"/>
        <v>16.320661437867813</v>
      </c>
      <c r="T227" s="8">
        <f t="shared" si="33"/>
        <v>0.30785384522595433</v>
      </c>
      <c r="U227" s="8">
        <f t="shared" si="34"/>
        <v>0.22962205012939679</v>
      </c>
      <c r="V227" s="9">
        <f t="shared" si="35"/>
        <v>0.34069809520676381</v>
      </c>
      <c r="W227">
        <f t="shared" si="36"/>
        <v>4.1334237829209899</v>
      </c>
      <c r="X227">
        <f t="shared" si="31"/>
        <v>6.5853058401315288</v>
      </c>
      <c r="Y227" s="8">
        <f t="shared" si="37"/>
        <v>0.12377432937781573</v>
      </c>
      <c r="Z227" s="8">
        <f t="shared" si="38"/>
        <v>4.2908598538236253E-2</v>
      </c>
      <c r="AA227" s="10">
        <f t="shared" si="39"/>
        <v>4.4290656334748595E-2</v>
      </c>
    </row>
    <row r="228" spans="1:27" hidden="1" x14ac:dyDescent="0.3">
      <c r="A228" t="s">
        <v>67</v>
      </c>
      <c r="B228" s="11">
        <v>2020</v>
      </c>
      <c r="C228" s="12">
        <v>231.79499999999999</v>
      </c>
      <c r="D228" s="12">
        <v>2001.2429999999999</v>
      </c>
      <c r="E228" s="12">
        <v>626.51300000000003</v>
      </c>
      <c r="F228" s="12">
        <v>554.58399999999995</v>
      </c>
      <c r="G228" s="12">
        <v>2627.7550000000001</v>
      </c>
      <c r="H228" s="12">
        <v>1185.5550000000001</v>
      </c>
      <c r="I228" s="12">
        <v>1442.2</v>
      </c>
      <c r="J228" s="12">
        <v>1185.56</v>
      </c>
      <c r="K228" s="5">
        <v>3.2209343665251404E-2</v>
      </c>
      <c r="L228" s="5">
        <v>2.8654132091227212E-2</v>
      </c>
      <c r="M228" s="8">
        <v>7.6499999999999999E-2</v>
      </c>
      <c r="N228" s="12">
        <v>23208.368333333299</v>
      </c>
      <c r="O228" s="3">
        <f t="shared" si="32"/>
        <v>33</v>
      </c>
      <c r="P228" s="13">
        <v>1988</v>
      </c>
      <c r="Q228" s="14">
        <v>118.69</v>
      </c>
      <c r="R228" s="14">
        <v>168.78</v>
      </c>
      <c r="S228" s="2">
        <f t="shared" si="30"/>
        <v>16.320661437867813</v>
      </c>
      <c r="T228" s="8">
        <f t="shared" si="33"/>
        <v>0.16072320066564968</v>
      </c>
      <c r="U228" s="8">
        <f t="shared" si="34"/>
        <v>8.821027835547833E-2</v>
      </c>
      <c r="V228" s="9">
        <f t="shared" si="35"/>
        <v>0.82204617944806546</v>
      </c>
      <c r="W228">
        <f t="shared" si="36"/>
        <v>1.688014946523162</v>
      </c>
      <c r="X228">
        <f t="shared" si="31"/>
        <v>7.3504592427284523</v>
      </c>
      <c r="Y228" s="8">
        <f t="shared" si="37"/>
        <v>0.21104859471297741</v>
      </c>
      <c r="Z228" s="8">
        <f t="shared" si="38"/>
        <v>4.2908598538236253E-2</v>
      </c>
      <c r="AA228" s="10">
        <f t="shared" si="39"/>
        <v>4.4290656334748595E-2</v>
      </c>
    </row>
    <row r="229" spans="1:27" x14ac:dyDescent="0.3">
      <c r="A229" t="s">
        <v>68</v>
      </c>
      <c r="B229" s="11">
        <v>2020</v>
      </c>
      <c r="C229" s="12">
        <v>1395.0129999999999</v>
      </c>
      <c r="D229" s="12">
        <v>29760.685000000001</v>
      </c>
      <c r="E229" s="12">
        <v>85975.876999999993</v>
      </c>
      <c r="F229" s="12">
        <v>49582.186999999998</v>
      </c>
      <c r="G229" s="12">
        <v>115736.56200000001</v>
      </c>
      <c r="H229" s="12">
        <v>90706.282999999996</v>
      </c>
      <c r="I229" s="12">
        <v>25030.278999999999</v>
      </c>
      <c r="J229" s="12">
        <v>38874.660000000003</v>
      </c>
      <c r="K229" s="5">
        <v>3.2209343665251404E-2</v>
      </c>
      <c r="L229" s="5">
        <v>2.8654132091227212E-2</v>
      </c>
      <c r="M229" s="8">
        <v>7.6499999999999999E-2</v>
      </c>
      <c r="N229" s="12">
        <v>23208.368333333299</v>
      </c>
      <c r="O229" s="3">
        <f t="shared" si="32"/>
        <v>17</v>
      </c>
      <c r="P229" s="13">
        <v>2004</v>
      </c>
      <c r="Q229" s="14">
        <v>118.69</v>
      </c>
      <c r="R229" s="14">
        <v>168.78</v>
      </c>
      <c r="S229" s="2">
        <f t="shared" si="30"/>
        <v>16.320661437867813</v>
      </c>
      <c r="T229" s="8">
        <f t="shared" si="33"/>
        <v>5.5733018397437759E-2</v>
      </c>
      <c r="U229" s="8">
        <f t="shared" si="34"/>
        <v>1.2053347497915135E-2</v>
      </c>
      <c r="V229" s="9">
        <f t="shared" si="35"/>
        <v>3.6238622430057612</v>
      </c>
      <c r="W229">
        <f t="shared" si="36"/>
        <v>0.76555486273063222</v>
      </c>
      <c r="X229">
        <f t="shared" si="31"/>
        <v>11.135645964434804</v>
      </c>
      <c r="Y229" s="8">
        <f t="shared" si="37"/>
        <v>0.42840556297153526</v>
      </c>
      <c r="Z229" s="8">
        <f t="shared" si="38"/>
        <v>4.2908598538236253E-2</v>
      </c>
      <c r="AA229" s="10">
        <f t="shared" si="39"/>
        <v>4.4290656334748595E-2</v>
      </c>
    </row>
    <row r="230" spans="1:27" x14ac:dyDescent="0.3">
      <c r="A230" t="s">
        <v>69</v>
      </c>
      <c r="B230" s="11">
        <v>2020</v>
      </c>
      <c r="C230" s="12">
        <v>61.314999999999998</v>
      </c>
      <c r="D230" s="12">
        <v>972.42</v>
      </c>
      <c r="E230" s="12">
        <v>560.95899999999995</v>
      </c>
      <c r="F230" s="12">
        <v>350.70600000000002</v>
      </c>
      <c r="G230" s="12">
        <v>1533.3789999999999</v>
      </c>
      <c r="H230" s="12">
        <v>782.47299999999996</v>
      </c>
      <c r="I230" s="12">
        <v>750.90599999999995</v>
      </c>
      <c r="J230" s="12">
        <v>594.80999999999995</v>
      </c>
      <c r="K230" s="5">
        <v>3.2209343665251404E-2</v>
      </c>
      <c r="L230" s="5">
        <v>2.8654132091227212E-2</v>
      </c>
      <c r="M230" s="8">
        <v>7.6499999999999999E-2</v>
      </c>
      <c r="N230" s="12">
        <v>23208.368333333299</v>
      </c>
      <c r="O230" s="3">
        <f t="shared" si="32"/>
        <v>26</v>
      </c>
      <c r="P230" s="13">
        <v>1995</v>
      </c>
      <c r="Q230" s="14">
        <v>118.69</v>
      </c>
      <c r="R230" s="14">
        <v>168.78</v>
      </c>
      <c r="S230" s="2">
        <f t="shared" si="30"/>
        <v>16.320661437867813</v>
      </c>
      <c r="T230" s="8">
        <f t="shared" si="33"/>
        <v>8.1654694462422725E-2</v>
      </c>
      <c r="U230" s="8">
        <f t="shared" si="34"/>
        <v>3.9986852565477946E-2</v>
      </c>
      <c r="V230" s="9">
        <f t="shared" si="35"/>
        <v>1.0420385507640104</v>
      </c>
      <c r="W230">
        <f t="shared" si="36"/>
        <v>1.6348413779189994</v>
      </c>
      <c r="X230">
        <f t="shared" si="31"/>
        <v>6.8118031702325501</v>
      </c>
      <c r="Y230" s="8">
        <f t="shared" si="37"/>
        <v>0.22871449263358898</v>
      </c>
      <c r="Z230" s="8">
        <f t="shared" si="38"/>
        <v>4.2908598538236253E-2</v>
      </c>
      <c r="AA230" s="10">
        <f t="shared" si="39"/>
        <v>4.4290656334748595E-2</v>
      </c>
    </row>
    <row r="231" spans="1:27" x14ac:dyDescent="0.3">
      <c r="A231" t="s">
        <v>70</v>
      </c>
      <c r="B231" s="11">
        <v>2020</v>
      </c>
      <c r="C231" s="12">
        <v>72.956000000000003</v>
      </c>
      <c r="D231" s="12">
        <v>368.11799999999999</v>
      </c>
      <c r="E231" s="12">
        <v>514.63</v>
      </c>
      <c r="F231" s="12">
        <v>357.07100000000003</v>
      </c>
      <c r="G231" s="12">
        <v>882.74900000000002</v>
      </c>
      <c r="H231" s="12">
        <v>520.87699999999995</v>
      </c>
      <c r="I231" s="12">
        <v>361.87099999999998</v>
      </c>
      <c r="J231" s="12">
        <v>405.91</v>
      </c>
      <c r="K231" s="5">
        <v>3.2209343665251404E-2</v>
      </c>
      <c r="L231" s="5">
        <v>2.8654132091227212E-2</v>
      </c>
      <c r="M231" s="8">
        <v>7.6499999999999999E-2</v>
      </c>
      <c r="N231" s="12">
        <v>23208.368333333299</v>
      </c>
      <c r="O231" s="3">
        <f t="shared" si="32"/>
        <v>28</v>
      </c>
      <c r="P231" s="13">
        <v>1993</v>
      </c>
      <c r="Q231" s="14">
        <v>118.69</v>
      </c>
      <c r="R231" s="14">
        <v>168.78</v>
      </c>
      <c r="S231" s="2">
        <f t="shared" si="30"/>
        <v>16.320661437867813</v>
      </c>
      <c r="T231" s="8">
        <f t="shared" si="33"/>
        <v>0.20160775524979899</v>
      </c>
      <c r="U231" s="8">
        <f t="shared" si="34"/>
        <v>8.2646369466292238E-2</v>
      </c>
      <c r="V231" s="9">
        <f t="shared" si="35"/>
        <v>1.4393996755749976</v>
      </c>
      <c r="W231">
        <f t="shared" si="36"/>
        <v>0.90689561725505652</v>
      </c>
      <c r="X231">
        <f t="shared" si="31"/>
        <v>6.2596149962425622</v>
      </c>
      <c r="Y231" s="8">
        <f t="shared" si="37"/>
        <v>0.40449890059348698</v>
      </c>
      <c r="Z231" s="8">
        <f t="shared" si="38"/>
        <v>4.2908598538236253E-2</v>
      </c>
      <c r="AA231" s="10">
        <f t="shared" si="39"/>
        <v>4.4290656334748595E-2</v>
      </c>
    </row>
    <row r="232" spans="1:27" x14ac:dyDescent="0.3">
      <c r="A232" t="s">
        <v>71</v>
      </c>
      <c r="B232" s="11">
        <v>2020</v>
      </c>
      <c r="C232" s="12">
        <v>194.815</v>
      </c>
      <c r="D232" s="12">
        <v>866.66</v>
      </c>
      <c r="E232" s="12">
        <v>934.89200000000005</v>
      </c>
      <c r="F232" s="12">
        <v>775.07100000000003</v>
      </c>
      <c r="G232" s="12">
        <v>1801.5519999999999</v>
      </c>
      <c r="H232" s="12">
        <v>600.10900000000004</v>
      </c>
      <c r="I232" s="12">
        <v>1201.443</v>
      </c>
      <c r="J232" s="12">
        <v>534.53</v>
      </c>
      <c r="K232" s="5">
        <v>3.2209343665251404E-2</v>
      </c>
      <c r="L232" s="5">
        <v>2.8654132091227212E-2</v>
      </c>
      <c r="M232" s="8">
        <v>7.6499999999999999E-2</v>
      </c>
      <c r="N232" s="12">
        <v>23208.368333333299</v>
      </c>
      <c r="O232" s="3">
        <f t="shared" si="32"/>
        <v>53</v>
      </c>
      <c r="P232" s="13">
        <v>1968</v>
      </c>
      <c r="Q232" s="14">
        <v>118.69</v>
      </c>
      <c r="R232" s="14">
        <v>168.78</v>
      </c>
      <c r="S232" s="2">
        <f t="shared" si="30"/>
        <v>16.320661437867813</v>
      </c>
      <c r="T232" s="8">
        <f t="shared" si="33"/>
        <v>0.16215084693988813</v>
      </c>
      <c r="U232" s="8">
        <f t="shared" si="34"/>
        <v>0.10813731715765074</v>
      </c>
      <c r="V232" s="9">
        <f t="shared" si="35"/>
        <v>0.49949019637219583</v>
      </c>
      <c r="W232">
        <f t="shared" si="36"/>
        <v>1.6213495968420857</v>
      </c>
      <c r="X232">
        <f t="shared" si="31"/>
        <v>6.9729778888646976</v>
      </c>
      <c r="Y232" s="8">
        <f t="shared" si="37"/>
        <v>0.43022405126246704</v>
      </c>
      <c r="Z232" s="8">
        <f t="shared" si="38"/>
        <v>4.2908598538236253E-2</v>
      </c>
      <c r="AA232" s="10">
        <f t="shared" si="39"/>
        <v>4.4290656334748595E-2</v>
      </c>
    </row>
    <row r="233" spans="1:27" x14ac:dyDescent="0.3">
      <c r="A233" t="s">
        <v>72</v>
      </c>
      <c r="B233" s="11">
        <v>2020</v>
      </c>
      <c r="C233" s="12">
        <v>333.22300000000001</v>
      </c>
      <c r="D233" s="12">
        <v>6169.0529999999999</v>
      </c>
      <c r="E233" s="12">
        <v>5167.2420000000002</v>
      </c>
      <c r="F233" s="12">
        <v>3521.3049999999998</v>
      </c>
      <c r="G233" s="12">
        <v>11336.295</v>
      </c>
      <c r="H233" s="12">
        <v>5163.1419999999998</v>
      </c>
      <c r="I233" s="12">
        <v>6173.1540000000005</v>
      </c>
      <c r="J233" s="12">
        <v>3639.46</v>
      </c>
      <c r="K233" s="5">
        <v>3.2209343665251404E-2</v>
      </c>
      <c r="L233" s="5">
        <v>2.8654132091227212E-2</v>
      </c>
      <c r="M233" s="8">
        <v>7.6499999999999999E-2</v>
      </c>
      <c r="N233" s="12">
        <v>23208.368333333299</v>
      </c>
      <c r="O233" s="3">
        <f t="shared" si="32"/>
        <v>23</v>
      </c>
      <c r="P233" s="13">
        <v>1998</v>
      </c>
      <c r="Q233" s="14">
        <v>118.69</v>
      </c>
      <c r="R233" s="14">
        <v>168.78</v>
      </c>
      <c r="S233" s="2">
        <f t="shared" si="30"/>
        <v>16.320661437867813</v>
      </c>
      <c r="T233" s="8">
        <f t="shared" si="33"/>
        <v>5.3979375858758748E-2</v>
      </c>
      <c r="U233" s="8">
        <f t="shared" si="34"/>
        <v>2.9394347977006598E-2</v>
      </c>
      <c r="V233" s="9">
        <f t="shared" si="35"/>
        <v>0.83638639178611118</v>
      </c>
      <c r="W233">
        <f t="shared" si="36"/>
        <v>1.6950462431239799</v>
      </c>
      <c r="X233">
        <f t="shared" si="31"/>
        <v>8.812338898578826</v>
      </c>
      <c r="Y233" s="8">
        <f t="shared" si="37"/>
        <v>0.31062220946085117</v>
      </c>
      <c r="Z233" s="8">
        <f t="shared" si="38"/>
        <v>4.2908598538236253E-2</v>
      </c>
      <c r="AA233" s="10">
        <f t="shared" si="39"/>
        <v>4.4290656334748595E-2</v>
      </c>
    </row>
    <row r="234" spans="1:27" x14ac:dyDescent="0.3">
      <c r="A234" t="s">
        <v>73</v>
      </c>
      <c r="B234" s="11">
        <v>2020</v>
      </c>
      <c r="C234" s="12">
        <v>1069.31</v>
      </c>
      <c r="D234" s="12">
        <v>7143.9290000000001</v>
      </c>
      <c r="E234" s="12">
        <v>1339.2170000000001</v>
      </c>
      <c r="F234" s="12">
        <v>931.61699999999996</v>
      </c>
      <c r="G234" s="12">
        <v>8483.1460000000006</v>
      </c>
      <c r="H234" s="12">
        <v>3241.2840000000001</v>
      </c>
      <c r="I234" s="12">
        <v>5241.8620000000001</v>
      </c>
      <c r="J234" s="12">
        <v>3231.91</v>
      </c>
      <c r="K234" s="5">
        <v>3.2209343665251404E-2</v>
      </c>
      <c r="L234" s="5">
        <v>2.8654132091227212E-2</v>
      </c>
      <c r="M234" s="8">
        <v>7.6499999999999999E-2</v>
      </c>
      <c r="N234" s="12">
        <v>23208.368333333299</v>
      </c>
      <c r="O234" s="3">
        <f t="shared" si="32"/>
        <v>33</v>
      </c>
      <c r="P234" s="13">
        <v>1988</v>
      </c>
      <c r="Q234" s="14">
        <v>118.69</v>
      </c>
      <c r="R234" s="14">
        <v>168.78</v>
      </c>
      <c r="S234" s="2">
        <f t="shared" si="30"/>
        <v>16.320661437867813</v>
      </c>
      <c r="T234" s="8">
        <f t="shared" si="33"/>
        <v>0.20399430584017664</v>
      </c>
      <c r="U234" s="8">
        <f t="shared" si="34"/>
        <v>0.12605111358451215</v>
      </c>
      <c r="V234" s="9">
        <f t="shared" si="35"/>
        <v>0.61834592364316343</v>
      </c>
      <c r="W234">
        <f t="shared" si="36"/>
        <v>2.2104356247544024</v>
      </c>
      <c r="X234">
        <f t="shared" si="31"/>
        <v>8.5224107448102728</v>
      </c>
      <c r="Y234" s="8">
        <f t="shared" si="37"/>
        <v>0.10981975319062054</v>
      </c>
      <c r="Z234" s="8">
        <f t="shared" si="38"/>
        <v>4.2908598538236253E-2</v>
      </c>
      <c r="AA234" s="10">
        <f t="shared" si="39"/>
        <v>4.4290656334748595E-2</v>
      </c>
    </row>
    <row r="235" spans="1:27" x14ac:dyDescent="0.3">
      <c r="A235" t="s">
        <v>74</v>
      </c>
      <c r="B235" s="11">
        <v>2020</v>
      </c>
      <c r="C235" s="12">
        <v>336.08199999999999</v>
      </c>
      <c r="D235" s="12">
        <v>3731.0619999999999</v>
      </c>
      <c r="E235" s="12">
        <v>294.95</v>
      </c>
      <c r="F235" s="12">
        <v>290.53500000000003</v>
      </c>
      <c r="G235" s="12">
        <v>4026.0120000000002</v>
      </c>
      <c r="H235" s="12">
        <v>2946.7040000000002</v>
      </c>
      <c r="I235" s="12">
        <v>1079.308</v>
      </c>
      <c r="J235" s="12">
        <v>2945.87</v>
      </c>
      <c r="K235" s="5">
        <v>3.2209343665251404E-2</v>
      </c>
      <c r="L235" s="5">
        <v>2.8654132091227212E-2</v>
      </c>
      <c r="M235" s="8">
        <v>7.6499999999999999E-2</v>
      </c>
      <c r="N235" s="12">
        <v>23208.368333333299</v>
      </c>
      <c r="O235" s="3">
        <f t="shared" si="32"/>
        <v>17</v>
      </c>
      <c r="P235" s="13">
        <v>2004</v>
      </c>
      <c r="Q235" s="14">
        <v>118.69</v>
      </c>
      <c r="R235" s="14">
        <v>168.78</v>
      </c>
      <c r="S235" s="2">
        <f t="shared" si="30"/>
        <v>16.320661437867813</v>
      </c>
      <c r="T235" s="8">
        <f t="shared" si="33"/>
        <v>0.31138655508900148</v>
      </c>
      <c r="U235" s="8">
        <f t="shared" si="34"/>
        <v>8.3477644875375429E-2</v>
      </c>
      <c r="V235" s="9">
        <f t="shared" si="35"/>
        <v>2.7301789665229945</v>
      </c>
      <c r="W235">
        <f t="shared" si="36"/>
        <v>1.266539935570816</v>
      </c>
      <c r="X235">
        <f t="shared" si="31"/>
        <v>7.7771056810794974</v>
      </c>
      <c r="Y235" s="8">
        <f t="shared" si="37"/>
        <v>7.2164464487438199E-2</v>
      </c>
      <c r="Z235" s="8">
        <f t="shared" si="38"/>
        <v>4.2908598538236253E-2</v>
      </c>
      <c r="AA235" s="10">
        <f t="shared" si="39"/>
        <v>4.4290656334748595E-2</v>
      </c>
    </row>
    <row r="236" spans="1:27" x14ac:dyDescent="0.3">
      <c r="A236" t="s">
        <v>75</v>
      </c>
      <c r="B236" s="11">
        <v>2020</v>
      </c>
      <c r="C236" s="12">
        <v>4936.8459999999995</v>
      </c>
      <c r="D236" s="12">
        <v>19513.381000000001</v>
      </c>
      <c r="E236" s="12">
        <v>7861.5910000000003</v>
      </c>
      <c r="F236" s="12">
        <v>4874.5039999999999</v>
      </c>
      <c r="G236" s="12">
        <v>27374.973000000002</v>
      </c>
      <c r="H236" s="12">
        <v>6159.6959999999999</v>
      </c>
      <c r="I236" s="12">
        <v>21215.276000000002</v>
      </c>
      <c r="J236" s="12">
        <v>5173.04</v>
      </c>
      <c r="K236" s="5">
        <v>3.2209343665251404E-2</v>
      </c>
      <c r="L236" s="5">
        <v>2.8654132091227212E-2</v>
      </c>
      <c r="M236" s="8">
        <v>7.6499999999999999E-2</v>
      </c>
      <c r="N236" s="12">
        <v>23208.368333333299</v>
      </c>
      <c r="O236" s="3">
        <f t="shared" si="32"/>
        <v>18</v>
      </c>
      <c r="P236" s="13">
        <v>2003</v>
      </c>
      <c r="Q236" s="14">
        <v>118.69</v>
      </c>
      <c r="R236" s="14">
        <v>168.78</v>
      </c>
      <c r="S236" s="2">
        <f t="shared" si="30"/>
        <v>16.320661437867813</v>
      </c>
      <c r="T236" s="8">
        <f t="shared" si="33"/>
        <v>0.23270241688111901</v>
      </c>
      <c r="U236" s="8">
        <f t="shared" si="34"/>
        <v>0.18034158426384564</v>
      </c>
      <c r="V236" s="9">
        <f t="shared" si="35"/>
        <v>0.29034248717763556</v>
      </c>
      <c r="W236">
        <f t="shared" si="36"/>
        <v>3.7721303140899742</v>
      </c>
      <c r="X236">
        <f t="shared" si="31"/>
        <v>9.6939585750752162</v>
      </c>
      <c r="Y236" s="8">
        <f t="shared" si="37"/>
        <v>0.17806424868437312</v>
      </c>
      <c r="Z236" s="8">
        <f t="shared" si="38"/>
        <v>4.2908598538236253E-2</v>
      </c>
      <c r="AA236" s="10">
        <f t="shared" si="39"/>
        <v>4.4290656334748595E-2</v>
      </c>
    </row>
    <row r="237" spans="1:27" x14ac:dyDescent="0.3">
      <c r="A237" t="s">
        <v>76</v>
      </c>
      <c r="B237" s="11">
        <v>2020</v>
      </c>
      <c r="C237" s="12">
        <v>563.87800000000004</v>
      </c>
      <c r="D237" s="12">
        <v>10248.236999999999</v>
      </c>
      <c r="E237" s="12">
        <v>8048.4110000000001</v>
      </c>
      <c r="F237" s="12">
        <v>4127.3620000000001</v>
      </c>
      <c r="G237" s="12">
        <v>18296.648000000001</v>
      </c>
      <c r="H237" s="12">
        <v>10376.315000000001</v>
      </c>
      <c r="I237" s="12">
        <v>7920.3329999999996</v>
      </c>
      <c r="J237" s="12">
        <v>8740.48</v>
      </c>
      <c r="K237" s="5">
        <v>3.2209343665251404E-2</v>
      </c>
      <c r="L237" s="5">
        <v>2.8654132091227212E-2</v>
      </c>
      <c r="M237" s="8">
        <v>7.6499999999999999E-2</v>
      </c>
      <c r="N237" s="12">
        <v>23208.368333333299</v>
      </c>
      <c r="O237" s="3">
        <f t="shared" si="32"/>
        <v>26</v>
      </c>
      <c r="P237" s="13">
        <v>1995</v>
      </c>
      <c r="Q237" s="14">
        <v>118.69</v>
      </c>
      <c r="R237" s="14">
        <v>168.78</v>
      </c>
      <c r="S237" s="2">
        <f t="shared" si="30"/>
        <v>16.320661437867813</v>
      </c>
      <c r="T237" s="8">
        <f t="shared" si="33"/>
        <v>7.1193723799239259E-2</v>
      </c>
      <c r="U237" s="8">
        <f t="shared" si="34"/>
        <v>3.0818650498167753E-2</v>
      </c>
      <c r="V237" s="9">
        <f t="shared" si="35"/>
        <v>1.3100856996795465</v>
      </c>
      <c r="W237">
        <f t="shared" si="36"/>
        <v>1.1725027687266603</v>
      </c>
      <c r="X237">
        <f t="shared" si="31"/>
        <v>9.2910472469113135</v>
      </c>
      <c r="Y237" s="8">
        <f t="shared" si="37"/>
        <v>0.22558022649831816</v>
      </c>
      <c r="Z237" s="8">
        <f t="shared" si="38"/>
        <v>4.2908598538236253E-2</v>
      </c>
      <c r="AA237" s="10">
        <f t="shared" si="39"/>
        <v>4.4290656334748595E-2</v>
      </c>
    </row>
    <row r="238" spans="1:27" x14ac:dyDescent="0.3">
      <c r="A238" t="s">
        <v>77</v>
      </c>
      <c r="B238" s="11">
        <v>2020</v>
      </c>
      <c r="C238" s="12">
        <v>158.81299999999999</v>
      </c>
      <c r="D238" s="12">
        <v>331.75099999999998</v>
      </c>
      <c r="E238" s="12">
        <v>472.31900000000002</v>
      </c>
      <c r="F238" s="12">
        <v>382.11</v>
      </c>
      <c r="G238" s="12">
        <v>804.07</v>
      </c>
      <c r="H238" s="12">
        <v>308.83100000000002</v>
      </c>
      <c r="I238" s="12">
        <v>495.238</v>
      </c>
      <c r="J238" s="12">
        <v>283.77999999999997</v>
      </c>
      <c r="K238" s="5">
        <v>3.2209343665251404E-2</v>
      </c>
      <c r="L238" s="5">
        <v>2.8654132091227212E-2</v>
      </c>
      <c r="M238" s="8">
        <v>7.6499999999999999E-2</v>
      </c>
      <c r="N238" s="12">
        <v>23208.368333333299</v>
      </c>
      <c r="O238" s="3">
        <f t="shared" si="32"/>
        <v>13</v>
      </c>
      <c r="P238" s="13">
        <v>2008</v>
      </c>
      <c r="Q238" s="14">
        <v>118.69</v>
      </c>
      <c r="R238" s="14">
        <v>168.78</v>
      </c>
      <c r="S238" s="2">
        <f t="shared" si="30"/>
        <v>16.320661437867813</v>
      </c>
      <c r="T238" s="8">
        <f t="shared" si="33"/>
        <v>0.32068015782310727</v>
      </c>
      <c r="U238" s="8">
        <f t="shared" si="34"/>
        <v>0.19751141069807351</v>
      </c>
      <c r="V238" s="9">
        <f t="shared" si="35"/>
        <v>0.62360117761561107</v>
      </c>
      <c r="W238">
        <f t="shared" si="36"/>
        <v>1.1690429205722743</v>
      </c>
      <c r="X238">
        <f t="shared" si="31"/>
        <v>6.1662604243239452</v>
      </c>
      <c r="Y238" s="8">
        <f t="shared" si="37"/>
        <v>0.47521981916997275</v>
      </c>
      <c r="Z238" s="8">
        <f t="shared" si="38"/>
        <v>4.2908598538236253E-2</v>
      </c>
      <c r="AA238" s="10">
        <f t="shared" si="39"/>
        <v>4.4290656334748595E-2</v>
      </c>
    </row>
    <row r="239" spans="1:27" x14ac:dyDescent="0.3">
      <c r="A239" t="s">
        <v>78</v>
      </c>
      <c r="B239" s="11">
        <v>2020</v>
      </c>
      <c r="C239" s="12">
        <v>73.516000000000005</v>
      </c>
      <c r="D239" s="12">
        <v>1049.7539999999999</v>
      </c>
      <c r="E239" s="12">
        <v>355.589</v>
      </c>
      <c r="F239" s="12">
        <v>62.219000000000001</v>
      </c>
      <c r="G239" s="12">
        <v>1405.3430000000001</v>
      </c>
      <c r="H239" s="12">
        <v>977.14200000000005</v>
      </c>
      <c r="I239" s="12">
        <v>428.202</v>
      </c>
      <c r="J239" s="12">
        <v>694.15</v>
      </c>
      <c r="K239" s="5">
        <v>3.2209343665251404E-2</v>
      </c>
      <c r="L239" s="5">
        <v>2.8654132091227212E-2</v>
      </c>
      <c r="M239" s="8">
        <v>7.6499999999999999E-2</v>
      </c>
      <c r="N239" s="12">
        <v>23208.368333333299</v>
      </c>
      <c r="O239" s="3">
        <f t="shared" si="32"/>
        <v>61</v>
      </c>
      <c r="P239" s="13">
        <v>1960</v>
      </c>
      <c r="Q239" s="14">
        <v>118.69</v>
      </c>
      <c r="R239" s="14">
        <v>168.78</v>
      </c>
      <c r="S239" s="2">
        <f t="shared" si="30"/>
        <v>16.320661437867813</v>
      </c>
      <c r="T239" s="8">
        <f t="shared" si="33"/>
        <v>0.17168532608441811</v>
      </c>
      <c r="U239" s="8">
        <f t="shared" si="34"/>
        <v>5.2311784382887312E-2</v>
      </c>
      <c r="V239" s="9">
        <f t="shared" si="35"/>
        <v>2.2819650538764416</v>
      </c>
      <c r="W239">
        <f t="shared" si="36"/>
        <v>1.5122869696751422</v>
      </c>
      <c r="X239">
        <f t="shared" si="31"/>
        <v>6.7246107743455772</v>
      </c>
      <c r="Y239" s="8">
        <f t="shared" si="37"/>
        <v>4.4273177437821228E-2</v>
      </c>
      <c r="Z239" s="8">
        <f t="shared" si="38"/>
        <v>4.2908598538236253E-2</v>
      </c>
      <c r="AA239" s="10">
        <f t="shared" si="39"/>
        <v>4.4290656334748595E-2</v>
      </c>
    </row>
    <row r="240" spans="1:27" x14ac:dyDescent="0.3">
      <c r="A240" t="s">
        <v>79</v>
      </c>
      <c r="B240" s="11">
        <v>2020</v>
      </c>
      <c r="C240" s="12">
        <v>40.08</v>
      </c>
      <c r="D240" s="12">
        <v>294.57799999999997</v>
      </c>
      <c r="E240" s="12">
        <v>187.833</v>
      </c>
      <c r="F240" s="12">
        <v>80.757000000000005</v>
      </c>
      <c r="G240" s="12">
        <v>482.411</v>
      </c>
      <c r="H240" s="12">
        <v>139.821</v>
      </c>
      <c r="I240" s="12">
        <v>342.59</v>
      </c>
      <c r="J240" s="12">
        <v>139.82</v>
      </c>
      <c r="K240" s="5">
        <v>3.2209343665251404E-2</v>
      </c>
      <c r="L240" s="5">
        <v>2.8654132091227212E-2</v>
      </c>
      <c r="M240" s="8">
        <v>7.6499999999999999E-2</v>
      </c>
      <c r="N240" s="12">
        <v>23208.368333333299</v>
      </c>
      <c r="O240" s="3">
        <f t="shared" si="32"/>
        <v>45</v>
      </c>
      <c r="P240" s="13">
        <v>1976</v>
      </c>
      <c r="Q240" s="14">
        <v>118.69</v>
      </c>
      <c r="R240" s="14">
        <v>168.78</v>
      </c>
      <c r="S240" s="2">
        <f t="shared" si="30"/>
        <v>16.320661437867813</v>
      </c>
      <c r="T240" s="8">
        <f t="shared" si="33"/>
        <v>0.11699115560874515</v>
      </c>
      <c r="U240" s="8">
        <f t="shared" si="34"/>
        <v>8.3082682608812811E-2</v>
      </c>
      <c r="V240" s="9">
        <f t="shared" si="35"/>
        <v>0.40812925070784323</v>
      </c>
      <c r="W240">
        <f t="shared" si="36"/>
        <v>2.1068373623229868</v>
      </c>
      <c r="X240">
        <f t="shared" si="31"/>
        <v>5.65537054206467</v>
      </c>
      <c r="Y240" s="8">
        <f t="shared" si="37"/>
        <v>0.16740289918762219</v>
      </c>
      <c r="Z240" s="8">
        <f t="shared" si="38"/>
        <v>4.2908598538236253E-2</v>
      </c>
      <c r="AA240" s="10">
        <f t="shared" si="39"/>
        <v>4.4290656334748595E-2</v>
      </c>
    </row>
    <row r="241" spans="1:27" x14ac:dyDescent="0.3">
      <c r="A241" t="s">
        <v>80</v>
      </c>
      <c r="B241" s="11">
        <v>2020</v>
      </c>
      <c r="C241" s="12">
        <v>144.36099999999999</v>
      </c>
      <c r="D241" s="12">
        <v>633.37199999999996</v>
      </c>
      <c r="E241" s="12">
        <v>1070.0170000000001</v>
      </c>
      <c r="F241" s="12">
        <v>913.92200000000003</v>
      </c>
      <c r="G241" s="12">
        <v>1703.3889999999999</v>
      </c>
      <c r="H241" s="12">
        <v>620.59699999999998</v>
      </c>
      <c r="I241" s="12">
        <v>1082.7919999999999</v>
      </c>
      <c r="J241" s="12">
        <v>568.58000000000004</v>
      </c>
      <c r="K241" s="5">
        <v>3.2209343665251404E-2</v>
      </c>
      <c r="L241" s="5">
        <v>2.8654132091227212E-2</v>
      </c>
      <c r="M241" s="8">
        <v>7.6499999999999999E-2</v>
      </c>
      <c r="N241" s="12">
        <v>23208.368333333299</v>
      </c>
      <c r="O241" s="3">
        <f t="shared" si="32"/>
        <v>21</v>
      </c>
      <c r="P241" s="13">
        <v>2000</v>
      </c>
      <c r="Q241" s="14">
        <v>118.69</v>
      </c>
      <c r="R241" s="14">
        <v>168.78</v>
      </c>
      <c r="S241" s="2">
        <f t="shared" si="30"/>
        <v>16.320661437867813</v>
      </c>
      <c r="T241" s="8">
        <f t="shared" si="33"/>
        <v>0.13332292813393523</v>
      </c>
      <c r="U241" s="8">
        <f t="shared" si="34"/>
        <v>8.4749285101641494E-2</v>
      </c>
      <c r="V241" s="9">
        <f t="shared" si="35"/>
        <v>0.57314516546114125</v>
      </c>
      <c r="W241">
        <f t="shared" si="36"/>
        <v>1.1139540609940553</v>
      </c>
      <c r="X241">
        <f t="shared" si="31"/>
        <v>6.9169491692715113</v>
      </c>
      <c r="Y241" s="8">
        <f t="shared" si="37"/>
        <v>0.53653158497559872</v>
      </c>
      <c r="Z241" s="8">
        <f t="shared" si="38"/>
        <v>4.2908598538236253E-2</v>
      </c>
      <c r="AA241" s="10">
        <f t="shared" si="39"/>
        <v>4.4290656334748595E-2</v>
      </c>
    </row>
    <row r="242" spans="1:27" x14ac:dyDescent="0.3">
      <c r="A242" t="s">
        <v>81</v>
      </c>
      <c r="B242" s="11">
        <v>2020</v>
      </c>
      <c r="C242" s="12">
        <v>224.88300000000001</v>
      </c>
      <c r="D242" s="12">
        <v>1987.5340000000001</v>
      </c>
      <c r="E242" s="12">
        <v>2273.0479999999998</v>
      </c>
      <c r="F242" s="12">
        <v>513.35</v>
      </c>
      <c r="G242" s="12">
        <v>4260.5820000000003</v>
      </c>
      <c r="H242" s="12">
        <v>2517.451</v>
      </c>
      <c r="I242" s="12">
        <v>1743.1310000000001</v>
      </c>
      <c r="J242" s="12">
        <v>2066.4299999999998</v>
      </c>
      <c r="K242" s="5">
        <v>3.2209343665251404E-2</v>
      </c>
      <c r="L242" s="5">
        <v>2.8654132091227212E-2</v>
      </c>
      <c r="M242" s="8">
        <v>7.6499999999999999E-2</v>
      </c>
      <c r="N242" s="12">
        <v>23208.368333333299</v>
      </c>
      <c r="O242" s="3">
        <f t="shared" si="32"/>
        <v>39</v>
      </c>
      <c r="P242" s="13">
        <v>1982</v>
      </c>
      <c r="Q242" s="14">
        <v>118.69</v>
      </c>
      <c r="R242" s="14">
        <v>168.78</v>
      </c>
      <c r="S242" s="2">
        <f t="shared" si="30"/>
        <v>16.320661437867813</v>
      </c>
      <c r="T242" s="8">
        <f t="shared" si="33"/>
        <v>0.12901095786834152</v>
      </c>
      <c r="U242" s="8">
        <f t="shared" si="34"/>
        <v>5.2782225526935053E-2</v>
      </c>
      <c r="V242" s="9">
        <f t="shared" si="35"/>
        <v>1.4442121676454609</v>
      </c>
      <c r="W242">
        <f t="shared" si="36"/>
        <v>0.96182014391970705</v>
      </c>
      <c r="X242">
        <f t="shared" si="31"/>
        <v>7.8337351439083731</v>
      </c>
      <c r="Y242" s="8">
        <f t="shared" si="37"/>
        <v>0.12048823376712384</v>
      </c>
      <c r="Z242" s="8">
        <f t="shared" si="38"/>
        <v>4.2908598538236253E-2</v>
      </c>
      <c r="AA242" s="10">
        <f t="shared" si="39"/>
        <v>4.4290656334748595E-2</v>
      </c>
    </row>
    <row r="243" spans="1:27" x14ac:dyDescent="0.3">
      <c r="A243" t="s">
        <v>82</v>
      </c>
      <c r="B243" s="11">
        <v>2020</v>
      </c>
      <c r="C243" s="12">
        <v>276.22800000000001</v>
      </c>
      <c r="D243" s="12">
        <v>1783.9010000000001</v>
      </c>
      <c r="E243" s="12">
        <v>1192.5219999999999</v>
      </c>
      <c r="F243" s="12">
        <v>986.31399999999996</v>
      </c>
      <c r="G243" s="12">
        <v>2976.4229999999998</v>
      </c>
      <c r="H243" s="12">
        <v>1337.6880000000001</v>
      </c>
      <c r="I243" s="12">
        <v>1638.7349999999999</v>
      </c>
      <c r="J243" s="12">
        <v>1256.93</v>
      </c>
      <c r="K243" s="5">
        <v>3.2209343665251404E-2</v>
      </c>
      <c r="L243" s="5">
        <v>2.8654132091227212E-2</v>
      </c>
      <c r="M243" s="8">
        <v>7.6499999999999999E-2</v>
      </c>
      <c r="N243" s="12">
        <v>23208.368333333299</v>
      </c>
      <c r="O243" s="3">
        <f t="shared" si="32"/>
        <v>45</v>
      </c>
      <c r="P243" s="13">
        <v>1976</v>
      </c>
      <c r="Q243" s="14">
        <v>118.69</v>
      </c>
      <c r="R243" s="14">
        <v>168.78</v>
      </c>
      <c r="S243" s="2">
        <f t="shared" si="30"/>
        <v>16.320661437867813</v>
      </c>
      <c r="T243" s="8">
        <f t="shared" si="33"/>
        <v>0.16856172596545507</v>
      </c>
      <c r="U243" s="8">
        <f t="shared" si="34"/>
        <v>9.2805357303044636E-2</v>
      </c>
      <c r="V243" s="9">
        <f t="shared" si="35"/>
        <v>0.81629305531400753</v>
      </c>
      <c r="W243">
        <f t="shared" si="36"/>
        <v>1.4192524643377118</v>
      </c>
      <c r="X243">
        <f t="shared" si="31"/>
        <v>7.4750516172075079</v>
      </c>
      <c r="Y243" s="8">
        <f t="shared" si="37"/>
        <v>0.33137561428600709</v>
      </c>
      <c r="Z243" s="8">
        <f t="shared" si="38"/>
        <v>4.2908598538236253E-2</v>
      </c>
      <c r="AA243" s="10">
        <f t="shared" si="39"/>
        <v>4.4290656334748595E-2</v>
      </c>
    </row>
    <row r="244" spans="1:27" x14ac:dyDescent="0.3">
      <c r="A244" t="s">
        <v>83</v>
      </c>
      <c r="B244" s="11">
        <v>2020</v>
      </c>
      <c r="C244" s="12">
        <v>239.845</v>
      </c>
      <c r="D244" s="12">
        <v>1701.752</v>
      </c>
      <c r="E244" s="12">
        <v>612.84699999999998</v>
      </c>
      <c r="F244" s="12">
        <v>463.58800000000002</v>
      </c>
      <c r="G244" s="12">
        <v>2314.5990000000002</v>
      </c>
      <c r="H244" s="12">
        <v>566.34</v>
      </c>
      <c r="I244" s="12">
        <v>1748.26</v>
      </c>
      <c r="J244" s="12">
        <v>499.56</v>
      </c>
      <c r="K244" s="5">
        <v>3.2209343665251404E-2</v>
      </c>
      <c r="L244" s="5">
        <v>2.8654132091227212E-2</v>
      </c>
      <c r="M244" s="8">
        <v>7.6499999999999999E-2</v>
      </c>
      <c r="N244" s="12">
        <v>23208.368333333299</v>
      </c>
      <c r="O244" s="3">
        <f t="shared" si="32"/>
        <v>40</v>
      </c>
      <c r="P244" s="13">
        <v>1981</v>
      </c>
      <c r="Q244" s="14">
        <v>118.69</v>
      </c>
      <c r="R244" s="14">
        <v>168.78</v>
      </c>
      <c r="S244" s="2">
        <f t="shared" si="30"/>
        <v>16.320661437867813</v>
      </c>
      <c r="T244" s="8">
        <f t="shared" si="33"/>
        <v>0.1371906924599316</v>
      </c>
      <c r="U244" s="8">
        <f t="shared" si="34"/>
        <v>0.10362270095165511</v>
      </c>
      <c r="V244" s="9">
        <f t="shared" si="35"/>
        <v>0.32394495097983139</v>
      </c>
      <c r="W244">
        <f t="shared" si="36"/>
        <v>3.4065017215149331</v>
      </c>
      <c r="X244">
        <f t="shared" si="31"/>
        <v>7.2235658276320613</v>
      </c>
      <c r="Y244" s="8">
        <f t="shared" si="37"/>
        <v>0.20028868931508223</v>
      </c>
      <c r="Z244" s="8">
        <f t="shared" si="38"/>
        <v>4.2908598538236253E-2</v>
      </c>
      <c r="AA244" s="10">
        <f t="shared" si="39"/>
        <v>4.4290656334748595E-2</v>
      </c>
    </row>
    <row r="245" spans="1:27" x14ac:dyDescent="0.3">
      <c r="A245" t="s">
        <v>84</v>
      </c>
      <c r="B245" s="11">
        <v>2020</v>
      </c>
      <c r="C245" s="12">
        <v>1.8089999999999999</v>
      </c>
      <c r="D245" s="12">
        <v>1320.6479999999999</v>
      </c>
      <c r="E245" s="12">
        <v>385.88</v>
      </c>
      <c r="F245" s="12">
        <v>311.17500000000001</v>
      </c>
      <c r="G245" s="12">
        <v>1706.528</v>
      </c>
      <c r="H245" s="12">
        <v>1289.2329999999999</v>
      </c>
      <c r="I245" s="12">
        <v>417.29500000000002</v>
      </c>
      <c r="J245" s="12">
        <v>1218.33</v>
      </c>
      <c r="K245" s="5">
        <v>3.2209343665251404E-2</v>
      </c>
      <c r="L245" s="5">
        <v>2.8654132091227212E-2</v>
      </c>
      <c r="M245" s="8">
        <v>7.6499999999999999E-2</v>
      </c>
      <c r="N245" s="12">
        <v>23208.368333333299</v>
      </c>
      <c r="O245" s="3">
        <f t="shared" si="32"/>
        <v>45</v>
      </c>
      <c r="P245" s="13">
        <v>1976</v>
      </c>
      <c r="Q245" s="14">
        <v>118.69</v>
      </c>
      <c r="R245" s="14">
        <v>168.78</v>
      </c>
      <c r="S245" s="2">
        <f t="shared" si="30"/>
        <v>16.320661437867813</v>
      </c>
      <c r="T245" s="8">
        <f t="shared" si="33"/>
        <v>4.3350627254100816E-3</v>
      </c>
      <c r="U245" s="8">
        <f t="shared" si="34"/>
        <v>1.0600470663241388E-3</v>
      </c>
      <c r="V245" s="9">
        <f t="shared" si="35"/>
        <v>3.0895002336476591</v>
      </c>
      <c r="W245">
        <f t="shared" si="36"/>
        <v>1.0839821723178449</v>
      </c>
      <c r="X245">
        <f t="shared" si="31"/>
        <v>6.9187902703227548</v>
      </c>
      <c r="Y245" s="8">
        <f t="shared" si="37"/>
        <v>0.18234391700575672</v>
      </c>
      <c r="Z245" s="8">
        <f t="shared" si="38"/>
        <v>4.2908598538236253E-2</v>
      </c>
      <c r="AA245" s="10">
        <f t="shared" si="39"/>
        <v>4.4290656334748595E-2</v>
      </c>
    </row>
    <row r="246" spans="1:27" x14ac:dyDescent="0.3">
      <c r="A246" t="s">
        <v>85</v>
      </c>
      <c r="B246" s="11">
        <v>2020</v>
      </c>
      <c r="C246" s="12">
        <v>75.527000000000001</v>
      </c>
      <c r="D246" s="12">
        <v>1013.96</v>
      </c>
      <c r="E246" s="12">
        <v>600.04200000000003</v>
      </c>
      <c r="F246" s="12">
        <v>482.72</v>
      </c>
      <c r="G246" s="12">
        <v>1614.002</v>
      </c>
      <c r="H246" s="12">
        <v>1021.4109999999999</v>
      </c>
      <c r="I246" s="12">
        <v>592.59100000000001</v>
      </c>
      <c r="J246" s="12">
        <v>957.35</v>
      </c>
      <c r="K246" s="5">
        <v>3.2209343665251404E-2</v>
      </c>
      <c r="L246" s="5">
        <v>2.8654132091227212E-2</v>
      </c>
      <c r="M246" s="8">
        <v>7.6499999999999999E-2</v>
      </c>
      <c r="N246" s="12">
        <v>23208.368333333299</v>
      </c>
      <c r="O246" s="3">
        <f t="shared" si="32"/>
        <v>61</v>
      </c>
      <c r="P246" s="13">
        <v>1960</v>
      </c>
      <c r="Q246" s="14">
        <v>118.69</v>
      </c>
      <c r="R246" s="14">
        <v>168.78</v>
      </c>
      <c r="S246" s="2">
        <f t="shared" si="30"/>
        <v>16.320661437867813</v>
      </c>
      <c r="T246" s="8">
        <f t="shared" si="33"/>
        <v>0.12745215502766663</v>
      </c>
      <c r="U246" s="8">
        <f t="shared" si="34"/>
        <v>4.6794861468573153E-2</v>
      </c>
      <c r="V246" s="9">
        <f t="shared" si="35"/>
        <v>1.7236356947709295</v>
      </c>
      <c r="W246">
        <f t="shared" si="36"/>
        <v>1.0591319789000888</v>
      </c>
      <c r="X246">
        <f t="shared" si="31"/>
        <v>6.8630461822447701</v>
      </c>
      <c r="Y246" s="8">
        <f t="shared" si="37"/>
        <v>0.2990826529335156</v>
      </c>
      <c r="Z246" s="8">
        <f t="shared" si="38"/>
        <v>4.2908598538236253E-2</v>
      </c>
      <c r="AA246" s="10">
        <f t="shared" si="39"/>
        <v>4.4290656334748595E-2</v>
      </c>
    </row>
    <row r="247" spans="1:27" hidden="1" x14ac:dyDescent="0.3">
      <c r="A247" t="s">
        <v>86</v>
      </c>
      <c r="B247" s="11">
        <v>2020</v>
      </c>
      <c r="C247" s="12">
        <v>720.84400000000005</v>
      </c>
      <c r="D247" s="12">
        <v>1619.3820000000001</v>
      </c>
      <c r="E247" s="12">
        <v>512.39700000000005</v>
      </c>
      <c r="F247" s="12">
        <v>465.66699999999997</v>
      </c>
      <c r="G247" s="12">
        <v>2131.779</v>
      </c>
      <c r="H247" s="12">
        <v>633.34299999999996</v>
      </c>
      <c r="I247" s="12">
        <v>1498.4369999999999</v>
      </c>
      <c r="J247" s="12">
        <v>628.12</v>
      </c>
      <c r="K247" s="5">
        <v>3.2209343665251404E-2</v>
      </c>
      <c r="L247" s="5">
        <v>2.8654132091227212E-2</v>
      </c>
      <c r="M247" s="8">
        <v>7.6499999999999999E-2</v>
      </c>
      <c r="N247" s="12">
        <v>23208.368333333299</v>
      </c>
      <c r="O247" s="3">
        <f t="shared" si="32"/>
        <v>52</v>
      </c>
      <c r="P247" s="13">
        <v>1969</v>
      </c>
      <c r="Q247" s="14">
        <v>118.69</v>
      </c>
      <c r="R247" s="14">
        <v>168.78</v>
      </c>
      <c r="S247" s="2">
        <f t="shared" si="30"/>
        <v>16.320661437867813</v>
      </c>
      <c r="T247" s="8">
        <f t="shared" si="33"/>
        <v>0.48106393528723601</v>
      </c>
      <c r="U247" s="8">
        <f t="shared" si="34"/>
        <v>0.3381419931428164</v>
      </c>
      <c r="V247" s="9">
        <f t="shared" si="35"/>
        <v>0.42266908785621282</v>
      </c>
      <c r="W247">
        <f t="shared" si="36"/>
        <v>2.5781411195313</v>
      </c>
      <c r="X247">
        <f t="shared" si="31"/>
        <v>7.1412862156345032</v>
      </c>
      <c r="Y247" s="8">
        <f t="shared" si="37"/>
        <v>0.21844056067725592</v>
      </c>
      <c r="Z247" s="8">
        <f t="shared" si="38"/>
        <v>4.2908598538236253E-2</v>
      </c>
      <c r="AA247" s="10">
        <f t="shared" si="39"/>
        <v>4.4290656334748595E-2</v>
      </c>
    </row>
    <row r="248" spans="1:27" x14ac:dyDescent="0.3">
      <c r="A248" t="s">
        <v>87</v>
      </c>
      <c r="B248" s="11">
        <v>2020</v>
      </c>
      <c r="C248" s="12">
        <v>719.29899999999998</v>
      </c>
      <c r="D248" s="12">
        <v>4735.4809999999998</v>
      </c>
      <c r="E248" s="12">
        <v>2466.3820000000001</v>
      </c>
      <c r="F248" s="12">
        <v>1808.481</v>
      </c>
      <c r="G248" s="12">
        <v>7201.8620000000001</v>
      </c>
      <c r="H248" s="12">
        <v>2026.1310000000001</v>
      </c>
      <c r="I248" s="12">
        <v>5175.7309999999998</v>
      </c>
      <c r="J248" s="12">
        <v>1941</v>
      </c>
      <c r="K248" s="5">
        <v>3.2209343665251404E-2</v>
      </c>
      <c r="L248" s="5">
        <v>2.8654132091227212E-2</v>
      </c>
      <c r="M248" s="8">
        <v>7.6499999999999999E-2</v>
      </c>
      <c r="N248" s="12">
        <v>23208.368333333299</v>
      </c>
      <c r="O248" s="3">
        <f t="shared" si="32"/>
        <v>24</v>
      </c>
      <c r="P248" s="13">
        <v>1997</v>
      </c>
      <c r="Q248" s="14">
        <v>118.69</v>
      </c>
      <c r="R248" s="14">
        <v>168.78</v>
      </c>
      <c r="S248" s="2">
        <f t="shared" si="30"/>
        <v>16.320661437867813</v>
      </c>
      <c r="T248" s="8">
        <f t="shared" si="33"/>
        <v>0.13897534473874318</v>
      </c>
      <c r="U248" s="8">
        <f t="shared" si="34"/>
        <v>9.9876809636174638E-2</v>
      </c>
      <c r="V248" s="9">
        <f t="shared" si="35"/>
        <v>0.39146760138809383</v>
      </c>
      <c r="W248">
        <f t="shared" si="36"/>
        <v>2.4397120041215867</v>
      </c>
      <c r="X248">
        <f t="shared" si="31"/>
        <v>8.3586689769394393</v>
      </c>
      <c r="Y248" s="8">
        <f t="shared" si="37"/>
        <v>0.25111297606091315</v>
      </c>
      <c r="Z248" s="8">
        <f t="shared" si="38"/>
        <v>4.2908598538236253E-2</v>
      </c>
      <c r="AA248" s="10">
        <f t="shared" si="39"/>
        <v>4.4290656334748595E-2</v>
      </c>
    </row>
    <row r="249" spans="1:27" x14ac:dyDescent="0.3">
      <c r="A249" t="s">
        <v>88</v>
      </c>
      <c r="B249" s="11">
        <v>2020</v>
      </c>
      <c r="C249" s="12">
        <v>11235.732</v>
      </c>
      <c r="D249" s="12">
        <v>29665.725999999999</v>
      </c>
      <c r="E249" s="12">
        <v>18766.755000000001</v>
      </c>
      <c r="F249" s="12">
        <v>13853.808000000001</v>
      </c>
      <c r="G249" s="12">
        <v>48432.481</v>
      </c>
      <c r="H249" s="12">
        <v>14785.358</v>
      </c>
      <c r="I249" s="12">
        <v>33647.122000000003</v>
      </c>
      <c r="J249" s="12">
        <v>14212.65</v>
      </c>
      <c r="K249" s="5">
        <v>3.2209343665251404E-2</v>
      </c>
      <c r="L249" s="5">
        <v>2.8654132091227212E-2</v>
      </c>
      <c r="M249" s="8">
        <v>7.6499999999999999E-2</v>
      </c>
      <c r="N249" s="12">
        <v>23208.368333333299</v>
      </c>
      <c r="O249" s="3">
        <f t="shared" si="32"/>
        <v>45</v>
      </c>
      <c r="P249" s="13">
        <v>1976</v>
      </c>
      <c r="Q249" s="14">
        <v>118.69</v>
      </c>
      <c r="R249" s="14">
        <v>168.78</v>
      </c>
      <c r="S249" s="2">
        <f t="shared" si="30"/>
        <v>16.320661437867813</v>
      </c>
      <c r="T249" s="8">
        <f t="shared" si="33"/>
        <v>0.33392847091052835</v>
      </c>
      <c r="U249" s="8">
        <f t="shared" si="34"/>
        <v>0.2319875374544616</v>
      </c>
      <c r="V249" s="9">
        <f t="shared" si="35"/>
        <v>0.43942415045185734</v>
      </c>
      <c r="W249">
        <f t="shared" si="36"/>
        <v>2.0872761940946973</v>
      </c>
      <c r="X249">
        <f t="shared" si="31"/>
        <v>10.264500056920735</v>
      </c>
      <c r="Y249" s="8">
        <f t="shared" si="37"/>
        <v>0.28604373994386123</v>
      </c>
      <c r="Z249" s="8">
        <f t="shared" si="38"/>
        <v>4.2908598538236253E-2</v>
      </c>
      <c r="AA249" s="10">
        <f t="shared" si="39"/>
        <v>4.4290656334748595E-2</v>
      </c>
    </row>
    <row r="250" spans="1:27" x14ac:dyDescent="0.3">
      <c r="A250" t="s">
        <v>27</v>
      </c>
      <c r="B250">
        <v>2019</v>
      </c>
      <c r="C250">
        <v>8.3089999999999993</v>
      </c>
      <c r="D250">
        <v>185.709</v>
      </c>
      <c r="E250">
        <v>41.798999999999999</v>
      </c>
      <c r="F250">
        <v>30.504999999999999</v>
      </c>
      <c r="G250">
        <v>227.50800000000001</v>
      </c>
      <c r="H250">
        <v>16.093</v>
      </c>
      <c r="I250">
        <v>211.41499999999999</v>
      </c>
      <c r="J250">
        <v>15.02</v>
      </c>
      <c r="K250" s="5">
        <v>2.7958236745225001E-2</v>
      </c>
      <c r="L250" s="5">
        <v>7.3592627010500566E-2</v>
      </c>
      <c r="M250" s="8">
        <v>7.7100000000000002E-2</v>
      </c>
      <c r="N250">
        <v>23050.241666666701</v>
      </c>
      <c r="O250" s="3">
        <f t="shared" si="32"/>
        <v>41</v>
      </c>
      <c r="P250" s="15">
        <v>1979</v>
      </c>
      <c r="Q250" s="15">
        <v>117.24</v>
      </c>
      <c r="R250" s="15">
        <v>163.52000000000001</v>
      </c>
      <c r="S250" s="2">
        <f t="shared" si="30"/>
        <v>16.526481977739749</v>
      </c>
      <c r="T250" s="8">
        <f t="shared" si="33"/>
        <v>3.9301847078021895E-2</v>
      </c>
      <c r="U250" s="8">
        <f t="shared" si="34"/>
        <v>3.6521792640258802E-2</v>
      </c>
      <c r="V250" s="9">
        <f t="shared" si="35"/>
        <v>7.612042664900788E-2</v>
      </c>
      <c r="W250">
        <f t="shared" si="36"/>
        <v>12.36411451398136</v>
      </c>
      <c r="X250">
        <f t="shared" si="31"/>
        <v>4.9354202815806536</v>
      </c>
      <c r="Y250" s="8">
        <f t="shared" si="37"/>
        <v>0.13408319707438859</v>
      </c>
      <c r="Z250" s="8">
        <f t="shared" si="38"/>
        <v>4.7805213770522714E-2</v>
      </c>
      <c r="AA250" s="10">
        <f t="shared" si="39"/>
        <v>4.9141763254774998E-2</v>
      </c>
    </row>
    <row r="251" spans="1:27" x14ac:dyDescent="0.3">
      <c r="A251" t="s">
        <v>28</v>
      </c>
      <c r="B251">
        <v>2019</v>
      </c>
      <c r="C251">
        <v>21.146999999999998</v>
      </c>
      <c r="D251">
        <v>149.167</v>
      </c>
      <c r="E251">
        <v>451.71300000000002</v>
      </c>
      <c r="F251">
        <v>342.94299999999998</v>
      </c>
      <c r="G251">
        <v>600.88</v>
      </c>
      <c r="H251">
        <v>189.98500000000001</v>
      </c>
      <c r="I251">
        <v>410.89499999999998</v>
      </c>
      <c r="J251">
        <v>71.34</v>
      </c>
      <c r="K251" s="5">
        <v>2.7958236745225001E-2</v>
      </c>
      <c r="L251" s="5">
        <v>7.3592627010500566E-2</v>
      </c>
      <c r="M251" s="8">
        <v>7.7100000000000002E-2</v>
      </c>
      <c r="N251">
        <v>23050.241666666701</v>
      </c>
      <c r="O251" s="3">
        <f t="shared" si="32"/>
        <v>25</v>
      </c>
      <c r="P251" s="15">
        <v>1995</v>
      </c>
      <c r="Q251" s="15">
        <v>117.24</v>
      </c>
      <c r="R251" s="15">
        <v>163.52000000000001</v>
      </c>
      <c r="S251" s="2">
        <f t="shared" si="30"/>
        <v>16.526481977739749</v>
      </c>
      <c r="T251" s="8">
        <f t="shared" si="33"/>
        <v>5.1465702916803559E-2</v>
      </c>
      <c r="U251" s="8">
        <f t="shared" si="34"/>
        <v>3.5193383038210624E-2</v>
      </c>
      <c r="V251" s="9">
        <f t="shared" si="35"/>
        <v>0.46236873167110826</v>
      </c>
      <c r="W251">
        <f t="shared" si="36"/>
        <v>2.0909307541351274</v>
      </c>
      <c r="X251">
        <f t="shared" si="31"/>
        <v>5.9066301263505077</v>
      </c>
      <c r="Y251" s="8">
        <f t="shared" si="37"/>
        <v>0.57073458926907206</v>
      </c>
      <c r="Z251" s="8">
        <f t="shared" si="38"/>
        <v>4.7805213770522714E-2</v>
      </c>
      <c r="AA251" s="10">
        <f t="shared" si="39"/>
        <v>4.9141763254774998E-2</v>
      </c>
    </row>
    <row r="252" spans="1:27" x14ac:dyDescent="0.3">
      <c r="A252" t="s">
        <v>29</v>
      </c>
      <c r="B252">
        <v>2019</v>
      </c>
      <c r="C252">
        <v>33.021000000000001</v>
      </c>
      <c r="D252">
        <v>356.74</v>
      </c>
      <c r="E252">
        <v>306.61</v>
      </c>
      <c r="F252">
        <v>16.309999999999999</v>
      </c>
      <c r="G252">
        <v>663.35</v>
      </c>
      <c r="H252">
        <v>259.923</v>
      </c>
      <c r="I252">
        <v>403.428</v>
      </c>
      <c r="J252">
        <v>259.39999999999998</v>
      </c>
      <c r="K252" s="5">
        <v>2.7958236745225001E-2</v>
      </c>
      <c r="L252" s="5">
        <v>7.3592627010500566E-2</v>
      </c>
      <c r="M252" s="8">
        <v>7.7100000000000002E-2</v>
      </c>
      <c r="N252">
        <v>23050.241666666701</v>
      </c>
      <c r="O252" s="3">
        <f t="shared" si="32"/>
        <v>45</v>
      </c>
      <c r="P252" s="15">
        <v>1975</v>
      </c>
      <c r="Q252" s="15">
        <v>117.24</v>
      </c>
      <c r="R252" s="15">
        <v>163.52000000000001</v>
      </c>
      <c r="S252" s="2">
        <f t="shared" si="30"/>
        <v>16.526481977739749</v>
      </c>
      <c r="T252" s="8">
        <f t="shared" si="33"/>
        <v>8.1851036616199177E-2</v>
      </c>
      <c r="U252" s="8">
        <f t="shared" si="34"/>
        <v>4.9779151277606092E-2</v>
      </c>
      <c r="V252" s="9">
        <f t="shared" si="35"/>
        <v>0.6442859692435825</v>
      </c>
      <c r="W252">
        <f t="shared" si="36"/>
        <v>1.3752505782575175</v>
      </c>
      <c r="X252">
        <f t="shared" si="31"/>
        <v>6.0055376333356776</v>
      </c>
      <c r="Y252" s="8">
        <f t="shared" si="37"/>
        <v>2.4587321926584756E-2</v>
      </c>
      <c r="Z252" s="8">
        <f t="shared" si="38"/>
        <v>4.7805213770522714E-2</v>
      </c>
      <c r="AA252" s="10">
        <f t="shared" si="39"/>
        <v>4.9141763254774998E-2</v>
      </c>
    </row>
    <row r="253" spans="1:27" x14ac:dyDescent="0.3">
      <c r="A253" t="s">
        <v>30</v>
      </c>
      <c r="B253">
        <v>2019</v>
      </c>
      <c r="C253">
        <v>48.695</v>
      </c>
      <c r="D253">
        <v>258.52999999999997</v>
      </c>
      <c r="E253">
        <v>279.93099999999998</v>
      </c>
      <c r="F253">
        <v>54.286000000000001</v>
      </c>
      <c r="G253">
        <v>538.46199999999999</v>
      </c>
      <c r="H253">
        <v>125.32</v>
      </c>
      <c r="I253">
        <v>413.142</v>
      </c>
      <c r="J253">
        <v>120.18</v>
      </c>
      <c r="K253" s="5">
        <v>2.7958236745225001E-2</v>
      </c>
      <c r="L253" s="5">
        <v>7.3592627010500566E-2</v>
      </c>
      <c r="M253" s="8">
        <v>7.7100000000000002E-2</v>
      </c>
      <c r="N253">
        <v>23050.241666666701</v>
      </c>
      <c r="O253" s="3">
        <f t="shared" si="32"/>
        <v>43</v>
      </c>
      <c r="P253" s="15">
        <v>1977</v>
      </c>
      <c r="Q253" s="15">
        <v>117.24</v>
      </c>
      <c r="R253" s="15">
        <v>163.52000000000001</v>
      </c>
      <c r="S253" s="2">
        <f t="shared" si="30"/>
        <v>16.526481977739749</v>
      </c>
      <c r="T253" s="8">
        <f t="shared" si="33"/>
        <v>0.11786504398003592</v>
      </c>
      <c r="U253" s="8">
        <f t="shared" si="34"/>
        <v>9.043349391414808E-2</v>
      </c>
      <c r="V253" s="9">
        <f t="shared" si="35"/>
        <v>0.30333396265690732</v>
      </c>
      <c r="W253">
        <f t="shared" si="36"/>
        <v>2.1511898818439006</v>
      </c>
      <c r="X253">
        <f t="shared" si="31"/>
        <v>5.7969518066911547</v>
      </c>
      <c r="Y253" s="8">
        <f t="shared" si="37"/>
        <v>0.10081677072848223</v>
      </c>
      <c r="Z253" s="8">
        <f t="shared" si="38"/>
        <v>4.7805213770522714E-2</v>
      </c>
      <c r="AA253" s="10">
        <f t="shared" si="39"/>
        <v>4.9141763254774998E-2</v>
      </c>
    </row>
    <row r="254" spans="1:27" x14ac:dyDescent="0.3">
      <c r="A254" t="s">
        <v>31</v>
      </c>
      <c r="B254">
        <v>2019</v>
      </c>
      <c r="C254">
        <v>141.71299999999999</v>
      </c>
      <c r="D254">
        <v>1100.644</v>
      </c>
      <c r="E254">
        <v>360.54399999999998</v>
      </c>
      <c r="F254">
        <v>344.91199999999998</v>
      </c>
      <c r="G254">
        <v>1461.1880000000001</v>
      </c>
      <c r="H254">
        <v>794.91200000000003</v>
      </c>
      <c r="I254">
        <v>666.27599999999995</v>
      </c>
      <c r="J254">
        <v>794.91</v>
      </c>
      <c r="K254" s="5">
        <v>2.7958236745225001E-2</v>
      </c>
      <c r="L254" s="5">
        <v>7.3592627010500566E-2</v>
      </c>
      <c r="M254" s="8">
        <v>7.7100000000000002E-2</v>
      </c>
      <c r="N254">
        <v>23050.241666666701</v>
      </c>
      <c r="O254" s="3">
        <f t="shared" si="32"/>
        <v>17</v>
      </c>
      <c r="P254" s="15">
        <v>2003</v>
      </c>
      <c r="Q254" s="15">
        <v>117.24</v>
      </c>
      <c r="R254" s="15">
        <v>163.52000000000001</v>
      </c>
      <c r="S254" s="2">
        <f t="shared" si="30"/>
        <v>16.526481977739749</v>
      </c>
      <c r="T254" s="8">
        <f t="shared" si="33"/>
        <v>0.21269413876531648</v>
      </c>
      <c r="U254" s="8">
        <f t="shared" si="34"/>
        <v>9.6984782245679538E-2</v>
      </c>
      <c r="V254" s="9">
        <f t="shared" si="35"/>
        <v>1.1930671373424828</v>
      </c>
      <c r="W254">
        <f t="shared" si="36"/>
        <v>1.3846146104590458</v>
      </c>
      <c r="X254">
        <f t="shared" si="31"/>
        <v>6.7952399614320154</v>
      </c>
      <c r="Y254" s="8">
        <f t="shared" si="37"/>
        <v>0.23604902312365003</v>
      </c>
      <c r="Z254" s="8">
        <f t="shared" si="38"/>
        <v>4.7805213770522714E-2</v>
      </c>
      <c r="AA254" s="10">
        <f t="shared" si="39"/>
        <v>4.9141763254774998E-2</v>
      </c>
    </row>
    <row r="255" spans="1:27" x14ac:dyDescent="0.3">
      <c r="A255" t="s">
        <v>32</v>
      </c>
      <c r="B255">
        <v>2019</v>
      </c>
      <c r="C255">
        <v>8.282</v>
      </c>
      <c r="D255">
        <v>1360.9110000000001</v>
      </c>
      <c r="E255">
        <v>372.572</v>
      </c>
      <c r="F255">
        <v>331.05799999999999</v>
      </c>
      <c r="G255">
        <v>1733.4829999999999</v>
      </c>
      <c r="H255">
        <v>1330.375</v>
      </c>
      <c r="I255">
        <v>403.108</v>
      </c>
      <c r="J255">
        <v>1217.1400000000001</v>
      </c>
      <c r="K255" s="5">
        <v>2.7958236745225001E-2</v>
      </c>
      <c r="L255" s="5">
        <v>7.3592627010500566E-2</v>
      </c>
      <c r="M255" s="8">
        <v>7.7100000000000002E-2</v>
      </c>
      <c r="N255">
        <v>23050.241666666701</v>
      </c>
      <c r="O255" s="3">
        <f t="shared" si="32"/>
        <v>14</v>
      </c>
      <c r="P255" s="15">
        <v>2006</v>
      </c>
      <c r="Q255" s="15">
        <v>117.24</v>
      </c>
      <c r="R255" s="15">
        <v>163.52000000000001</v>
      </c>
      <c r="S255" s="2">
        <f t="shared" si="30"/>
        <v>16.526481977739749</v>
      </c>
      <c r="T255" s="8">
        <f t="shared" si="33"/>
        <v>2.0545362533117676E-2</v>
      </c>
      <c r="U255" s="8">
        <f t="shared" si="34"/>
        <v>4.7776643901324672E-3</v>
      </c>
      <c r="V255" s="9">
        <f t="shared" si="35"/>
        <v>3.30029421395755</v>
      </c>
      <c r="W255">
        <f t="shared" si="36"/>
        <v>1.1181219908966922</v>
      </c>
      <c r="X255">
        <f t="shared" si="31"/>
        <v>6.9661228373003921</v>
      </c>
      <c r="Y255" s="8">
        <f t="shared" si="37"/>
        <v>0.19097850974021666</v>
      </c>
      <c r="Z255" s="8">
        <f t="shared" si="38"/>
        <v>4.7805213770522714E-2</v>
      </c>
      <c r="AA255" s="10">
        <f t="shared" si="39"/>
        <v>4.9141763254774998E-2</v>
      </c>
    </row>
    <row r="256" spans="1:27" hidden="1" x14ac:dyDescent="0.3">
      <c r="A256" t="s">
        <v>33</v>
      </c>
      <c r="B256">
        <v>2019</v>
      </c>
      <c r="C256">
        <v>40.320999999999998</v>
      </c>
      <c r="D256">
        <v>591.01400000000001</v>
      </c>
      <c r="E256">
        <v>181.048</v>
      </c>
      <c r="F256">
        <v>121.99299999999999</v>
      </c>
      <c r="G256">
        <v>772.06200000000001</v>
      </c>
      <c r="H256">
        <v>330.69900000000001</v>
      </c>
      <c r="I256">
        <v>441.36399999999998</v>
      </c>
      <c r="J256">
        <v>325.51</v>
      </c>
      <c r="K256" s="5">
        <v>2.7958236745225001E-2</v>
      </c>
      <c r="L256" s="5">
        <v>7.3592627010500566E-2</v>
      </c>
      <c r="M256" s="8">
        <v>7.7100000000000002E-2</v>
      </c>
      <c r="N256">
        <v>23050.241666666701</v>
      </c>
      <c r="O256" s="3">
        <f t="shared" si="32"/>
        <v>44</v>
      </c>
      <c r="P256" s="15">
        <v>1976</v>
      </c>
      <c r="Q256" s="15">
        <v>117.24</v>
      </c>
      <c r="R256" s="15">
        <v>163.52000000000001</v>
      </c>
      <c r="S256" s="2">
        <f t="shared" si="30"/>
        <v>16.526481977739749</v>
      </c>
      <c r="T256" s="8">
        <f t="shared" si="33"/>
        <v>9.135543451663479E-2</v>
      </c>
      <c r="U256" s="8">
        <f t="shared" si="34"/>
        <v>5.2225080369193141E-2</v>
      </c>
      <c r="V256" s="9">
        <f t="shared" si="35"/>
        <v>0.74926591203632387</v>
      </c>
      <c r="W256">
        <f t="shared" si="36"/>
        <v>1.8156554330128107</v>
      </c>
      <c r="X256">
        <f t="shared" si="31"/>
        <v>6.1572997366536111</v>
      </c>
      <c r="Y256" s="8">
        <f t="shared" si="37"/>
        <v>0.15800933085684826</v>
      </c>
      <c r="Z256" s="8">
        <f t="shared" si="38"/>
        <v>4.7805213770522714E-2</v>
      </c>
      <c r="AA256" s="10">
        <f t="shared" si="39"/>
        <v>4.9141763254774998E-2</v>
      </c>
    </row>
    <row r="257" spans="1:27" x14ac:dyDescent="0.3">
      <c r="A257" t="s">
        <v>34</v>
      </c>
      <c r="B257">
        <v>2019</v>
      </c>
      <c r="C257">
        <v>704.04399999999998</v>
      </c>
      <c r="D257">
        <v>2690.4870000000001</v>
      </c>
      <c r="E257">
        <v>1444.11</v>
      </c>
      <c r="F257">
        <v>552.76599999999996</v>
      </c>
      <c r="G257">
        <v>4134.598</v>
      </c>
      <c r="H257">
        <v>1748.538</v>
      </c>
      <c r="I257">
        <v>2386.06</v>
      </c>
      <c r="J257">
        <v>1728.26</v>
      </c>
      <c r="K257" s="5">
        <v>2.7958236745225001E-2</v>
      </c>
      <c r="L257" s="5">
        <v>7.3592627010500566E-2</v>
      </c>
      <c r="M257" s="8">
        <v>7.7100000000000002E-2</v>
      </c>
      <c r="N257">
        <v>23050.241666666701</v>
      </c>
      <c r="O257" s="3">
        <f t="shared" si="32"/>
        <v>27</v>
      </c>
      <c r="P257" s="15">
        <v>1993</v>
      </c>
      <c r="Q257" s="15">
        <v>117.24</v>
      </c>
      <c r="R257" s="15">
        <v>163.52000000000001</v>
      </c>
      <c r="S257" s="2">
        <f t="shared" si="30"/>
        <v>16.526481977739749</v>
      </c>
      <c r="T257" s="8">
        <f t="shared" si="33"/>
        <v>0.29506550547764937</v>
      </c>
      <c r="U257" s="8">
        <f t="shared" si="34"/>
        <v>0.17028112527505695</v>
      </c>
      <c r="V257" s="9">
        <f t="shared" si="35"/>
        <v>0.73281392756259278</v>
      </c>
      <c r="W257">
        <f t="shared" si="36"/>
        <v>1.5567605568606575</v>
      </c>
      <c r="X257">
        <f t="shared" si="31"/>
        <v>7.835380262841122</v>
      </c>
      <c r="Y257" s="8">
        <f t="shared" si="37"/>
        <v>0.13369280399206887</v>
      </c>
      <c r="Z257" s="8">
        <f t="shared" si="38"/>
        <v>4.7805213770522714E-2</v>
      </c>
      <c r="AA257" s="10">
        <f t="shared" si="39"/>
        <v>4.9141763254774998E-2</v>
      </c>
    </row>
    <row r="258" spans="1:27" x14ac:dyDescent="0.3">
      <c r="A258" t="s">
        <v>35</v>
      </c>
      <c r="B258">
        <v>2019</v>
      </c>
      <c r="C258">
        <v>823.34799999999996</v>
      </c>
      <c r="D258">
        <v>7520.2830000000004</v>
      </c>
      <c r="E258">
        <v>8076.0290000000005</v>
      </c>
      <c r="F258">
        <v>5749.2380000000003</v>
      </c>
      <c r="G258">
        <v>15596.312</v>
      </c>
      <c r="H258">
        <v>9294.4390000000003</v>
      </c>
      <c r="I258">
        <v>6301.8720000000003</v>
      </c>
      <c r="J258">
        <v>6553.95</v>
      </c>
      <c r="K258" s="5">
        <v>2.7958236745225001E-2</v>
      </c>
      <c r="L258" s="5">
        <v>7.3592627010500566E-2</v>
      </c>
      <c r="M258" s="8">
        <v>7.7100000000000002E-2</v>
      </c>
      <c r="N258">
        <v>23050.241666666701</v>
      </c>
      <c r="O258" s="3">
        <f t="shared" si="32"/>
        <v>23</v>
      </c>
      <c r="P258" s="15">
        <v>1997</v>
      </c>
      <c r="Q258" s="15">
        <v>117.24</v>
      </c>
      <c r="R258" s="15">
        <v>163.52000000000001</v>
      </c>
      <c r="S258" s="2">
        <f t="shared" ref="S258:S311" si="40">N258*Q258/(R258*1000)</f>
        <v>16.526481977739749</v>
      </c>
      <c r="T258" s="8">
        <f t="shared" si="33"/>
        <v>0.13065133661870632</v>
      </c>
      <c r="U258" s="8">
        <f t="shared" si="34"/>
        <v>5.2791198329451214E-2</v>
      </c>
      <c r="V258" s="9">
        <f t="shared" si="35"/>
        <v>1.4748695308314737</v>
      </c>
      <c r="W258">
        <f t="shared" si="36"/>
        <v>1.1474428398141581</v>
      </c>
      <c r="X258">
        <f t="shared" ref="X258:X311" si="41">LN(100*G258/R258)</f>
        <v>9.1630246340046604</v>
      </c>
      <c r="Y258" s="8">
        <f t="shared" si="37"/>
        <v>0.36862804488650908</v>
      </c>
      <c r="Z258" s="8">
        <f t="shared" si="38"/>
        <v>4.7805213770522714E-2</v>
      </c>
      <c r="AA258" s="10">
        <f t="shared" si="39"/>
        <v>4.9141763254774998E-2</v>
      </c>
    </row>
    <row r="259" spans="1:27" x14ac:dyDescent="0.3">
      <c r="A259" t="s">
        <v>36</v>
      </c>
      <c r="B259">
        <v>2019</v>
      </c>
      <c r="C259">
        <v>12.96</v>
      </c>
      <c r="D259">
        <v>6036.2910000000002</v>
      </c>
      <c r="E259">
        <v>301.44</v>
      </c>
      <c r="F259">
        <v>45.054000000000002</v>
      </c>
      <c r="G259">
        <v>6337.73</v>
      </c>
      <c r="H259">
        <v>6217.9690000000001</v>
      </c>
      <c r="I259">
        <v>119.762</v>
      </c>
      <c r="J259">
        <v>5966.52</v>
      </c>
      <c r="K259" s="5">
        <v>2.7958236745225001E-2</v>
      </c>
      <c r="L259" s="5">
        <v>7.3592627010500566E-2</v>
      </c>
      <c r="M259" s="8">
        <v>7.7100000000000002E-2</v>
      </c>
      <c r="N259">
        <v>23050.241666666701</v>
      </c>
      <c r="O259" s="3">
        <f t="shared" ref="O259:O311" si="42">B259-P259+1</f>
        <v>3</v>
      </c>
      <c r="P259" s="15">
        <v>2017</v>
      </c>
      <c r="Q259" s="15">
        <v>117.24</v>
      </c>
      <c r="R259" s="15">
        <v>163.52000000000001</v>
      </c>
      <c r="S259" s="2">
        <f t="shared" si="40"/>
        <v>16.526481977739749</v>
      </c>
      <c r="T259" s="8">
        <f t="shared" ref="T259:T311" si="43">C259/I259</f>
        <v>0.10821462567425394</v>
      </c>
      <c r="U259" s="8">
        <f t="shared" ref="U259:U311" si="44">C259/G259</f>
        <v>2.044896201005723E-3</v>
      </c>
      <c r="V259" s="9">
        <f t="shared" ref="V259:V311" si="45">H259/I259</f>
        <v>51.91938177385147</v>
      </c>
      <c r="W259">
        <f t="shared" ref="W259:W311" si="46">D259/J259</f>
        <v>1.0116937511313127</v>
      </c>
      <c r="X259">
        <f t="shared" si="41"/>
        <v>8.26251081812687</v>
      </c>
      <c r="Y259" s="8">
        <f t="shared" ref="Y259:Y311" si="47">F259/G259</f>
        <v>7.1088544321073954E-3</v>
      </c>
      <c r="Z259" s="8">
        <f t="shared" ref="Z259:Z311" si="48">(M259+1)/(K259+1)-1</f>
        <v>4.7805213770522714E-2</v>
      </c>
      <c r="AA259" s="10">
        <f t="shared" ref="AA259:AA311" si="49">M259-K259</f>
        <v>4.9141763254774998E-2</v>
      </c>
    </row>
    <row r="260" spans="1:27" x14ac:dyDescent="0.3">
      <c r="A260" t="s">
        <v>37</v>
      </c>
      <c r="B260">
        <v>2019</v>
      </c>
      <c r="C260">
        <v>95.433999999999997</v>
      </c>
      <c r="D260">
        <v>841.53300000000002</v>
      </c>
      <c r="E260">
        <v>728.91600000000005</v>
      </c>
      <c r="F260">
        <v>192.505</v>
      </c>
      <c r="G260">
        <v>1570.4480000000001</v>
      </c>
      <c r="H260">
        <v>566.57100000000003</v>
      </c>
      <c r="I260">
        <v>1003.877</v>
      </c>
      <c r="J260">
        <v>548.16</v>
      </c>
      <c r="K260" s="5">
        <v>2.7958236745225001E-2</v>
      </c>
      <c r="L260" s="5">
        <v>7.3592627010500566E-2</v>
      </c>
      <c r="M260" s="8">
        <v>7.7100000000000002E-2</v>
      </c>
      <c r="N260">
        <v>23050.241666666701</v>
      </c>
      <c r="O260" s="3">
        <f t="shared" si="42"/>
        <v>21</v>
      </c>
      <c r="P260" s="15">
        <v>1999</v>
      </c>
      <c r="Q260" s="15">
        <v>117.24</v>
      </c>
      <c r="R260" s="15">
        <v>163.52000000000001</v>
      </c>
      <c r="S260" s="2">
        <f t="shared" si="40"/>
        <v>16.526481977739749</v>
      </c>
      <c r="T260" s="8">
        <f t="shared" si="43"/>
        <v>9.5065431322761657E-2</v>
      </c>
      <c r="U260" s="8">
        <f t="shared" si="44"/>
        <v>6.0768646908398109E-2</v>
      </c>
      <c r="V260" s="9">
        <f t="shared" si="45"/>
        <v>0.56438288754498811</v>
      </c>
      <c r="W260">
        <f t="shared" si="46"/>
        <v>1.5351959281961471</v>
      </c>
      <c r="X260">
        <f t="shared" si="41"/>
        <v>6.8673510869289176</v>
      </c>
      <c r="Y260" s="8">
        <f t="shared" si="47"/>
        <v>0.12257967153321854</v>
      </c>
      <c r="Z260" s="8">
        <f t="shared" si="48"/>
        <v>4.7805213770522714E-2</v>
      </c>
      <c r="AA260" s="10">
        <f t="shared" si="49"/>
        <v>4.9141763254774998E-2</v>
      </c>
    </row>
    <row r="261" spans="1:27" x14ac:dyDescent="0.3">
      <c r="A261" t="s">
        <v>38</v>
      </c>
      <c r="B261">
        <v>2019</v>
      </c>
      <c r="C261">
        <v>523.12800000000004</v>
      </c>
      <c r="D261">
        <v>4196.5190000000002</v>
      </c>
      <c r="E261">
        <v>3575.6570000000002</v>
      </c>
      <c r="F261">
        <v>2887.0369999999998</v>
      </c>
      <c r="G261">
        <v>7772.1760000000004</v>
      </c>
      <c r="H261">
        <v>2590.6129999999998</v>
      </c>
      <c r="I261">
        <v>5181.5630000000001</v>
      </c>
      <c r="J261">
        <v>2328.5100000000002</v>
      </c>
      <c r="K261" s="5">
        <v>2.7958236745225001E-2</v>
      </c>
      <c r="L261" s="5">
        <v>7.3592627010500566E-2</v>
      </c>
      <c r="M261" s="8">
        <v>7.7100000000000002E-2</v>
      </c>
      <c r="N261">
        <v>23050.241666666701</v>
      </c>
      <c r="O261" s="3">
        <f t="shared" si="42"/>
        <v>130</v>
      </c>
      <c r="P261" s="15">
        <v>1890</v>
      </c>
      <c r="Q261" s="15">
        <v>117.24</v>
      </c>
      <c r="R261" s="15">
        <v>163.52000000000001</v>
      </c>
      <c r="S261" s="2">
        <f t="shared" si="40"/>
        <v>16.526481977739749</v>
      </c>
      <c r="T261" s="8">
        <f t="shared" si="43"/>
        <v>0.10095949812826747</v>
      </c>
      <c r="U261" s="8">
        <f t="shared" si="44"/>
        <v>6.7307791280073942E-2</v>
      </c>
      <c r="V261" s="9">
        <f t="shared" si="45"/>
        <v>0.49996748085471504</v>
      </c>
      <c r="W261">
        <f t="shared" si="46"/>
        <v>1.8022336172058526</v>
      </c>
      <c r="X261">
        <f t="shared" si="41"/>
        <v>8.4665403346073997</v>
      </c>
      <c r="Y261" s="8">
        <f t="shared" si="47"/>
        <v>0.37145800609764879</v>
      </c>
      <c r="Z261" s="8">
        <f t="shared" si="48"/>
        <v>4.7805213770522714E-2</v>
      </c>
      <c r="AA261" s="10">
        <f t="shared" si="49"/>
        <v>4.9141763254774998E-2</v>
      </c>
    </row>
    <row r="262" spans="1:27" x14ac:dyDescent="0.3">
      <c r="A262" t="s">
        <v>39</v>
      </c>
      <c r="B262">
        <v>2019</v>
      </c>
      <c r="C262">
        <v>19.815999999999999</v>
      </c>
      <c r="D262">
        <v>288.82</v>
      </c>
      <c r="E262">
        <v>119.79600000000001</v>
      </c>
      <c r="F262">
        <v>22.65</v>
      </c>
      <c r="G262">
        <v>408.61599999999999</v>
      </c>
      <c r="H262">
        <v>51.241</v>
      </c>
      <c r="I262">
        <v>357.375</v>
      </c>
      <c r="J262">
        <v>44.88</v>
      </c>
      <c r="K262" s="5">
        <v>2.7958236745225001E-2</v>
      </c>
      <c r="L262" s="5">
        <v>7.3592627010500566E-2</v>
      </c>
      <c r="M262" s="8">
        <v>7.7100000000000002E-2</v>
      </c>
      <c r="N262">
        <v>23050.241666666701</v>
      </c>
      <c r="O262" s="3">
        <f t="shared" si="42"/>
        <v>5</v>
      </c>
      <c r="P262" s="15">
        <v>2015</v>
      </c>
      <c r="Q262" s="15">
        <v>117.24</v>
      </c>
      <c r="R262" s="15">
        <v>163.52000000000001</v>
      </c>
      <c r="S262" s="2">
        <f t="shared" si="40"/>
        <v>16.526481977739749</v>
      </c>
      <c r="T262" s="8">
        <f t="shared" si="43"/>
        <v>5.5448758307100381E-2</v>
      </c>
      <c r="U262" s="8">
        <f t="shared" si="44"/>
        <v>4.8495408892456487E-2</v>
      </c>
      <c r="V262" s="9">
        <f t="shared" si="45"/>
        <v>0.14338160195872682</v>
      </c>
      <c r="W262">
        <f t="shared" si="46"/>
        <v>6.4353832442067729</v>
      </c>
      <c r="X262">
        <f t="shared" si="41"/>
        <v>5.5210107186904471</v>
      </c>
      <c r="Y262" s="8">
        <f t="shared" si="47"/>
        <v>5.5431015917144701E-2</v>
      </c>
      <c r="Z262" s="8">
        <f t="shared" si="48"/>
        <v>4.7805213770522714E-2</v>
      </c>
      <c r="AA262" s="10">
        <f t="shared" si="49"/>
        <v>4.9141763254774998E-2</v>
      </c>
    </row>
    <row r="263" spans="1:27" x14ac:dyDescent="0.3">
      <c r="A263" t="s">
        <v>40</v>
      </c>
      <c r="B263">
        <v>2019</v>
      </c>
      <c r="C263">
        <v>140.547</v>
      </c>
      <c r="D263">
        <v>912.048</v>
      </c>
      <c r="E263">
        <v>112.32299999999999</v>
      </c>
      <c r="F263">
        <v>95.558000000000007</v>
      </c>
      <c r="G263">
        <v>1024.3710000000001</v>
      </c>
      <c r="H263">
        <v>331.40899999999999</v>
      </c>
      <c r="I263">
        <v>692.96299999999997</v>
      </c>
      <c r="J263">
        <v>331.41</v>
      </c>
      <c r="K263" s="5">
        <v>2.7958236745225001E-2</v>
      </c>
      <c r="L263" s="5">
        <v>7.3592627010500566E-2</v>
      </c>
      <c r="M263" s="8">
        <v>7.7100000000000002E-2</v>
      </c>
      <c r="N263">
        <v>23050.241666666701</v>
      </c>
      <c r="O263" s="3">
        <f t="shared" si="42"/>
        <v>28</v>
      </c>
      <c r="P263" s="15">
        <v>1992</v>
      </c>
      <c r="Q263" s="15">
        <v>117.24</v>
      </c>
      <c r="R263" s="15">
        <v>163.52000000000001</v>
      </c>
      <c r="S263" s="2">
        <f t="shared" si="40"/>
        <v>16.526481977739749</v>
      </c>
      <c r="T263" s="8">
        <f t="shared" si="43"/>
        <v>0.20282035260179837</v>
      </c>
      <c r="U263" s="8">
        <f t="shared" si="44"/>
        <v>0.13720322031763882</v>
      </c>
      <c r="V263" s="9">
        <f t="shared" si="45"/>
        <v>0.4782491994522074</v>
      </c>
      <c r="W263">
        <f t="shared" si="46"/>
        <v>2.75202317371232</v>
      </c>
      <c r="X263">
        <f t="shared" si="41"/>
        <v>6.44006892364321</v>
      </c>
      <c r="Y263" s="8">
        <f t="shared" si="47"/>
        <v>9.3284561940937413E-2</v>
      </c>
      <c r="Z263" s="8">
        <f t="shared" si="48"/>
        <v>4.7805213770522714E-2</v>
      </c>
      <c r="AA263" s="10">
        <f t="shared" si="49"/>
        <v>4.9141763254774998E-2</v>
      </c>
    </row>
    <row r="264" spans="1:27" x14ac:dyDescent="0.3">
      <c r="A264" t="s">
        <v>41</v>
      </c>
      <c r="B264">
        <v>2019</v>
      </c>
      <c r="C264">
        <v>77.75</v>
      </c>
      <c r="D264">
        <v>958.06299999999999</v>
      </c>
      <c r="E264">
        <v>465.733</v>
      </c>
      <c r="F264">
        <v>205.584</v>
      </c>
      <c r="G264">
        <v>1423.796</v>
      </c>
      <c r="H264">
        <v>1079.328</v>
      </c>
      <c r="I264">
        <v>344.46800000000002</v>
      </c>
      <c r="J264">
        <v>1036.6199999999999</v>
      </c>
      <c r="K264" s="5">
        <v>2.7958236745225001E-2</v>
      </c>
      <c r="L264" s="5">
        <v>7.3592627010500566E-2</v>
      </c>
      <c r="M264" s="8">
        <v>7.7100000000000002E-2</v>
      </c>
      <c r="N264">
        <v>23050.241666666701</v>
      </c>
      <c r="O264" s="3">
        <f t="shared" si="42"/>
        <v>43</v>
      </c>
      <c r="P264" s="15">
        <v>1977</v>
      </c>
      <c r="Q264" s="15">
        <v>117.24</v>
      </c>
      <c r="R264" s="15">
        <v>163.52000000000001</v>
      </c>
      <c r="S264" s="2">
        <f t="shared" si="40"/>
        <v>16.526481977739749</v>
      </c>
      <c r="T264" s="8">
        <f t="shared" si="43"/>
        <v>0.22571037077464379</v>
      </c>
      <c r="U264" s="8">
        <f t="shared" si="44"/>
        <v>5.4607542091704146E-2</v>
      </c>
      <c r="V264" s="9">
        <f t="shared" si="45"/>
        <v>3.133318624661797</v>
      </c>
      <c r="W264">
        <f t="shared" si="46"/>
        <v>0.92421813200594249</v>
      </c>
      <c r="X264">
        <f t="shared" si="41"/>
        <v>6.7693167022552378</v>
      </c>
      <c r="Y264" s="8">
        <f t="shared" si="47"/>
        <v>0.14439147181197307</v>
      </c>
      <c r="Z264" s="8">
        <f t="shared" si="48"/>
        <v>4.7805213770522714E-2</v>
      </c>
      <c r="AA264" s="10">
        <f t="shared" si="49"/>
        <v>4.9141763254774998E-2</v>
      </c>
    </row>
    <row r="265" spans="1:27" x14ac:dyDescent="0.3">
      <c r="A265" t="s">
        <v>42</v>
      </c>
      <c r="B265">
        <v>2019</v>
      </c>
      <c r="C265">
        <v>52.45</v>
      </c>
      <c r="D265">
        <v>2172.1779999999999</v>
      </c>
      <c r="E265">
        <v>1643.8440000000001</v>
      </c>
      <c r="F265">
        <v>1576.5840000000001</v>
      </c>
      <c r="G265">
        <v>3816.0230000000001</v>
      </c>
      <c r="H265">
        <v>2575.078</v>
      </c>
      <c r="I265">
        <v>1240.944</v>
      </c>
      <c r="J265">
        <v>2157.65</v>
      </c>
      <c r="K265" s="5">
        <v>2.7958236745225001E-2</v>
      </c>
      <c r="L265" s="5">
        <v>7.3592627010500566E-2</v>
      </c>
      <c r="M265" s="8">
        <v>7.7100000000000002E-2</v>
      </c>
      <c r="N265">
        <v>23050.241666666701</v>
      </c>
      <c r="O265" s="3">
        <f t="shared" si="42"/>
        <v>44</v>
      </c>
      <c r="P265" s="15">
        <v>1976</v>
      </c>
      <c r="Q265" s="15">
        <v>117.24</v>
      </c>
      <c r="R265" s="15">
        <v>163.52000000000001</v>
      </c>
      <c r="S265" s="2">
        <f t="shared" si="40"/>
        <v>16.526481977739749</v>
      </c>
      <c r="T265" s="8">
        <f t="shared" si="43"/>
        <v>4.2266210239946367E-2</v>
      </c>
      <c r="U265" s="8">
        <f t="shared" si="44"/>
        <v>1.3744676067203998E-2</v>
      </c>
      <c r="V265" s="9">
        <f t="shared" si="45"/>
        <v>2.0750960559058265</v>
      </c>
      <c r="W265">
        <f t="shared" si="46"/>
        <v>1.0067332514541283</v>
      </c>
      <c r="X265">
        <f t="shared" si="41"/>
        <v>7.7551989387764335</v>
      </c>
      <c r="Y265" s="8">
        <f t="shared" si="47"/>
        <v>0.41314845324569582</v>
      </c>
      <c r="Z265" s="8">
        <f t="shared" si="48"/>
        <v>4.7805213770522714E-2</v>
      </c>
      <c r="AA265" s="10">
        <f t="shared" si="49"/>
        <v>4.9141763254774998E-2</v>
      </c>
    </row>
    <row r="266" spans="1:27" x14ac:dyDescent="0.3">
      <c r="A266" t="s">
        <v>43</v>
      </c>
      <c r="B266">
        <v>2019</v>
      </c>
      <c r="C266">
        <v>43.930999999999997</v>
      </c>
      <c r="D266">
        <v>1191.9829999999999</v>
      </c>
      <c r="E266">
        <v>354.94400000000002</v>
      </c>
      <c r="F266">
        <v>131.72800000000001</v>
      </c>
      <c r="G266">
        <v>1546.9269999999999</v>
      </c>
      <c r="H266">
        <v>1014.423</v>
      </c>
      <c r="I266">
        <v>532.50400000000002</v>
      </c>
      <c r="J266">
        <v>1011.73</v>
      </c>
      <c r="K266" s="5">
        <v>2.7958236745225001E-2</v>
      </c>
      <c r="L266" s="5">
        <v>7.3592627010500566E-2</v>
      </c>
      <c r="M266" s="8">
        <v>7.7100000000000002E-2</v>
      </c>
      <c r="N266">
        <v>23050.241666666701</v>
      </c>
      <c r="O266" s="3">
        <f t="shared" si="42"/>
        <v>11</v>
      </c>
      <c r="P266" s="15">
        <v>2009</v>
      </c>
      <c r="Q266" s="15">
        <v>117.24</v>
      </c>
      <c r="R266" s="15">
        <v>163.52000000000001</v>
      </c>
      <c r="S266" s="2">
        <f t="shared" si="40"/>
        <v>16.526481977739749</v>
      </c>
      <c r="T266" s="8">
        <f t="shared" si="43"/>
        <v>8.2498910806303796E-2</v>
      </c>
      <c r="U266" s="8">
        <f t="shared" si="44"/>
        <v>2.8398883722373452E-2</v>
      </c>
      <c r="V266" s="9">
        <f t="shared" si="45"/>
        <v>1.9050054084100776</v>
      </c>
      <c r="W266">
        <f t="shared" si="46"/>
        <v>1.1781631462939717</v>
      </c>
      <c r="X266">
        <f t="shared" si="41"/>
        <v>6.8522605403264123</v>
      </c>
      <c r="Y266" s="8">
        <f t="shared" si="47"/>
        <v>8.515463237761059E-2</v>
      </c>
      <c r="Z266" s="8">
        <f t="shared" si="48"/>
        <v>4.7805213770522714E-2</v>
      </c>
      <c r="AA266" s="10">
        <f t="shared" si="49"/>
        <v>4.9141763254774998E-2</v>
      </c>
    </row>
    <row r="267" spans="1:27" x14ac:dyDescent="0.3">
      <c r="A267" t="s">
        <v>44</v>
      </c>
      <c r="B267">
        <v>2019</v>
      </c>
      <c r="C267">
        <v>62.271999999999998</v>
      </c>
      <c r="D267">
        <v>1101.385</v>
      </c>
      <c r="E267">
        <v>473.96600000000001</v>
      </c>
      <c r="F267">
        <v>327.97699999999998</v>
      </c>
      <c r="G267">
        <v>1575.3510000000001</v>
      </c>
      <c r="H267">
        <v>986.00199999999995</v>
      </c>
      <c r="I267">
        <v>589.34900000000005</v>
      </c>
      <c r="J267">
        <v>854.23</v>
      </c>
      <c r="K267" s="5">
        <v>2.7958236745225001E-2</v>
      </c>
      <c r="L267" s="5">
        <v>7.3592627010500566E-2</v>
      </c>
      <c r="M267" s="8">
        <v>7.7100000000000002E-2</v>
      </c>
      <c r="N267">
        <v>23050.241666666701</v>
      </c>
      <c r="O267" s="3">
        <f t="shared" si="42"/>
        <v>12</v>
      </c>
      <c r="P267" s="15">
        <v>2008</v>
      </c>
      <c r="Q267" s="15">
        <v>117.24</v>
      </c>
      <c r="R267" s="15">
        <v>163.52000000000001</v>
      </c>
      <c r="S267" s="2">
        <f t="shared" si="40"/>
        <v>16.526481977739749</v>
      </c>
      <c r="T267" s="8">
        <f t="shared" si="43"/>
        <v>0.10566234947374135</v>
      </c>
      <c r="U267" s="8">
        <f t="shared" si="44"/>
        <v>3.9528968464805615E-2</v>
      </c>
      <c r="V267" s="9">
        <f t="shared" si="45"/>
        <v>1.6730358412417767</v>
      </c>
      <c r="W267">
        <f t="shared" si="46"/>
        <v>1.2893307423059364</v>
      </c>
      <c r="X267">
        <f t="shared" si="41"/>
        <v>6.8704682625463782</v>
      </c>
      <c r="Y267" s="8">
        <f t="shared" si="47"/>
        <v>0.20819296778940055</v>
      </c>
      <c r="Z267" s="8">
        <f t="shared" si="48"/>
        <v>4.7805213770522714E-2</v>
      </c>
      <c r="AA267" s="10">
        <f t="shared" si="49"/>
        <v>4.9141763254774998E-2</v>
      </c>
    </row>
    <row r="268" spans="1:27" x14ac:dyDescent="0.3">
      <c r="A268" t="s">
        <v>45</v>
      </c>
      <c r="B268">
        <v>2019</v>
      </c>
      <c r="C268">
        <v>305.13</v>
      </c>
      <c r="D268">
        <v>4377.8630000000003</v>
      </c>
      <c r="E268">
        <v>5214.0619999999999</v>
      </c>
      <c r="F268">
        <v>4560.8770000000004</v>
      </c>
      <c r="G268">
        <v>9591.9249999999993</v>
      </c>
      <c r="H268">
        <v>6565.9669999999996</v>
      </c>
      <c r="I268">
        <v>3025.9569999999999</v>
      </c>
      <c r="J268">
        <v>4819.68</v>
      </c>
      <c r="K268" s="5">
        <v>2.7958236745225001E-2</v>
      </c>
      <c r="L268" s="5">
        <v>7.3592627010500566E-2</v>
      </c>
      <c r="M268" s="8">
        <v>7.7100000000000002E-2</v>
      </c>
      <c r="N268">
        <v>23050.241666666701</v>
      </c>
      <c r="O268" s="3">
        <f t="shared" si="42"/>
        <v>24</v>
      </c>
      <c r="P268" s="15">
        <v>1996</v>
      </c>
      <c r="Q268" s="15">
        <v>117.24</v>
      </c>
      <c r="R268" s="15">
        <v>163.52000000000001</v>
      </c>
      <c r="S268" s="2">
        <f t="shared" si="40"/>
        <v>16.526481977739749</v>
      </c>
      <c r="T268" s="8">
        <f t="shared" si="43"/>
        <v>0.10083752016304263</v>
      </c>
      <c r="U268" s="8">
        <f t="shared" si="44"/>
        <v>3.181113280180986E-2</v>
      </c>
      <c r="V268" s="9">
        <f t="shared" si="45"/>
        <v>2.1698811318204454</v>
      </c>
      <c r="W268">
        <f t="shared" si="46"/>
        <v>0.90833063605882547</v>
      </c>
      <c r="X268">
        <f t="shared" si="41"/>
        <v>8.676911756633686</v>
      </c>
      <c r="Y268" s="8">
        <f t="shared" si="47"/>
        <v>0.47549131170229131</v>
      </c>
      <c r="Z268" s="8">
        <f t="shared" si="48"/>
        <v>4.7805213770522714E-2</v>
      </c>
      <c r="AA268" s="10">
        <f t="shared" si="49"/>
        <v>4.9141763254774998E-2</v>
      </c>
    </row>
    <row r="269" spans="1:27" x14ac:dyDescent="0.3">
      <c r="A269" t="s">
        <v>46</v>
      </c>
      <c r="B269">
        <v>2019</v>
      </c>
      <c r="C269">
        <v>29.561</v>
      </c>
      <c r="D269">
        <v>1145.8589999999999</v>
      </c>
      <c r="E269">
        <v>356.185</v>
      </c>
      <c r="F269">
        <v>119.465</v>
      </c>
      <c r="G269">
        <v>1502.0440000000001</v>
      </c>
      <c r="H269">
        <v>529.57799999999997</v>
      </c>
      <c r="I269">
        <v>972.46600000000001</v>
      </c>
      <c r="J269">
        <v>459.3</v>
      </c>
      <c r="K269" s="5">
        <v>2.7958236745225001E-2</v>
      </c>
      <c r="L269" s="5">
        <v>7.3592627010500566E-2</v>
      </c>
      <c r="M269" s="8">
        <v>7.7100000000000002E-2</v>
      </c>
      <c r="N269">
        <v>23050.241666666701</v>
      </c>
      <c r="O269" s="3">
        <f t="shared" si="42"/>
        <v>47</v>
      </c>
      <c r="P269" s="15">
        <v>1973</v>
      </c>
      <c r="Q269" s="15">
        <v>117.24</v>
      </c>
      <c r="R269" s="15">
        <v>163.52000000000001</v>
      </c>
      <c r="S269" s="2">
        <f t="shared" si="40"/>
        <v>16.526481977739749</v>
      </c>
      <c r="T269" s="8">
        <f t="shared" si="43"/>
        <v>3.0397977924163929E-2</v>
      </c>
      <c r="U269" s="8">
        <f t="shared" si="44"/>
        <v>1.968051535108159E-2</v>
      </c>
      <c r="V269" s="9">
        <f t="shared" si="45"/>
        <v>0.54457225239751306</v>
      </c>
      <c r="W269">
        <f t="shared" si="46"/>
        <v>2.4947942521227953</v>
      </c>
      <c r="X269">
        <f t="shared" si="41"/>
        <v>6.8228170051420642</v>
      </c>
      <c r="Y269" s="8">
        <f t="shared" si="47"/>
        <v>7.9534953703087261E-2</v>
      </c>
      <c r="Z269" s="8">
        <f t="shared" si="48"/>
        <v>4.7805213770522714E-2</v>
      </c>
      <c r="AA269" s="10">
        <f t="shared" si="49"/>
        <v>4.9141763254774998E-2</v>
      </c>
    </row>
    <row r="270" spans="1:27" x14ac:dyDescent="0.3">
      <c r="A270" t="s">
        <v>47</v>
      </c>
      <c r="B270">
        <v>2019</v>
      </c>
      <c r="C270">
        <v>250.52600000000001</v>
      </c>
      <c r="D270">
        <v>1377.1579999999999</v>
      </c>
      <c r="E270">
        <v>1331.124</v>
      </c>
      <c r="F270">
        <v>1260.4829999999999</v>
      </c>
      <c r="G270">
        <v>2708.2809999999999</v>
      </c>
      <c r="H270">
        <v>1076.19</v>
      </c>
      <c r="I270">
        <v>1632.0909999999999</v>
      </c>
      <c r="J270">
        <v>927.1</v>
      </c>
      <c r="K270" s="5">
        <v>2.7958236745225001E-2</v>
      </c>
      <c r="L270" s="5">
        <v>7.3592627010500566E-2</v>
      </c>
      <c r="M270" s="8">
        <v>7.7100000000000002E-2</v>
      </c>
      <c r="N270">
        <v>23050.241666666701</v>
      </c>
      <c r="O270" s="3">
        <f t="shared" si="42"/>
        <v>45</v>
      </c>
      <c r="P270" s="15">
        <v>1975</v>
      </c>
      <c r="Q270" s="15">
        <v>117.24</v>
      </c>
      <c r="R270" s="15">
        <v>163.52000000000001</v>
      </c>
      <c r="S270" s="2">
        <f t="shared" si="40"/>
        <v>16.526481977739749</v>
      </c>
      <c r="T270" s="8">
        <f t="shared" si="43"/>
        <v>0.15350001930039442</v>
      </c>
      <c r="U270" s="8">
        <f t="shared" si="44"/>
        <v>9.2503695148324724E-2</v>
      </c>
      <c r="V270" s="9">
        <f t="shared" si="45"/>
        <v>0.65939337941328036</v>
      </c>
      <c r="W270">
        <f t="shared" si="46"/>
        <v>1.4854470930859669</v>
      </c>
      <c r="X270">
        <f t="shared" si="41"/>
        <v>7.4123042742389638</v>
      </c>
      <c r="Y270" s="8">
        <f t="shared" si="47"/>
        <v>0.46541810100207476</v>
      </c>
      <c r="Z270" s="8">
        <f t="shared" si="48"/>
        <v>4.7805213770522714E-2</v>
      </c>
      <c r="AA270" s="10">
        <f t="shared" si="49"/>
        <v>4.9141763254774998E-2</v>
      </c>
    </row>
    <row r="271" spans="1:27" x14ac:dyDescent="0.3">
      <c r="A271" t="s">
        <v>48</v>
      </c>
      <c r="B271">
        <v>2019</v>
      </c>
      <c r="C271">
        <v>71.888000000000005</v>
      </c>
      <c r="D271">
        <v>1233.241</v>
      </c>
      <c r="E271">
        <v>304.392</v>
      </c>
      <c r="F271">
        <v>244.47800000000001</v>
      </c>
      <c r="G271">
        <v>1537.633</v>
      </c>
      <c r="H271">
        <v>599.10599999999999</v>
      </c>
      <c r="I271">
        <v>938.52800000000002</v>
      </c>
      <c r="J271">
        <v>241.89</v>
      </c>
      <c r="K271" s="5">
        <v>2.7958236745225001E-2</v>
      </c>
      <c r="L271" s="5">
        <v>7.3592627010500566E-2</v>
      </c>
      <c r="M271" s="8">
        <v>7.7100000000000002E-2</v>
      </c>
      <c r="N271">
        <v>23050.241666666701</v>
      </c>
      <c r="O271" s="3">
        <f t="shared" si="42"/>
        <v>27</v>
      </c>
      <c r="P271" s="15">
        <v>1993</v>
      </c>
      <c r="Q271" s="15">
        <v>117.24</v>
      </c>
      <c r="R271" s="15">
        <v>163.52000000000001</v>
      </c>
      <c r="S271" s="2">
        <f t="shared" si="40"/>
        <v>16.526481977739749</v>
      </c>
      <c r="T271" s="8">
        <f t="shared" si="43"/>
        <v>7.6596542671076406E-2</v>
      </c>
      <c r="U271" s="8">
        <f t="shared" si="44"/>
        <v>4.6752378493437642E-2</v>
      </c>
      <c r="V271" s="9">
        <f t="shared" si="45"/>
        <v>0.63834643185925188</v>
      </c>
      <c r="W271">
        <f t="shared" si="46"/>
        <v>5.0983546240026465</v>
      </c>
      <c r="X271">
        <f t="shared" si="41"/>
        <v>6.8462343789772042</v>
      </c>
      <c r="Y271" s="8">
        <f t="shared" si="47"/>
        <v>0.15899632747216014</v>
      </c>
      <c r="Z271" s="8">
        <f t="shared" si="48"/>
        <v>4.7805213770522714E-2</v>
      </c>
      <c r="AA271" s="10">
        <f t="shared" si="49"/>
        <v>4.9141763254774998E-2</v>
      </c>
    </row>
    <row r="272" spans="1:27" x14ac:dyDescent="0.3">
      <c r="A272" t="s">
        <v>49</v>
      </c>
      <c r="B272">
        <v>2019</v>
      </c>
      <c r="C272">
        <v>229.77600000000001</v>
      </c>
      <c r="D272">
        <v>1098.183</v>
      </c>
      <c r="E272">
        <v>422.65600000000001</v>
      </c>
      <c r="F272">
        <v>267.15300000000002</v>
      </c>
      <c r="G272">
        <v>1520.8389999999999</v>
      </c>
      <c r="H272">
        <v>582.08100000000002</v>
      </c>
      <c r="I272">
        <v>938.75800000000004</v>
      </c>
      <c r="J272">
        <v>571.85</v>
      </c>
      <c r="K272" s="5">
        <v>2.7958236745225001E-2</v>
      </c>
      <c r="L272" s="5">
        <v>7.3592627010500566E-2</v>
      </c>
      <c r="M272" s="8">
        <v>7.7100000000000002E-2</v>
      </c>
      <c r="N272">
        <v>23050.241666666701</v>
      </c>
      <c r="O272" s="3">
        <f t="shared" si="42"/>
        <v>24</v>
      </c>
      <c r="P272" s="15">
        <v>1996</v>
      </c>
      <c r="Q272" s="15">
        <v>117.24</v>
      </c>
      <c r="R272" s="15">
        <v>163.52000000000001</v>
      </c>
      <c r="S272" s="2">
        <f t="shared" si="40"/>
        <v>16.526481977739749</v>
      </c>
      <c r="T272" s="8">
        <f t="shared" si="43"/>
        <v>0.24476595672154058</v>
      </c>
      <c r="U272" s="8">
        <f t="shared" si="44"/>
        <v>0.15108502609414937</v>
      </c>
      <c r="V272" s="9">
        <f t="shared" si="45"/>
        <v>0.62005436970976546</v>
      </c>
      <c r="W272">
        <f t="shared" si="46"/>
        <v>1.9204039520853369</v>
      </c>
      <c r="X272">
        <f t="shared" si="41"/>
        <v>6.8352523142158441</v>
      </c>
      <c r="Y272" s="8">
        <f t="shared" si="47"/>
        <v>0.17566159205543785</v>
      </c>
      <c r="Z272" s="8">
        <f t="shared" si="48"/>
        <v>4.7805213770522714E-2</v>
      </c>
      <c r="AA272" s="10">
        <f t="shared" si="49"/>
        <v>4.9141763254774998E-2</v>
      </c>
    </row>
    <row r="273" spans="1:27" x14ac:dyDescent="0.3">
      <c r="A273" t="s">
        <v>50</v>
      </c>
      <c r="B273">
        <v>2019</v>
      </c>
      <c r="C273">
        <v>74.221000000000004</v>
      </c>
      <c r="D273">
        <v>340.35500000000002</v>
      </c>
      <c r="E273">
        <v>47.024000000000001</v>
      </c>
      <c r="F273">
        <v>42.359000000000002</v>
      </c>
      <c r="G273">
        <v>387.38</v>
      </c>
      <c r="H273">
        <v>109.05500000000001</v>
      </c>
      <c r="I273">
        <v>278.32499999999999</v>
      </c>
      <c r="J273">
        <v>105.55</v>
      </c>
      <c r="K273" s="5">
        <v>2.7958236745225001E-2</v>
      </c>
      <c r="L273" s="5">
        <v>7.3592627010500566E-2</v>
      </c>
      <c r="M273" s="8">
        <v>7.7100000000000002E-2</v>
      </c>
      <c r="N273">
        <v>23050.241666666701</v>
      </c>
      <c r="O273" s="3">
        <f t="shared" si="42"/>
        <v>29</v>
      </c>
      <c r="P273" s="15">
        <v>1991</v>
      </c>
      <c r="Q273" s="15">
        <v>117.24</v>
      </c>
      <c r="R273" s="15">
        <v>163.52000000000001</v>
      </c>
      <c r="S273" s="2">
        <f t="shared" si="40"/>
        <v>16.526481977739749</v>
      </c>
      <c r="T273" s="8">
        <f t="shared" si="43"/>
        <v>0.26667025958861046</v>
      </c>
      <c r="U273" s="8">
        <f t="shared" si="44"/>
        <v>0.19159739790386701</v>
      </c>
      <c r="V273" s="9">
        <f t="shared" si="45"/>
        <v>0.39182610257792155</v>
      </c>
      <c r="W273">
        <f t="shared" si="46"/>
        <v>3.224585504500237</v>
      </c>
      <c r="X273">
        <f t="shared" si="41"/>
        <v>5.4676410023868449</v>
      </c>
      <c r="Y273" s="8">
        <f t="shared" si="47"/>
        <v>0.1093474108110899</v>
      </c>
      <c r="Z273" s="8">
        <f t="shared" si="48"/>
        <v>4.7805213770522714E-2</v>
      </c>
      <c r="AA273" s="10">
        <f t="shared" si="49"/>
        <v>4.9141763254774998E-2</v>
      </c>
    </row>
    <row r="274" spans="1:27" x14ac:dyDescent="0.3">
      <c r="A274" t="s">
        <v>51</v>
      </c>
      <c r="B274">
        <v>2019</v>
      </c>
      <c r="C274">
        <v>160.518</v>
      </c>
      <c r="D274">
        <v>1543.9780000000001</v>
      </c>
      <c r="E274">
        <v>354.47199999999998</v>
      </c>
      <c r="F274">
        <v>138.54900000000001</v>
      </c>
      <c r="G274">
        <v>1898.4490000000001</v>
      </c>
      <c r="H274">
        <v>1061.9739999999999</v>
      </c>
      <c r="I274">
        <v>836.47500000000002</v>
      </c>
      <c r="J274">
        <v>1059.3699999999999</v>
      </c>
      <c r="K274" s="5">
        <v>2.7958236745225001E-2</v>
      </c>
      <c r="L274" s="5">
        <v>7.3592627010500566E-2</v>
      </c>
      <c r="M274" s="8">
        <v>7.7100000000000002E-2</v>
      </c>
      <c r="N274">
        <v>23050.241666666701</v>
      </c>
      <c r="O274" s="3">
        <f t="shared" si="42"/>
        <v>38</v>
      </c>
      <c r="P274" s="15">
        <v>1982</v>
      </c>
      <c r="Q274" s="15">
        <v>117.24</v>
      </c>
      <c r="R274" s="15">
        <v>163.52000000000001</v>
      </c>
      <c r="S274" s="2">
        <f t="shared" si="40"/>
        <v>16.526481977739749</v>
      </c>
      <c r="T274" s="8">
        <f t="shared" si="43"/>
        <v>0.19189814399713082</v>
      </c>
      <c r="U274" s="8">
        <f t="shared" si="44"/>
        <v>8.4552179173630684E-2</v>
      </c>
      <c r="V274" s="9">
        <f t="shared" si="45"/>
        <v>1.2695824740727457</v>
      </c>
      <c r="W274">
        <f t="shared" si="46"/>
        <v>1.4574492386984719</v>
      </c>
      <c r="X274">
        <f t="shared" si="41"/>
        <v>7.0570273949706417</v>
      </c>
      <c r="Y274" s="8">
        <f t="shared" si="47"/>
        <v>7.2980101124654917E-2</v>
      </c>
      <c r="Z274" s="8">
        <f t="shared" si="48"/>
        <v>4.7805213770522714E-2</v>
      </c>
      <c r="AA274" s="10">
        <f t="shared" si="49"/>
        <v>4.9141763254774998E-2</v>
      </c>
    </row>
    <row r="275" spans="1:27" x14ac:dyDescent="0.3">
      <c r="A275" t="s">
        <v>52</v>
      </c>
      <c r="B275">
        <v>2019</v>
      </c>
      <c r="C275">
        <v>104.449</v>
      </c>
      <c r="D275">
        <v>820.45299999999997</v>
      </c>
      <c r="E275">
        <v>208.535</v>
      </c>
      <c r="F275">
        <v>158.33500000000001</v>
      </c>
      <c r="G275">
        <v>1028.9880000000001</v>
      </c>
      <c r="H275">
        <v>545.56299999999999</v>
      </c>
      <c r="I275">
        <v>483.42500000000001</v>
      </c>
      <c r="J275">
        <v>535.59</v>
      </c>
      <c r="K275" s="5">
        <v>2.7958236745225001E-2</v>
      </c>
      <c r="L275" s="5">
        <v>7.3592627010500566E-2</v>
      </c>
      <c r="M275" s="8">
        <v>7.7100000000000002E-2</v>
      </c>
      <c r="N275">
        <v>23050.241666666701</v>
      </c>
      <c r="O275" s="3">
        <f t="shared" si="42"/>
        <v>44</v>
      </c>
      <c r="P275" s="15">
        <v>1976</v>
      </c>
      <c r="Q275" s="15">
        <v>117.24</v>
      </c>
      <c r="R275" s="15">
        <v>163.52000000000001</v>
      </c>
      <c r="S275" s="2">
        <f t="shared" si="40"/>
        <v>16.526481977739749</v>
      </c>
      <c r="T275" s="8">
        <f t="shared" si="43"/>
        <v>0.21606040233748772</v>
      </c>
      <c r="U275" s="8">
        <f t="shared" si="44"/>
        <v>0.10150652874474726</v>
      </c>
      <c r="V275" s="9">
        <f t="shared" si="45"/>
        <v>1.1285370016031442</v>
      </c>
      <c r="W275">
        <f t="shared" si="46"/>
        <v>1.5318676599637782</v>
      </c>
      <c r="X275">
        <f t="shared" si="41"/>
        <v>6.4445659529312218</v>
      </c>
      <c r="Y275" s="8">
        <f t="shared" si="47"/>
        <v>0.15387448638856818</v>
      </c>
      <c r="Z275" s="8">
        <f t="shared" si="48"/>
        <v>4.7805213770522714E-2</v>
      </c>
      <c r="AA275" s="10">
        <f t="shared" si="49"/>
        <v>4.9141763254774998E-2</v>
      </c>
    </row>
    <row r="276" spans="1:27" x14ac:dyDescent="0.3">
      <c r="A276" t="s">
        <v>53</v>
      </c>
      <c r="B276">
        <v>2019</v>
      </c>
      <c r="C276">
        <v>-1808.8040000000001</v>
      </c>
      <c r="D276">
        <v>7073.6750000000002</v>
      </c>
      <c r="E276">
        <v>31558.812000000002</v>
      </c>
      <c r="F276">
        <v>10280.436</v>
      </c>
      <c r="G276">
        <v>38632.487000000001</v>
      </c>
      <c r="H276">
        <v>21823.683000000001</v>
      </c>
      <c r="I276">
        <v>16808.804</v>
      </c>
      <c r="J276">
        <v>8089.79</v>
      </c>
      <c r="K276" s="5">
        <v>2.7958236745225001E-2</v>
      </c>
      <c r="L276" s="5">
        <v>7.3592627010500566E-2</v>
      </c>
      <c r="M276" s="8">
        <v>7.7100000000000002E-2</v>
      </c>
      <c r="N276">
        <v>23050.241666666701</v>
      </c>
      <c r="O276" s="3">
        <f t="shared" si="42"/>
        <v>27</v>
      </c>
      <c r="P276" s="15">
        <v>1993</v>
      </c>
      <c r="Q276" s="15">
        <v>117.24</v>
      </c>
      <c r="R276" s="15">
        <v>163.52000000000001</v>
      </c>
      <c r="S276" s="2">
        <f t="shared" si="40"/>
        <v>16.526481977739749</v>
      </c>
      <c r="T276" s="8">
        <f t="shared" si="43"/>
        <v>-0.10761051172944845</v>
      </c>
      <c r="U276" s="8">
        <f t="shared" si="44"/>
        <v>-4.6820801363370676E-2</v>
      </c>
      <c r="V276" s="9">
        <f t="shared" si="45"/>
        <v>1.2983483536365823</v>
      </c>
      <c r="W276">
        <f t="shared" si="46"/>
        <v>0.87439537985534854</v>
      </c>
      <c r="X276">
        <f t="shared" si="41"/>
        <v>10.070083712576306</v>
      </c>
      <c r="Y276" s="8">
        <f t="shared" si="47"/>
        <v>0.26610857333621829</v>
      </c>
      <c r="Z276" s="8">
        <f t="shared" si="48"/>
        <v>4.7805213770522714E-2</v>
      </c>
      <c r="AA276" s="10">
        <f t="shared" si="49"/>
        <v>4.9141763254774998E-2</v>
      </c>
    </row>
    <row r="277" spans="1:27" x14ac:dyDescent="0.3">
      <c r="A277" t="s">
        <v>54</v>
      </c>
      <c r="B277">
        <v>2019</v>
      </c>
      <c r="C277">
        <v>50.670999999999999</v>
      </c>
      <c r="D277">
        <v>1245.7629999999999</v>
      </c>
      <c r="E277">
        <v>386.43799999999999</v>
      </c>
      <c r="F277">
        <v>333.46499999999997</v>
      </c>
      <c r="G277">
        <v>1632.201</v>
      </c>
      <c r="H277">
        <v>1166.635</v>
      </c>
      <c r="I277">
        <v>465.56599999999997</v>
      </c>
      <c r="J277">
        <v>1162.6099999999999</v>
      </c>
      <c r="K277" s="5">
        <v>2.7958236745225001E-2</v>
      </c>
      <c r="L277" s="5">
        <v>7.3592627010500566E-2</v>
      </c>
      <c r="M277" s="8">
        <v>7.7100000000000002E-2</v>
      </c>
      <c r="N277">
        <v>23050.241666666701</v>
      </c>
      <c r="O277" s="3">
        <f t="shared" si="42"/>
        <v>28</v>
      </c>
      <c r="P277" s="15">
        <v>1992</v>
      </c>
      <c r="Q277" s="15">
        <v>117.24</v>
      </c>
      <c r="R277" s="15">
        <v>163.52000000000001</v>
      </c>
      <c r="S277" s="2">
        <f t="shared" si="40"/>
        <v>16.526481977739749</v>
      </c>
      <c r="T277" s="8">
        <f t="shared" si="43"/>
        <v>0.10883741510333658</v>
      </c>
      <c r="U277" s="8">
        <f t="shared" si="44"/>
        <v>3.104458335707428E-2</v>
      </c>
      <c r="V277" s="9">
        <f t="shared" si="45"/>
        <v>2.5058423510307883</v>
      </c>
      <c r="W277">
        <f t="shared" si="46"/>
        <v>1.0715226946267451</v>
      </c>
      <c r="X277">
        <f t="shared" si="41"/>
        <v>6.9059195686777226</v>
      </c>
      <c r="Y277" s="8">
        <f t="shared" si="47"/>
        <v>0.20430388169104172</v>
      </c>
      <c r="Z277" s="8">
        <f t="shared" si="48"/>
        <v>4.7805213770522714E-2</v>
      </c>
      <c r="AA277" s="10">
        <f t="shared" si="49"/>
        <v>4.9141763254774998E-2</v>
      </c>
    </row>
    <row r="278" spans="1:27" x14ac:dyDescent="0.3">
      <c r="A278" t="s">
        <v>55</v>
      </c>
      <c r="B278">
        <v>2019</v>
      </c>
      <c r="C278">
        <v>195.26</v>
      </c>
      <c r="D278">
        <v>2473.415</v>
      </c>
      <c r="E278">
        <v>1154.309</v>
      </c>
      <c r="F278">
        <v>21.422000000000001</v>
      </c>
      <c r="G278">
        <v>3627.7240000000002</v>
      </c>
      <c r="H278">
        <v>195.66</v>
      </c>
      <c r="I278">
        <v>3432.0639999999999</v>
      </c>
      <c r="J278">
        <v>135.13</v>
      </c>
      <c r="K278" s="5">
        <v>2.7958236745225001E-2</v>
      </c>
      <c r="L278" s="5">
        <v>7.3592627010500566E-2</v>
      </c>
      <c r="M278" s="8">
        <v>7.7100000000000002E-2</v>
      </c>
      <c r="N278">
        <v>23050.241666666701</v>
      </c>
      <c r="O278" s="3">
        <f t="shared" si="42"/>
        <v>12</v>
      </c>
      <c r="P278" s="15">
        <v>2008</v>
      </c>
      <c r="Q278" s="15">
        <v>117.24</v>
      </c>
      <c r="R278" s="15">
        <v>163.52000000000001</v>
      </c>
      <c r="S278" s="2">
        <f t="shared" si="40"/>
        <v>16.526481977739749</v>
      </c>
      <c r="T278" s="8">
        <f t="shared" si="43"/>
        <v>5.6892878454481037E-2</v>
      </c>
      <c r="U278" s="8">
        <f t="shared" si="44"/>
        <v>5.3824381347643863E-2</v>
      </c>
      <c r="V278" s="9">
        <f t="shared" si="45"/>
        <v>5.7009426397642934E-2</v>
      </c>
      <c r="W278">
        <f t="shared" si="46"/>
        <v>18.303966550728926</v>
      </c>
      <c r="X278">
        <f t="shared" si="41"/>
        <v>7.7045956123414951</v>
      </c>
      <c r="Y278" s="8">
        <f t="shared" si="47"/>
        <v>5.9050798792851938E-3</v>
      </c>
      <c r="Z278" s="8">
        <f t="shared" si="48"/>
        <v>4.7805213770522714E-2</v>
      </c>
      <c r="AA278" s="10">
        <f t="shared" si="49"/>
        <v>4.9141763254774998E-2</v>
      </c>
    </row>
    <row r="279" spans="1:27" hidden="1" x14ac:dyDescent="0.3">
      <c r="A279" t="s">
        <v>56</v>
      </c>
      <c r="B279">
        <v>2019</v>
      </c>
      <c r="C279">
        <v>-2444.4009999999998</v>
      </c>
      <c r="D279">
        <v>3872.4229999999998</v>
      </c>
      <c r="E279">
        <v>19408.065999999999</v>
      </c>
      <c r="F279">
        <v>8518.0159999999996</v>
      </c>
      <c r="G279">
        <v>23280.489000000001</v>
      </c>
      <c r="H279">
        <v>13542.536</v>
      </c>
      <c r="I279">
        <v>9737.9529999999995</v>
      </c>
      <c r="J279">
        <v>7912.95</v>
      </c>
      <c r="K279" s="5">
        <v>2.7958236745225001E-2</v>
      </c>
      <c r="L279" s="5">
        <v>7.3592627010500566E-2</v>
      </c>
      <c r="M279" s="8">
        <v>7.7100000000000002E-2</v>
      </c>
      <c r="N279">
        <v>23050.241666666701</v>
      </c>
      <c r="O279" s="3">
        <f t="shared" si="42"/>
        <v>10</v>
      </c>
      <c r="P279" s="15">
        <v>2010</v>
      </c>
      <c r="Q279" s="15">
        <v>117.24</v>
      </c>
      <c r="R279" s="15">
        <v>163.52000000000001</v>
      </c>
      <c r="S279" s="2">
        <f t="shared" si="40"/>
        <v>16.526481977739749</v>
      </c>
      <c r="T279" s="8">
        <f t="shared" si="43"/>
        <v>-0.25101795007636613</v>
      </c>
      <c r="U279" s="8">
        <f t="shared" si="44"/>
        <v>-0.10499783745951383</v>
      </c>
      <c r="V279" s="9">
        <f t="shared" si="45"/>
        <v>1.3906963814674398</v>
      </c>
      <c r="W279">
        <f t="shared" si="46"/>
        <v>0.48937791847541057</v>
      </c>
      <c r="X279">
        <f t="shared" si="41"/>
        <v>9.5636057857521592</v>
      </c>
      <c r="Y279" s="8">
        <f t="shared" si="47"/>
        <v>0.36588647257366452</v>
      </c>
      <c r="Z279" s="8">
        <f t="shared" si="48"/>
        <v>4.7805213770522714E-2</v>
      </c>
      <c r="AA279" s="10">
        <f t="shared" si="49"/>
        <v>4.9141763254774998E-2</v>
      </c>
    </row>
    <row r="280" spans="1:27" x14ac:dyDescent="0.3">
      <c r="A280" t="s">
        <v>57</v>
      </c>
      <c r="B280">
        <v>2019</v>
      </c>
      <c r="C280">
        <v>47.113</v>
      </c>
      <c r="D280">
        <v>172.30099999999999</v>
      </c>
      <c r="E280">
        <v>73.772999999999996</v>
      </c>
      <c r="F280">
        <v>11.336</v>
      </c>
      <c r="G280">
        <v>246.07499999999999</v>
      </c>
      <c r="H280">
        <v>11.226000000000001</v>
      </c>
      <c r="I280">
        <v>234.84800000000001</v>
      </c>
      <c r="J280">
        <v>11.23</v>
      </c>
      <c r="K280" s="5">
        <v>2.7958236745225001E-2</v>
      </c>
      <c r="L280" s="5">
        <v>7.3592627010500566E-2</v>
      </c>
      <c r="M280" s="8">
        <v>7.7100000000000002E-2</v>
      </c>
      <c r="N280">
        <v>23050.241666666701</v>
      </c>
      <c r="O280" s="3">
        <f t="shared" si="42"/>
        <v>5</v>
      </c>
      <c r="P280" s="15">
        <v>2015</v>
      </c>
      <c r="Q280" s="15">
        <v>117.24</v>
      </c>
      <c r="R280" s="15">
        <v>163.52000000000001</v>
      </c>
      <c r="S280" s="2">
        <f t="shared" si="40"/>
        <v>16.526481977739749</v>
      </c>
      <c r="T280" s="8">
        <f t="shared" si="43"/>
        <v>0.20061060771222236</v>
      </c>
      <c r="U280" s="8">
        <f t="shared" si="44"/>
        <v>0.19145788885502388</v>
      </c>
      <c r="V280" s="9">
        <f t="shared" si="45"/>
        <v>4.780113094427034E-2</v>
      </c>
      <c r="W280">
        <f t="shared" si="46"/>
        <v>15.342920747996436</v>
      </c>
      <c r="X280">
        <f t="shared" si="41"/>
        <v>5.0138712464880264</v>
      </c>
      <c r="Y280" s="8">
        <f t="shared" si="47"/>
        <v>4.6067255917911207E-2</v>
      </c>
      <c r="Z280" s="8">
        <f t="shared" si="48"/>
        <v>4.7805213770522714E-2</v>
      </c>
      <c r="AA280" s="10">
        <f t="shared" si="49"/>
        <v>4.9141763254774998E-2</v>
      </c>
    </row>
    <row r="281" spans="1:27" x14ac:dyDescent="0.3">
      <c r="A281" t="s">
        <v>58</v>
      </c>
      <c r="B281">
        <v>2019</v>
      </c>
      <c r="C281">
        <v>116.65300000000001</v>
      </c>
      <c r="D281">
        <v>948.10199999999998</v>
      </c>
      <c r="E281">
        <v>824.399</v>
      </c>
      <c r="F281">
        <v>743.07</v>
      </c>
      <c r="G281">
        <v>1772.501</v>
      </c>
      <c r="H281">
        <v>1291.0409999999999</v>
      </c>
      <c r="I281">
        <v>481.46</v>
      </c>
      <c r="J281">
        <v>911.79</v>
      </c>
      <c r="K281" s="5">
        <v>2.7958236745225001E-2</v>
      </c>
      <c r="L281" s="5">
        <v>7.3592627010500566E-2</v>
      </c>
      <c r="M281" s="8">
        <v>7.7100000000000002E-2</v>
      </c>
      <c r="N281">
        <v>23050.241666666701</v>
      </c>
      <c r="O281" s="3">
        <f t="shared" si="42"/>
        <v>58</v>
      </c>
      <c r="P281" s="15">
        <v>1962</v>
      </c>
      <c r="Q281" s="15">
        <v>117.24</v>
      </c>
      <c r="R281" s="15">
        <v>163.52000000000001</v>
      </c>
      <c r="S281" s="2">
        <f t="shared" si="40"/>
        <v>16.526481977739749</v>
      </c>
      <c r="T281" s="8">
        <f t="shared" si="43"/>
        <v>0.24229011755909113</v>
      </c>
      <c r="U281" s="8">
        <f t="shared" si="44"/>
        <v>6.5812656805271194E-2</v>
      </c>
      <c r="V281" s="9">
        <f t="shared" si="45"/>
        <v>2.68151248286462</v>
      </c>
      <c r="W281">
        <f t="shared" si="46"/>
        <v>1.0398249596946665</v>
      </c>
      <c r="X281">
        <f t="shared" si="41"/>
        <v>6.9883817015537693</v>
      </c>
      <c r="Y281" s="8">
        <f t="shared" si="47"/>
        <v>0.41922120213190295</v>
      </c>
      <c r="Z281" s="8">
        <f t="shared" si="48"/>
        <v>4.7805213770522714E-2</v>
      </c>
      <c r="AA281" s="10">
        <f t="shared" si="49"/>
        <v>4.9141763254774998E-2</v>
      </c>
    </row>
    <row r="282" spans="1:27" x14ac:dyDescent="0.3">
      <c r="A282" t="s">
        <v>59</v>
      </c>
      <c r="B282">
        <v>2019</v>
      </c>
      <c r="C282">
        <v>20.625</v>
      </c>
      <c r="D282">
        <v>285.01600000000002</v>
      </c>
      <c r="E282">
        <v>94.599000000000004</v>
      </c>
      <c r="F282">
        <v>43.133000000000003</v>
      </c>
      <c r="G282">
        <v>379.61500000000001</v>
      </c>
      <c r="H282">
        <v>186.41</v>
      </c>
      <c r="I282">
        <v>193.20500000000001</v>
      </c>
      <c r="J282">
        <v>184.77</v>
      </c>
      <c r="K282" s="5">
        <v>2.7958236745225001E-2</v>
      </c>
      <c r="L282" s="5">
        <v>7.3592627010500566E-2</v>
      </c>
      <c r="M282" s="8">
        <v>7.7100000000000002E-2</v>
      </c>
      <c r="N282">
        <v>23050.241666666701</v>
      </c>
      <c r="O282" s="3">
        <f t="shared" si="42"/>
        <v>22</v>
      </c>
      <c r="P282" s="15">
        <v>1998</v>
      </c>
      <c r="Q282" s="15">
        <v>117.24</v>
      </c>
      <c r="R282" s="15">
        <v>163.52000000000001</v>
      </c>
      <c r="S282" s="2">
        <f t="shared" si="40"/>
        <v>16.526481977739749</v>
      </c>
      <c r="T282" s="8">
        <f t="shared" si="43"/>
        <v>0.10675189565487435</v>
      </c>
      <c r="U282" s="8">
        <f t="shared" si="44"/>
        <v>5.4331362037854138E-2</v>
      </c>
      <c r="V282" s="9">
        <f t="shared" si="45"/>
        <v>0.96483010274061221</v>
      </c>
      <c r="W282">
        <f t="shared" si="46"/>
        <v>1.5425447854088867</v>
      </c>
      <c r="X282">
        <f t="shared" si="41"/>
        <v>5.447392460207058</v>
      </c>
      <c r="Y282" s="8">
        <f t="shared" si="47"/>
        <v>0.11362301278927335</v>
      </c>
      <c r="Z282" s="8">
        <f t="shared" si="48"/>
        <v>4.7805213770522714E-2</v>
      </c>
      <c r="AA282" s="10">
        <f t="shared" si="49"/>
        <v>4.9141763254774998E-2</v>
      </c>
    </row>
    <row r="283" spans="1:27" x14ac:dyDescent="0.3">
      <c r="A283" t="s">
        <v>60</v>
      </c>
      <c r="B283">
        <v>2019</v>
      </c>
      <c r="C283">
        <v>325.95600000000002</v>
      </c>
      <c r="D283">
        <v>4944.51</v>
      </c>
      <c r="E283">
        <v>2549.058</v>
      </c>
      <c r="F283">
        <v>1185.231</v>
      </c>
      <c r="G283">
        <v>7493.5680000000002</v>
      </c>
      <c r="H283">
        <v>4602.1809999999996</v>
      </c>
      <c r="I283">
        <v>2891.3870000000002</v>
      </c>
      <c r="J283">
        <v>4095.66</v>
      </c>
      <c r="K283" s="5">
        <v>2.7958236745225001E-2</v>
      </c>
      <c r="L283" s="5">
        <v>7.3592627010500566E-2</v>
      </c>
      <c r="M283" s="8">
        <v>7.7100000000000002E-2</v>
      </c>
      <c r="N283">
        <v>23050.241666666701</v>
      </c>
      <c r="O283" s="3">
        <f t="shared" si="42"/>
        <v>17</v>
      </c>
      <c r="P283" s="15">
        <v>2003</v>
      </c>
      <c r="Q283" s="15">
        <v>117.24</v>
      </c>
      <c r="R283" s="15">
        <v>163.52000000000001</v>
      </c>
      <c r="S283" s="2">
        <f t="shared" si="40"/>
        <v>16.526481977739749</v>
      </c>
      <c r="T283" s="8">
        <f t="shared" si="43"/>
        <v>0.11273343900349556</v>
      </c>
      <c r="U283" s="8">
        <f t="shared" si="44"/>
        <v>4.3498103973968076E-2</v>
      </c>
      <c r="V283" s="9">
        <f t="shared" si="45"/>
        <v>1.5916862737502795</v>
      </c>
      <c r="W283">
        <f t="shared" si="46"/>
        <v>1.2072559733962294</v>
      </c>
      <c r="X283">
        <f t="shared" si="41"/>
        <v>8.4300352105478904</v>
      </c>
      <c r="Y283" s="8">
        <f t="shared" si="47"/>
        <v>0.15816644354198159</v>
      </c>
      <c r="Z283" s="8">
        <f t="shared" si="48"/>
        <v>4.7805213770522714E-2</v>
      </c>
      <c r="AA283" s="10">
        <f t="shared" si="49"/>
        <v>4.9141763254774998E-2</v>
      </c>
    </row>
    <row r="284" spans="1:27" x14ac:dyDescent="0.3">
      <c r="A284" t="s">
        <v>61</v>
      </c>
      <c r="B284">
        <v>2019</v>
      </c>
      <c r="C284">
        <v>207.25800000000001</v>
      </c>
      <c r="D284">
        <v>4912.9489999999996</v>
      </c>
      <c r="E284">
        <v>7019.2049999999999</v>
      </c>
      <c r="F284">
        <v>2851.64</v>
      </c>
      <c r="G284">
        <v>11932.154</v>
      </c>
      <c r="H284">
        <v>3776.502</v>
      </c>
      <c r="I284">
        <v>8155.652</v>
      </c>
      <c r="J284">
        <v>2684.94</v>
      </c>
      <c r="K284" s="5">
        <v>2.7958236745225001E-2</v>
      </c>
      <c r="L284" s="5">
        <v>7.3592627010500566E-2</v>
      </c>
      <c r="M284" s="8">
        <v>7.7100000000000002E-2</v>
      </c>
      <c r="N284">
        <v>23050.241666666701</v>
      </c>
      <c r="O284" s="3">
        <f t="shared" si="42"/>
        <v>27</v>
      </c>
      <c r="P284" s="15">
        <v>1993</v>
      </c>
      <c r="Q284" s="15">
        <v>117.24</v>
      </c>
      <c r="R284" s="15">
        <v>163.52000000000001</v>
      </c>
      <c r="S284" s="2">
        <f t="shared" si="40"/>
        <v>16.526481977739749</v>
      </c>
      <c r="T284" s="8">
        <f t="shared" si="43"/>
        <v>2.5412805745021982E-2</v>
      </c>
      <c r="U284" s="8">
        <f t="shared" si="44"/>
        <v>1.73697054194909E-2</v>
      </c>
      <c r="V284" s="9">
        <f t="shared" si="45"/>
        <v>0.46305335244809365</v>
      </c>
      <c r="W284">
        <f t="shared" si="46"/>
        <v>1.8298170536399321</v>
      </c>
      <c r="X284">
        <f t="shared" si="41"/>
        <v>8.8952269309941006</v>
      </c>
      <c r="Y284" s="8">
        <f t="shared" si="47"/>
        <v>0.23898786421965387</v>
      </c>
      <c r="Z284" s="8">
        <f t="shared" si="48"/>
        <v>4.7805213770522714E-2</v>
      </c>
      <c r="AA284" s="10">
        <f t="shared" si="49"/>
        <v>4.9141763254774998E-2</v>
      </c>
    </row>
    <row r="285" spans="1:27" x14ac:dyDescent="0.3">
      <c r="A285" t="s">
        <v>62</v>
      </c>
      <c r="B285">
        <v>2019</v>
      </c>
      <c r="C285">
        <v>4.2359999999999998</v>
      </c>
      <c r="D285">
        <v>626.75699999999995</v>
      </c>
      <c r="E285">
        <v>368.43200000000002</v>
      </c>
      <c r="F285">
        <v>345.92200000000003</v>
      </c>
      <c r="G285">
        <v>995.18899999999996</v>
      </c>
      <c r="H285">
        <v>394.75599999999997</v>
      </c>
      <c r="I285">
        <v>600.43299999999999</v>
      </c>
      <c r="J285">
        <v>385</v>
      </c>
      <c r="K285" s="5">
        <v>2.7958236745225001E-2</v>
      </c>
      <c r="L285" s="5">
        <v>7.3592627010500566E-2</v>
      </c>
      <c r="M285" s="8">
        <v>7.7100000000000002E-2</v>
      </c>
      <c r="N285">
        <v>23050.241666666701</v>
      </c>
      <c r="O285" s="3">
        <f t="shared" si="42"/>
        <v>19</v>
      </c>
      <c r="P285" s="15">
        <v>2001</v>
      </c>
      <c r="Q285" s="15">
        <v>117.24</v>
      </c>
      <c r="R285" s="15">
        <v>163.52000000000001</v>
      </c>
      <c r="S285" s="2">
        <f t="shared" si="40"/>
        <v>16.526481977739749</v>
      </c>
      <c r="T285" s="8">
        <f t="shared" si="43"/>
        <v>7.0549087075493849E-3</v>
      </c>
      <c r="U285" s="8">
        <f t="shared" si="44"/>
        <v>4.2564779152502686E-3</v>
      </c>
      <c r="V285" s="9">
        <f t="shared" si="45"/>
        <v>0.65745220532515702</v>
      </c>
      <c r="W285">
        <f t="shared" si="46"/>
        <v>1.6279402597402597</v>
      </c>
      <c r="X285">
        <f t="shared" si="41"/>
        <v>6.4111675478419192</v>
      </c>
      <c r="Y285" s="8">
        <f t="shared" si="47"/>
        <v>0.34759427606213494</v>
      </c>
      <c r="Z285" s="8">
        <f t="shared" si="48"/>
        <v>4.7805213770522714E-2</v>
      </c>
      <c r="AA285" s="10">
        <f t="shared" si="49"/>
        <v>4.9141763254774998E-2</v>
      </c>
    </row>
    <row r="286" spans="1:27" x14ac:dyDescent="0.3">
      <c r="A286" t="s">
        <v>63</v>
      </c>
      <c r="B286">
        <v>2019</v>
      </c>
      <c r="C286">
        <v>17.873000000000001</v>
      </c>
      <c r="D286">
        <v>183.37899999999999</v>
      </c>
      <c r="E286">
        <v>69.706000000000003</v>
      </c>
      <c r="F286">
        <v>57.631999999999998</v>
      </c>
      <c r="G286">
        <v>253.08500000000001</v>
      </c>
      <c r="H286">
        <v>118.77500000000001</v>
      </c>
      <c r="I286">
        <v>134.31</v>
      </c>
      <c r="J286">
        <v>116.16</v>
      </c>
      <c r="K286" s="5">
        <v>2.7958236745225001E-2</v>
      </c>
      <c r="L286" s="5">
        <v>7.3592627010500566E-2</v>
      </c>
      <c r="M286" s="8">
        <v>7.7100000000000002E-2</v>
      </c>
      <c r="N286">
        <v>23050.241666666701</v>
      </c>
      <c r="O286" s="3">
        <f t="shared" si="42"/>
        <v>35</v>
      </c>
      <c r="P286" s="15">
        <v>1985</v>
      </c>
      <c r="Q286" s="15">
        <v>117.24</v>
      </c>
      <c r="R286" s="15">
        <v>163.52000000000001</v>
      </c>
      <c r="S286" s="2">
        <f t="shared" si="40"/>
        <v>16.526481977739749</v>
      </c>
      <c r="T286" s="8">
        <f t="shared" si="43"/>
        <v>0.13307274216365125</v>
      </c>
      <c r="U286" s="8">
        <f t="shared" si="44"/>
        <v>7.0620542505482345E-2</v>
      </c>
      <c r="V286" s="9">
        <f t="shared" si="45"/>
        <v>0.88433474797111167</v>
      </c>
      <c r="W286">
        <f t="shared" si="46"/>
        <v>1.5786759641873278</v>
      </c>
      <c r="X286">
        <f t="shared" si="41"/>
        <v>5.0419602796549805</v>
      </c>
      <c r="Y286" s="8">
        <f t="shared" si="47"/>
        <v>0.22771796036904596</v>
      </c>
      <c r="Z286" s="8">
        <f t="shared" si="48"/>
        <v>4.7805213770522714E-2</v>
      </c>
      <c r="AA286" s="10">
        <f t="shared" si="49"/>
        <v>4.9141763254774998E-2</v>
      </c>
    </row>
    <row r="287" spans="1:27" x14ac:dyDescent="0.3">
      <c r="A287" t="s">
        <v>64</v>
      </c>
      <c r="B287">
        <v>2019</v>
      </c>
      <c r="C287">
        <v>178.79599999999999</v>
      </c>
      <c r="D287">
        <v>513.37300000000005</v>
      </c>
      <c r="E287">
        <v>383.32600000000002</v>
      </c>
      <c r="F287">
        <v>324.13600000000002</v>
      </c>
      <c r="G287">
        <v>896.69899999999996</v>
      </c>
      <c r="H287">
        <v>341.50299999999999</v>
      </c>
      <c r="I287">
        <v>555.19600000000003</v>
      </c>
      <c r="J287">
        <v>280.20999999999998</v>
      </c>
      <c r="K287" s="5">
        <v>2.7958236745225001E-2</v>
      </c>
      <c r="L287" s="5">
        <v>7.3592627010500566E-2</v>
      </c>
      <c r="M287" s="8">
        <v>7.7100000000000002E-2</v>
      </c>
      <c r="N287">
        <v>23050.241666666701</v>
      </c>
      <c r="O287" s="3">
        <f t="shared" si="42"/>
        <v>48</v>
      </c>
      <c r="P287" s="15">
        <v>1972</v>
      </c>
      <c r="Q287" s="15">
        <v>117.24</v>
      </c>
      <c r="R287" s="15">
        <v>163.52000000000001</v>
      </c>
      <c r="S287" s="2">
        <f t="shared" si="40"/>
        <v>16.526481977739749</v>
      </c>
      <c r="T287" s="8">
        <f t="shared" si="43"/>
        <v>0.3220412250808723</v>
      </c>
      <c r="U287" s="8">
        <f t="shared" si="44"/>
        <v>0.19939355346665938</v>
      </c>
      <c r="V287" s="9">
        <f t="shared" si="45"/>
        <v>0.61510349498195227</v>
      </c>
      <c r="W287">
        <f t="shared" si="46"/>
        <v>1.8321009243067703</v>
      </c>
      <c r="X287">
        <f t="shared" si="41"/>
        <v>6.3069551217299535</v>
      </c>
      <c r="Y287" s="8">
        <f t="shared" si="47"/>
        <v>0.36147692815537885</v>
      </c>
      <c r="Z287" s="8">
        <f t="shared" si="48"/>
        <v>4.7805213770522714E-2</v>
      </c>
      <c r="AA287" s="10">
        <f t="shared" si="49"/>
        <v>4.9141763254774998E-2</v>
      </c>
    </row>
    <row r="288" spans="1:27" x14ac:dyDescent="0.3">
      <c r="A288" t="s">
        <v>65</v>
      </c>
      <c r="B288">
        <v>2019</v>
      </c>
      <c r="C288">
        <v>21.192</v>
      </c>
      <c r="D288">
        <v>655.20600000000002</v>
      </c>
      <c r="E288">
        <v>1564.0250000000001</v>
      </c>
      <c r="F288">
        <v>1104.0999999999999</v>
      </c>
      <c r="G288">
        <v>2219.2310000000002</v>
      </c>
      <c r="H288">
        <v>722.44899999999996</v>
      </c>
      <c r="I288">
        <v>1496.7819999999999</v>
      </c>
      <c r="J288">
        <v>666.56</v>
      </c>
      <c r="K288" s="5">
        <v>2.7958236745225001E-2</v>
      </c>
      <c r="L288" s="5">
        <v>7.3592627010500566E-2</v>
      </c>
      <c r="M288" s="8">
        <v>7.7100000000000002E-2</v>
      </c>
      <c r="N288">
        <v>23050.241666666701</v>
      </c>
      <c r="O288" s="3">
        <f t="shared" si="42"/>
        <v>40</v>
      </c>
      <c r="P288" s="15">
        <v>1980</v>
      </c>
      <c r="Q288" s="15">
        <v>117.24</v>
      </c>
      <c r="R288" s="15">
        <v>163.52000000000001</v>
      </c>
      <c r="S288" s="2">
        <f t="shared" si="40"/>
        <v>16.526481977739749</v>
      </c>
      <c r="T288" s="8">
        <f t="shared" si="43"/>
        <v>1.4158374432616106E-2</v>
      </c>
      <c r="U288" s="8">
        <f t="shared" si="44"/>
        <v>9.5492537730412011E-3</v>
      </c>
      <c r="V288" s="9">
        <f t="shared" si="45"/>
        <v>0.48266815073938624</v>
      </c>
      <c r="W288">
        <f t="shared" si="46"/>
        <v>0.98296627460393671</v>
      </c>
      <c r="X288">
        <f t="shared" si="41"/>
        <v>7.2131508974335903</v>
      </c>
      <c r="Y288" s="8">
        <f t="shared" si="47"/>
        <v>0.49751467963452195</v>
      </c>
      <c r="Z288" s="8">
        <f t="shared" si="48"/>
        <v>4.7805213770522714E-2</v>
      </c>
      <c r="AA288" s="10">
        <f t="shared" si="49"/>
        <v>4.9141763254774998E-2</v>
      </c>
    </row>
    <row r="289" spans="1:27" x14ac:dyDescent="0.3">
      <c r="A289" t="s">
        <v>66</v>
      </c>
      <c r="B289">
        <v>2019</v>
      </c>
      <c r="C289">
        <v>166.94200000000001</v>
      </c>
      <c r="D289">
        <v>871.14599999999996</v>
      </c>
      <c r="E289">
        <v>201.06800000000001</v>
      </c>
      <c r="F289">
        <v>193.608</v>
      </c>
      <c r="G289">
        <v>1072.2139999999999</v>
      </c>
      <c r="H289">
        <v>345.47399999999999</v>
      </c>
      <c r="I289">
        <v>726.74</v>
      </c>
      <c r="J289">
        <v>342.56</v>
      </c>
      <c r="K289" s="5">
        <v>2.7958236745225001E-2</v>
      </c>
      <c r="L289" s="5">
        <v>7.3592627010500566E-2</v>
      </c>
      <c r="M289" s="8">
        <v>7.7100000000000002E-2</v>
      </c>
      <c r="N289">
        <v>23050.241666666701</v>
      </c>
      <c r="O289" s="3">
        <f t="shared" si="42"/>
        <v>62</v>
      </c>
      <c r="P289" s="15">
        <v>1958</v>
      </c>
      <c r="Q289" s="15">
        <v>117.24</v>
      </c>
      <c r="R289" s="15">
        <v>163.52000000000001</v>
      </c>
      <c r="S289" s="2">
        <f t="shared" si="40"/>
        <v>16.526481977739749</v>
      </c>
      <c r="T289" s="8">
        <f t="shared" si="43"/>
        <v>0.22971351514984728</v>
      </c>
      <c r="U289" s="8">
        <f t="shared" si="44"/>
        <v>0.15569839602915092</v>
      </c>
      <c r="V289" s="9">
        <f t="shared" si="45"/>
        <v>0.47537496215978203</v>
      </c>
      <c r="W289">
        <f t="shared" si="46"/>
        <v>2.5430464736104623</v>
      </c>
      <c r="X289">
        <f t="shared" si="41"/>
        <v>6.4857158275463789</v>
      </c>
      <c r="Y289" s="8">
        <f t="shared" si="47"/>
        <v>0.18056843130196026</v>
      </c>
      <c r="Z289" s="8">
        <f t="shared" si="48"/>
        <v>4.7805213770522714E-2</v>
      </c>
      <c r="AA289" s="10">
        <f t="shared" si="49"/>
        <v>4.9141763254774998E-2</v>
      </c>
    </row>
    <row r="290" spans="1:27" hidden="1" x14ac:dyDescent="0.3">
      <c r="A290" t="s">
        <v>67</v>
      </c>
      <c r="B290">
        <v>2019</v>
      </c>
      <c r="C290">
        <v>449.846</v>
      </c>
      <c r="D290">
        <v>1940.921</v>
      </c>
      <c r="E290">
        <v>625.29</v>
      </c>
      <c r="F290">
        <v>576.12199999999996</v>
      </c>
      <c r="G290">
        <v>2566.212</v>
      </c>
      <c r="H290">
        <v>1330.4680000000001</v>
      </c>
      <c r="I290">
        <v>1235.7429999999999</v>
      </c>
      <c r="J290">
        <v>1269.6199999999999</v>
      </c>
      <c r="K290" s="5">
        <v>2.7958236745225001E-2</v>
      </c>
      <c r="L290" s="5">
        <v>7.3592627010500566E-2</v>
      </c>
      <c r="M290" s="8">
        <v>7.7100000000000002E-2</v>
      </c>
      <c r="N290">
        <v>23050.241666666701</v>
      </c>
      <c r="O290" s="3">
        <f t="shared" si="42"/>
        <v>32</v>
      </c>
      <c r="P290" s="15">
        <v>1988</v>
      </c>
      <c r="Q290" s="15">
        <v>117.24</v>
      </c>
      <c r="R290" s="15">
        <v>163.52000000000001</v>
      </c>
      <c r="S290" s="2">
        <f t="shared" si="40"/>
        <v>16.526481977739749</v>
      </c>
      <c r="T290" s="8">
        <f t="shared" si="43"/>
        <v>0.36402876649918309</v>
      </c>
      <c r="U290" s="8">
        <f t="shared" si="44"/>
        <v>0.17529572771072693</v>
      </c>
      <c r="V290" s="9">
        <f t="shared" si="45"/>
        <v>1.0766542881489114</v>
      </c>
      <c r="W290">
        <f t="shared" si="46"/>
        <v>1.5287416707361259</v>
      </c>
      <c r="X290">
        <f t="shared" si="41"/>
        <v>7.3584210395976255</v>
      </c>
      <c r="Y290" s="8">
        <f t="shared" si="47"/>
        <v>0.22450288596577367</v>
      </c>
      <c r="Z290" s="8">
        <f t="shared" si="48"/>
        <v>4.7805213770522714E-2</v>
      </c>
      <c r="AA290" s="10">
        <f t="shared" si="49"/>
        <v>4.9141763254774998E-2</v>
      </c>
    </row>
    <row r="291" spans="1:27" x14ac:dyDescent="0.3">
      <c r="A291" t="s">
        <v>68</v>
      </c>
      <c r="B291">
        <v>2019</v>
      </c>
      <c r="C291">
        <v>6364.6149999999998</v>
      </c>
      <c r="D291">
        <v>24261.892</v>
      </c>
      <c r="E291">
        <v>73035.358999999997</v>
      </c>
      <c r="F291">
        <v>40791.699000000001</v>
      </c>
      <c r="G291">
        <v>97297.251000000004</v>
      </c>
      <c r="H291">
        <v>45408.843999999997</v>
      </c>
      <c r="I291">
        <v>51888.406999999999</v>
      </c>
      <c r="J291">
        <v>30492.19</v>
      </c>
      <c r="K291" s="5">
        <v>2.7958236745225001E-2</v>
      </c>
      <c r="L291" s="5">
        <v>7.3592627010500566E-2</v>
      </c>
      <c r="M291" s="8">
        <v>7.7100000000000002E-2</v>
      </c>
      <c r="N291">
        <v>23050.241666666701</v>
      </c>
      <c r="O291" s="3">
        <f t="shared" si="42"/>
        <v>16</v>
      </c>
      <c r="P291" s="15">
        <v>2004</v>
      </c>
      <c r="Q291" s="15">
        <v>117.24</v>
      </c>
      <c r="R291" s="15">
        <v>163.52000000000001</v>
      </c>
      <c r="S291" s="2">
        <f t="shared" si="40"/>
        <v>16.526481977739749</v>
      </c>
      <c r="T291" s="8">
        <f t="shared" si="43"/>
        <v>0.12265967232333803</v>
      </c>
      <c r="U291" s="8">
        <f t="shared" si="44"/>
        <v>6.54141297373345E-2</v>
      </c>
      <c r="V291" s="9">
        <f t="shared" si="45"/>
        <v>0.87512503515476969</v>
      </c>
      <c r="W291">
        <f t="shared" si="46"/>
        <v>0.79567561398508935</v>
      </c>
      <c r="X291">
        <f t="shared" si="41"/>
        <v>10.993760893921419</v>
      </c>
      <c r="Y291" s="8">
        <f t="shared" si="47"/>
        <v>0.4192482169922766</v>
      </c>
      <c r="Z291" s="8">
        <f t="shared" si="48"/>
        <v>4.7805213770522714E-2</v>
      </c>
      <c r="AA291" s="10">
        <f t="shared" si="49"/>
        <v>4.9141763254774998E-2</v>
      </c>
    </row>
    <row r="292" spans="1:27" x14ac:dyDescent="0.3">
      <c r="A292" t="s">
        <v>69</v>
      </c>
      <c r="B292">
        <v>2019</v>
      </c>
      <c r="C292">
        <v>47.918999999999997</v>
      </c>
      <c r="D292">
        <v>819.55</v>
      </c>
      <c r="E292">
        <v>451.983</v>
      </c>
      <c r="F292">
        <v>359.18599999999998</v>
      </c>
      <c r="G292">
        <v>1271.5329999999999</v>
      </c>
      <c r="H292">
        <v>589.54499999999996</v>
      </c>
      <c r="I292">
        <v>681.98800000000006</v>
      </c>
      <c r="J292">
        <v>464.56</v>
      </c>
      <c r="K292" s="5">
        <v>2.7958236745225001E-2</v>
      </c>
      <c r="L292" s="5">
        <v>7.3592627010500566E-2</v>
      </c>
      <c r="M292" s="8">
        <v>7.7100000000000002E-2</v>
      </c>
      <c r="N292">
        <v>23050.241666666701</v>
      </c>
      <c r="O292" s="3">
        <f t="shared" si="42"/>
        <v>25</v>
      </c>
      <c r="P292" s="15">
        <v>1995</v>
      </c>
      <c r="Q292" s="15">
        <v>117.24</v>
      </c>
      <c r="R292" s="15">
        <v>163.52000000000001</v>
      </c>
      <c r="S292" s="2">
        <f t="shared" si="40"/>
        <v>16.526481977739749</v>
      </c>
      <c r="T292" s="8">
        <f t="shared" si="43"/>
        <v>7.0263699654539366E-2</v>
      </c>
      <c r="U292" s="8">
        <f t="shared" si="44"/>
        <v>3.7686005789861532E-2</v>
      </c>
      <c r="V292" s="9">
        <f t="shared" si="45"/>
        <v>0.86445069414711095</v>
      </c>
      <c r="W292">
        <f t="shared" si="46"/>
        <v>1.7641424143275357</v>
      </c>
      <c r="X292">
        <f t="shared" si="41"/>
        <v>6.6562134170962493</v>
      </c>
      <c r="Y292" s="8">
        <f t="shared" si="47"/>
        <v>0.28248264103251747</v>
      </c>
      <c r="Z292" s="8">
        <f t="shared" si="48"/>
        <v>4.7805213770522714E-2</v>
      </c>
      <c r="AA292" s="10">
        <f t="shared" si="49"/>
        <v>4.9141763254774998E-2</v>
      </c>
    </row>
    <row r="293" spans="1:27" x14ac:dyDescent="0.3">
      <c r="A293" t="s">
        <v>70</v>
      </c>
      <c r="B293">
        <v>2019</v>
      </c>
      <c r="C293">
        <v>44.356999999999999</v>
      </c>
      <c r="D293">
        <v>127.58199999999999</v>
      </c>
      <c r="E293">
        <v>263.20499999999998</v>
      </c>
      <c r="F293">
        <v>152.286</v>
      </c>
      <c r="G293">
        <v>390.78699999999998</v>
      </c>
      <c r="H293">
        <v>242.75299999999999</v>
      </c>
      <c r="I293">
        <v>148.03299999999999</v>
      </c>
      <c r="J293">
        <v>168.79</v>
      </c>
      <c r="K293" s="5">
        <v>2.7958236745225001E-2</v>
      </c>
      <c r="L293" s="5">
        <v>7.3592627010500566E-2</v>
      </c>
      <c r="M293" s="8">
        <v>7.7100000000000002E-2</v>
      </c>
      <c r="N293">
        <v>23050.241666666701</v>
      </c>
      <c r="O293" s="3">
        <f t="shared" si="42"/>
        <v>27</v>
      </c>
      <c r="P293" s="15">
        <v>1993</v>
      </c>
      <c r="Q293" s="15">
        <v>117.24</v>
      </c>
      <c r="R293" s="15">
        <v>163.52000000000001</v>
      </c>
      <c r="S293" s="2">
        <f t="shared" si="40"/>
        <v>16.526481977739749</v>
      </c>
      <c r="T293" s="8">
        <f t="shared" si="43"/>
        <v>0.29964264724757322</v>
      </c>
      <c r="U293" s="8">
        <f t="shared" si="44"/>
        <v>0.11350684644064414</v>
      </c>
      <c r="V293" s="9">
        <f t="shared" si="45"/>
        <v>1.6398573291090501</v>
      </c>
      <c r="W293">
        <f t="shared" si="46"/>
        <v>0.75586231411813498</v>
      </c>
      <c r="X293">
        <f t="shared" si="41"/>
        <v>5.4763975334908475</v>
      </c>
      <c r="Y293" s="8">
        <f t="shared" si="47"/>
        <v>0.38969054753612586</v>
      </c>
      <c r="Z293" s="8">
        <f t="shared" si="48"/>
        <v>4.7805213770522714E-2</v>
      </c>
      <c r="AA293" s="10">
        <f t="shared" si="49"/>
        <v>4.9141763254774998E-2</v>
      </c>
    </row>
    <row r="294" spans="1:27" x14ac:dyDescent="0.3">
      <c r="A294" t="s">
        <v>71</v>
      </c>
      <c r="B294">
        <v>2019</v>
      </c>
      <c r="C294">
        <v>207.459</v>
      </c>
      <c r="D294">
        <v>858.44500000000005</v>
      </c>
      <c r="E294">
        <v>909.24699999999996</v>
      </c>
      <c r="F294">
        <v>458.60700000000003</v>
      </c>
      <c r="G294">
        <v>1767.692</v>
      </c>
      <c r="H294">
        <v>639.11300000000006</v>
      </c>
      <c r="I294">
        <v>1128.58</v>
      </c>
      <c r="J294">
        <v>544.62</v>
      </c>
      <c r="K294" s="5">
        <v>2.7958236745225001E-2</v>
      </c>
      <c r="L294" s="5">
        <v>7.3592627010500566E-2</v>
      </c>
      <c r="M294" s="8">
        <v>7.7100000000000002E-2</v>
      </c>
      <c r="N294">
        <v>23050.241666666701</v>
      </c>
      <c r="O294" s="3">
        <f t="shared" si="42"/>
        <v>52</v>
      </c>
      <c r="P294" s="15">
        <v>1968</v>
      </c>
      <c r="Q294" s="15">
        <v>117.24</v>
      </c>
      <c r="R294" s="15">
        <v>163.52000000000001</v>
      </c>
      <c r="S294" s="2">
        <f t="shared" si="40"/>
        <v>16.526481977739749</v>
      </c>
      <c r="T294" s="8">
        <f t="shared" si="43"/>
        <v>0.18382303425543606</v>
      </c>
      <c r="U294" s="8">
        <f t="shared" si="44"/>
        <v>0.11736150867911378</v>
      </c>
      <c r="V294" s="9">
        <f t="shared" si="45"/>
        <v>0.56629835722766675</v>
      </c>
      <c r="W294">
        <f t="shared" si="46"/>
        <v>1.5762274613491978</v>
      </c>
      <c r="X294">
        <f t="shared" si="41"/>
        <v>6.9856648988495431</v>
      </c>
      <c r="Y294" s="8">
        <f t="shared" si="47"/>
        <v>0.25943829581171379</v>
      </c>
      <c r="Z294" s="8">
        <f t="shared" si="48"/>
        <v>4.7805213770522714E-2</v>
      </c>
      <c r="AA294" s="10">
        <f t="shared" si="49"/>
        <v>4.9141763254774998E-2</v>
      </c>
    </row>
    <row r="295" spans="1:27" x14ac:dyDescent="0.3">
      <c r="A295" t="s">
        <v>72</v>
      </c>
      <c r="B295">
        <v>2019</v>
      </c>
      <c r="C295">
        <v>451.97899999999998</v>
      </c>
      <c r="D295">
        <v>5683.2709999999997</v>
      </c>
      <c r="E295">
        <v>5081.2820000000002</v>
      </c>
      <c r="F295">
        <v>3039.866</v>
      </c>
      <c r="G295">
        <v>10764.554</v>
      </c>
      <c r="H295">
        <v>4618.982</v>
      </c>
      <c r="I295">
        <v>6145.5720000000001</v>
      </c>
      <c r="J295">
        <v>3060.15</v>
      </c>
      <c r="K295" s="5">
        <v>2.7958236745225001E-2</v>
      </c>
      <c r="L295" s="5">
        <v>7.3592627010500566E-2</v>
      </c>
      <c r="M295" s="8">
        <v>7.7100000000000002E-2</v>
      </c>
      <c r="N295">
        <v>23050.241666666701</v>
      </c>
      <c r="O295" s="3">
        <f t="shared" si="42"/>
        <v>22</v>
      </c>
      <c r="P295" s="15">
        <v>1998</v>
      </c>
      <c r="Q295" s="15">
        <v>117.24</v>
      </c>
      <c r="R295" s="15">
        <v>163.52000000000001</v>
      </c>
      <c r="S295" s="2">
        <f t="shared" si="40"/>
        <v>16.526481977739749</v>
      </c>
      <c r="T295" s="8">
        <f t="shared" si="43"/>
        <v>7.3545473065810635E-2</v>
      </c>
      <c r="U295" s="8">
        <f t="shared" si="44"/>
        <v>4.1987712635377185E-2</v>
      </c>
      <c r="V295" s="9">
        <f t="shared" si="45"/>
        <v>0.75159513223504659</v>
      </c>
      <c r="W295">
        <f t="shared" si="46"/>
        <v>1.8571870659934968</v>
      </c>
      <c r="X295">
        <f t="shared" si="41"/>
        <v>8.7922488573509394</v>
      </c>
      <c r="Y295" s="8">
        <f t="shared" si="47"/>
        <v>0.28239590790291913</v>
      </c>
      <c r="Z295" s="8">
        <f t="shared" si="48"/>
        <v>4.7805213770522714E-2</v>
      </c>
      <c r="AA295" s="10">
        <f t="shared" si="49"/>
        <v>4.9141763254774998E-2</v>
      </c>
    </row>
    <row r="296" spans="1:27" x14ac:dyDescent="0.3">
      <c r="A296" t="s">
        <v>73</v>
      </c>
      <c r="B296">
        <v>2019</v>
      </c>
      <c r="C296">
        <v>1193.925</v>
      </c>
      <c r="D296">
        <v>7333.3639999999996</v>
      </c>
      <c r="E296">
        <v>1269.5999999999999</v>
      </c>
      <c r="F296">
        <v>923.87</v>
      </c>
      <c r="G296">
        <v>8602.9639999999999</v>
      </c>
      <c r="H296">
        <v>4025.6990000000001</v>
      </c>
      <c r="I296">
        <v>4577.2659999999996</v>
      </c>
      <c r="J296">
        <v>4017.86</v>
      </c>
      <c r="K296" s="5">
        <v>2.7958236745225001E-2</v>
      </c>
      <c r="L296" s="5">
        <v>7.3592627010500566E-2</v>
      </c>
      <c r="M296" s="8">
        <v>7.7100000000000002E-2</v>
      </c>
      <c r="N296">
        <v>23050.241666666701</v>
      </c>
      <c r="O296" s="3">
        <f t="shared" si="42"/>
        <v>32</v>
      </c>
      <c r="P296" s="15">
        <v>1988</v>
      </c>
      <c r="Q296" s="15">
        <v>117.24</v>
      </c>
      <c r="R296" s="15">
        <v>163.52000000000001</v>
      </c>
      <c r="S296" s="2">
        <f t="shared" si="40"/>
        <v>16.526481977739749</v>
      </c>
      <c r="T296" s="8">
        <f t="shared" si="43"/>
        <v>0.26083801990096273</v>
      </c>
      <c r="U296" s="8">
        <f t="shared" si="44"/>
        <v>0.13878065745712756</v>
      </c>
      <c r="V296" s="9">
        <f t="shared" si="45"/>
        <v>0.87949859151729448</v>
      </c>
      <c r="W296">
        <f t="shared" si="46"/>
        <v>1.825191519863808</v>
      </c>
      <c r="X296">
        <f t="shared" si="41"/>
        <v>8.5680969529985731</v>
      </c>
      <c r="Y296" s="8">
        <f t="shared" si="47"/>
        <v>0.10738973218997545</v>
      </c>
      <c r="Z296" s="8">
        <f t="shared" si="48"/>
        <v>4.7805213770522714E-2</v>
      </c>
      <c r="AA296" s="10">
        <f t="shared" si="49"/>
        <v>4.9141763254774998E-2</v>
      </c>
    </row>
    <row r="297" spans="1:27" x14ac:dyDescent="0.3">
      <c r="A297" t="s">
        <v>74</v>
      </c>
      <c r="B297">
        <v>2019</v>
      </c>
      <c r="C297">
        <v>125.17</v>
      </c>
      <c r="D297">
        <v>2716.951</v>
      </c>
      <c r="E297">
        <v>297.76600000000002</v>
      </c>
      <c r="F297">
        <v>292.54599999999999</v>
      </c>
      <c r="G297">
        <v>3014.7170000000001</v>
      </c>
      <c r="H297">
        <v>2180.1950000000002</v>
      </c>
      <c r="I297">
        <v>834.52200000000005</v>
      </c>
      <c r="J297">
        <v>2179.36</v>
      </c>
      <c r="K297" s="5">
        <v>2.7958236745225001E-2</v>
      </c>
      <c r="L297" s="5">
        <v>7.3592627010500566E-2</v>
      </c>
      <c r="M297" s="8">
        <v>7.7100000000000002E-2</v>
      </c>
      <c r="N297">
        <v>23050.241666666701</v>
      </c>
      <c r="O297" s="3">
        <f t="shared" si="42"/>
        <v>16</v>
      </c>
      <c r="P297" s="15">
        <v>2004</v>
      </c>
      <c r="Q297" s="15">
        <v>117.24</v>
      </c>
      <c r="R297" s="15">
        <v>163.52000000000001</v>
      </c>
      <c r="S297" s="2">
        <f t="shared" si="40"/>
        <v>16.526481977739749</v>
      </c>
      <c r="T297" s="8">
        <f t="shared" si="43"/>
        <v>0.14999005418670808</v>
      </c>
      <c r="U297" s="8">
        <f t="shared" si="44"/>
        <v>4.1519651761674478E-2</v>
      </c>
      <c r="V297" s="9">
        <f t="shared" si="45"/>
        <v>2.6125075192745069</v>
      </c>
      <c r="W297">
        <f t="shared" si="46"/>
        <v>1.2466737941413992</v>
      </c>
      <c r="X297">
        <f t="shared" si="41"/>
        <v>7.5194961197152681</v>
      </c>
      <c r="Y297" s="8">
        <f t="shared" si="47"/>
        <v>9.7039290918517387E-2</v>
      </c>
      <c r="Z297" s="8">
        <f t="shared" si="48"/>
        <v>4.7805213770522714E-2</v>
      </c>
      <c r="AA297" s="10">
        <f t="shared" si="49"/>
        <v>4.9141763254774998E-2</v>
      </c>
    </row>
    <row r="298" spans="1:27" x14ac:dyDescent="0.3">
      <c r="A298" t="s">
        <v>75</v>
      </c>
      <c r="B298">
        <v>2019</v>
      </c>
      <c r="C298">
        <v>5370.1480000000001</v>
      </c>
      <c r="D298">
        <v>19164.602999999999</v>
      </c>
      <c r="E298">
        <v>7797.8739999999998</v>
      </c>
      <c r="F298">
        <v>4685.4399999999996</v>
      </c>
      <c r="G298">
        <v>26962.475999999999</v>
      </c>
      <c r="H298">
        <v>6886.2290000000003</v>
      </c>
      <c r="I298">
        <v>20076.246999999999</v>
      </c>
      <c r="J298">
        <v>6087.83</v>
      </c>
      <c r="K298" s="5">
        <v>2.7958236745225001E-2</v>
      </c>
      <c r="L298" s="5">
        <v>7.3592627010500566E-2</v>
      </c>
      <c r="M298" s="8">
        <v>7.7100000000000002E-2</v>
      </c>
      <c r="N298">
        <v>23050.241666666701</v>
      </c>
      <c r="O298" s="3">
        <f t="shared" si="42"/>
        <v>17</v>
      </c>
      <c r="P298" s="15">
        <v>2003</v>
      </c>
      <c r="Q298" s="15">
        <v>117.24</v>
      </c>
      <c r="R298" s="15">
        <v>163.52000000000001</v>
      </c>
      <c r="S298" s="2">
        <f t="shared" si="40"/>
        <v>16.526481977739749</v>
      </c>
      <c r="T298" s="8">
        <f t="shared" si="43"/>
        <v>0.26748764348236997</v>
      </c>
      <c r="U298" s="8">
        <f t="shared" si="44"/>
        <v>0.19917117404202792</v>
      </c>
      <c r="V298" s="9">
        <f t="shared" si="45"/>
        <v>0.34300379946510923</v>
      </c>
      <c r="W298">
        <f t="shared" si="46"/>
        <v>3.1480187521662071</v>
      </c>
      <c r="X298">
        <f t="shared" si="41"/>
        <v>9.7104362795445933</v>
      </c>
      <c r="Y298" s="8">
        <f t="shared" si="47"/>
        <v>0.17377632529000675</v>
      </c>
      <c r="Z298" s="8">
        <f t="shared" si="48"/>
        <v>4.7805213770522714E-2</v>
      </c>
      <c r="AA298" s="10">
        <f t="shared" si="49"/>
        <v>4.9141763254774998E-2</v>
      </c>
    </row>
    <row r="299" spans="1:27" x14ac:dyDescent="0.3">
      <c r="A299" t="s">
        <v>76</v>
      </c>
      <c r="B299">
        <v>2019</v>
      </c>
      <c r="C299">
        <v>308.726</v>
      </c>
      <c r="D299">
        <v>9647.2900000000009</v>
      </c>
      <c r="E299">
        <v>7585.9989999999998</v>
      </c>
      <c r="F299">
        <v>4220.3149999999996</v>
      </c>
      <c r="G299">
        <v>17233.289000000001</v>
      </c>
      <c r="H299">
        <v>9631.6200000000008</v>
      </c>
      <c r="I299">
        <v>7601.6689999999999</v>
      </c>
      <c r="J299">
        <v>7789.93</v>
      </c>
      <c r="K299" s="5">
        <v>2.7958236745225001E-2</v>
      </c>
      <c r="L299" s="5">
        <v>7.3592627010500566E-2</v>
      </c>
      <c r="M299" s="8">
        <v>7.7100000000000002E-2</v>
      </c>
      <c r="N299">
        <v>23050.241666666701</v>
      </c>
      <c r="O299" s="3">
        <f t="shared" si="42"/>
        <v>25</v>
      </c>
      <c r="P299" s="15">
        <v>1995</v>
      </c>
      <c r="Q299" s="15">
        <v>117.24</v>
      </c>
      <c r="R299" s="15">
        <v>163.52000000000001</v>
      </c>
      <c r="S299" s="2">
        <f t="shared" si="40"/>
        <v>16.526481977739749</v>
      </c>
      <c r="T299" s="8">
        <f t="shared" si="43"/>
        <v>4.0612923293555668E-2</v>
      </c>
      <c r="U299" s="8">
        <f t="shared" si="44"/>
        <v>1.7914514170800477E-2</v>
      </c>
      <c r="V299" s="9">
        <f t="shared" si="45"/>
        <v>1.2670401723621485</v>
      </c>
      <c r="W299">
        <f t="shared" si="46"/>
        <v>1.2384308973251366</v>
      </c>
      <c r="X299">
        <f t="shared" si="41"/>
        <v>9.2628330782640038</v>
      </c>
      <c r="Y299" s="8">
        <f t="shared" si="47"/>
        <v>0.24489318318749251</v>
      </c>
      <c r="Z299" s="8">
        <f t="shared" si="48"/>
        <v>4.7805213770522714E-2</v>
      </c>
      <c r="AA299" s="10">
        <f t="shared" si="49"/>
        <v>4.9141763254774998E-2</v>
      </c>
    </row>
    <row r="300" spans="1:27" x14ac:dyDescent="0.3">
      <c r="A300" t="s">
        <v>77</v>
      </c>
      <c r="B300">
        <v>2019</v>
      </c>
      <c r="C300">
        <v>207.04300000000001</v>
      </c>
      <c r="D300">
        <v>272.03800000000001</v>
      </c>
      <c r="E300">
        <v>525.43700000000001</v>
      </c>
      <c r="F300">
        <v>439.41399999999999</v>
      </c>
      <c r="G300">
        <v>797.47500000000002</v>
      </c>
      <c r="H300">
        <v>325.464</v>
      </c>
      <c r="I300">
        <v>472.01</v>
      </c>
      <c r="J300">
        <v>301.98</v>
      </c>
      <c r="K300" s="5">
        <v>2.7958236745225001E-2</v>
      </c>
      <c r="L300" s="5">
        <v>7.3592627010500566E-2</v>
      </c>
      <c r="M300" s="8">
        <v>7.7100000000000002E-2</v>
      </c>
      <c r="N300">
        <v>23050.241666666701</v>
      </c>
      <c r="O300" s="3">
        <f t="shared" si="42"/>
        <v>12</v>
      </c>
      <c r="P300" s="15">
        <v>2008</v>
      </c>
      <c r="Q300" s="15">
        <v>117.24</v>
      </c>
      <c r="R300" s="15">
        <v>163.52000000000001</v>
      </c>
      <c r="S300" s="2">
        <f t="shared" si="40"/>
        <v>16.526481977739749</v>
      </c>
      <c r="T300" s="8">
        <f t="shared" si="43"/>
        <v>0.43864113048452363</v>
      </c>
      <c r="U300" s="8">
        <f t="shared" si="44"/>
        <v>0.25962318567980186</v>
      </c>
      <c r="V300" s="9">
        <f t="shared" si="45"/>
        <v>0.68952776424228301</v>
      </c>
      <c r="W300">
        <f t="shared" si="46"/>
        <v>0.90084773826081199</v>
      </c>
      <c r="X300">
        <f t="shared" si="41"/>
        <v>6.1896853651780113</v>
      </c>
      <c r="Y300" s="8">
        <f t="shared" si="47"/>
        <v>0.55100661462741773</v>
      </c>
      <c r="Z300" s="8">
        <f t="shared" si="48"/>
        <v>4.7805213770522714E-2</v>
      </c>
      <c r="AA300" s="10">
        <f t="shared" si="49"/>
        <v>4.9141763254774998E-2</v>
      </c>
    </row>
    <row r="301" spans="1:27" x14ac:dyDescent="0.3">
      <c r="A301" t="s">
        <v>78</v>
      </c>
      <c r="B301">
        <v>2019</v>
      </c>
      <c r="C301">
        <v>41.368000000000002</v>
      </c>
      <c r="D301">
        <v>420.596</v>
      </c>
      <c r="E301">
        <v>386.21</v>
      </c>
      <c r="F301">
        <v>80.992999999999995</v>
      </c>
      <c r="G301">
        <v>806.80600000000004</v>
      </c>
      <c r="H301">
        <v>425.46800000000002</v>
      </c>
      <c r="I301">
        <v>381.33800000000002</v>
      </c>
      <c r="J301">
        <v>141.56</v>
      </c>
      <c r="K301" s="5">
        <v>2.7958236745225001E-2</v>
      </c>
      <c r="L301" s="5">
        <v>7.3592627010500566E-2</v>
      </c>
      <c r="M301" s="8">
        <v>7.7100000000000002E-2</v>
      </c>
      <c r="N301">
        <v>23050.241666666701</v>
      </c>
      <c r="O301" s="3">
        <f t="shared" si="42"/>
        <v>60</v>
      </c>
      <c r="P301" s="15">
        <v>1960</v>
      </c>
      <c r="Q301" s="15">
        <v>117.24</v>
      </c>
      <c r="R301" s="15">
        <v>163.52000000000001</v>
      </c>
      <c r="S301" s="2">
        <f t="shared" si="40"/>
        <v>16.526481977739749</v>
      </c>
      <c r="T301" s="8">
        <f t="shared" si="43"/>
        <v>0.10848118991550802</v>
      </c>
      <c r="U301" s="8">
        <f t="shared" si="44"/>
        <v>5.1273788246492959E-2</v>
      </c>
      <c r="V301" s="9">
        <f t="shared" si="45"/>
        <v>1.1157241082714022</v>
      </c>
      <c r="W301">
        <f t="shared" si="46"/>
        <v>2.9711500423848545</v>
      </c>
      <c r="X301">
        <f t="shared" si="41"/>
        <v>6.2013181218124638</v>
      </c>
      <c r="Y301" s="8">
        <f t="shared" si="47"/>
        <v>0.1003872058462629</v>
      </c>
      <c r="Z301" s="8">
        <f t="shared" si="48"/>
        <v>4.7805213770522714E-2</v>
      </c>
      <c r="AA301" s="10">
        <f t="shared" si="49"/>
        <v>4.9141763254774998E-2</v>
      </c>
    </row>
    <row r="302" spans="1:27" x14ac:dyDescent="0.3">
      <c r="A302" t="s">
        <v>79</v>
      </c>
      <c r="B302">
        <v>2019</v>
      </c>
      <c r="C302">
        <v>73.835999999999999</v>
      </c>
      <c r="D302">
        <v>365.52499999999998</v>
      </c>
      <c r="E302">
        <v>108.40600000000001</v>
      </c>
      <c r="F302">
        <v>80.882000000000005</v>
      </c>
      <c r="G302">
        <v>473.93200000000002</v>
      </c>
      <c r="H302">
        <v>144.834</v>
      </c>
      <c r="I302">
        <v>329.09699999999998</v>
      </c>
      <c r="J302">
        <v>144.83000000000001</v>
      </c>
      <c r="K302" s="5">
        <v>2.7958236745225001E-2</v>
      </c>
      <c r="L302" s="5">
        <v>7.3592627010500566E-2</v>
      </c>
      <c r="M302" s="8">
        <v>7.7100000000000002E-2</v>
      </c>
      <c r="N302">
        <v>23050.241666666701</v>
      </c>
      <c r="O302" s="3">
        <f t="shared" si="42"/>
        <v>44</v>
      </c>
      <c r="P302" s="15">
        <v>1976</v>
      </c>
      <c r="Q302" s="15">
        <v>117.24</v>
      </c>
      <c r="R302" s="15">
        <v>163.52000000000001</v>
      </c>
      <c r="S302" s="2">
        <f t="shared" si="40"/>
        <v>16.526481977739749</v>
      </c>
      <c r="T302" s="8">
        <f t="shared" si="43"/>
        <v>0.22435938340367734</v>
      </c>
      <c r="U302" s="8">
        <f t="shared" si="44"/>
        <v>0.15579450216486754</v>
      </c>
      <c r="V302" s="9">
        <f t="shared" si="45"/>
        <v>0.44009516950929367</v>
      </c>
      <c r="W302">
        <f t="shared" si="46"/>
        <v>2.5238210315542355</v>
      </c>
      <c r="X302">
        <f t="shared" si="41"/>
        <v>5.6692987304608584</v>
      </c>
      <c r="Y302" s="8">
        <f t="shared" si="47"/>
        <v>0.17066161390241638</v>
      </c>
      <c r="Z302" s="8">
        <f t="shared" si="48"/>
        <v>4.7805213770522714E-2</v>
      </c>
      <c r="AA302" s="10">
        <f t="shared" si="49"/>
        <v>4.9141763254774998E-2</v>
      </c>
    </row>
    <row r="303" spans="1:27" x14ac:dyDescent="0.3">
      <c r="A303" t="s">
        <v>80</v>
      </c>
      <c r="B303">
        <v>2019</v>
      </c>
      <c r="C303">
        <v>214.423</v>
      </c>
      <c r="D303">
        <v>879.67200000000003</v>
      </c>
      <c r="E303">
        <v>1191.6010000000001</v>
      </c>
      <c r="F303">
        <v>1048.021</v>
      </c>
      <c r="G303">
        <v>2071.2730000000001</v>
      </c>
      <c r="H303">
        <v>988.154</v>
      </c>
      <c r="I303">
        <v>1083.1199999999999</v>
      </c>
      <c r="J303">
        <v>823.67</v>
      </c>
      <c r="K303" s="5">
        <v>2.7958236745225001E-2</v>
      </c>
      <c r="L303" s="5">
        <v>7.3592627010500566E-2</v>
      </c>
      <c r="M303" s="8">
        <v>7.7100000000000002E-2</v>
      </c>
      <c r="N303">
        <v>23050.241666666701</v>
      </c>
      <c r="O303" s="3">
        <f t="shared" si="42"/>
        <v>20</v>
      </c>
      <c r="P303" s="15">
        <v>2000</v>
      </c>
      <c r="Q303" s="15">
        <v>117.24</v>
      </c>
      <c r="R303" s="15">
        <v>163.52000000000001</v>
      </c>
      <c r="S303" s="2">
        <f t="shared" si="40"/>
        <v>16.526481977739749</v>
      </c>
      <c r="T303" s="8">
        <f t="shared" si="43"/>
        <v>0.19796790752640522</v>
      </c>
      <c r="U303" s="8">
        <f t="shared" si="44"/>
        <v>0.10352232660783971</v>
      </c>
      <c r="V303" s="9">
        <f t="shared" si="45"/>
        <v>0.91232181106433274</v>
      </c>
      <c r="W303">
        <f t="shared" si="46"/>
        <v>1.0679908215668896</v>
      </c>
      <c r="X303">
        <f t="shared" si="41"/>
        <v>7.1441535520574231</v>
      </c>
      <c r="Y303" s="8">
        <f t="shared" si="47"/>
        <v>0.50597917319445573</v>
      </c>
      <c r="Z303" s="8">
        <f t="shared" si="48"/>
        <v>4.7805213770522714E-2</v>
      </c>
      <c r="AA303" s="10">
        <f t="shared" si="49"/>
        <v>4.9141763254774998E-2</v>
      </c>
    </row>
    <row r="304" spans="1:27" x14ac:dyDescent="0.3">
      <c r="A304" t="s">
        <v>81</v>
      </c>
      <c r="B304">
        <v>2019</v>
      </c>
      <c r="C304">
        <v>233.33199999999999</v>
      </c>
      <c r="D304">
        <v>2515.6660000000002</v>
      </c>
      <c r="E304">
        <v>2212.3710000000001</v>
      </c>
      <c r="F304">
        <v>502.79599999999999</v>
      </c>
      <c r="G304">
        <v>4728.0370000000003</v>
      </c>
      <c r="H304">
        <v>3088.2260000000001</v>
      </c>
      <c r="I304">
        <v>1639.8109999999999</v>
      </c>
      <c r="J304">
        <v>2592.15</v>
      </c>
      <c r="K304" s="5">
        <v>2.7958236745225001E-2</v>
      </c>
      <c r="L304" s="5">
        <v>7.3592627010500566E-2</v>
      </c>
      <c r="M304" s="8">
        <v>7.7100000000000002E-2</v>
      </c>
      <c r="N304">
        <v>23050.241666666701</v>
      </c>
      <c r="O304" s="3">
        <f t="shared" si="42"/>
        <v>38</v>
      </c>
      <c r="P304" s="15">
        <v>1982</v>
      </c>
      <c r="Q304" s="15">
        <v>117.24</v>
      </c>
      <c r="R304" s="15">
        <v>163.52000000000001</v>
      </c>
      <c r="S304" s="2">
        <f t="shared" si="40"/>
        <v>16.526481977739749</v>
      </c>
      <c r="T304" s="8">
        <f t="shared" si="43"/>
        <v>0.14229200804239026</v>
      </c>
      <c r="U304" s="8">
        <f t="shared" si="44"/>
        <v>4.9350713625972042E-2</v>
      </c>
      <c r="V304" s="9">
        <f t="shared" si="45"/>
        <v>1.8832816708754851</v>
      </c>
      <c r="W304">
        <f t="shared" si="46"/>
        <v>0.97049399147425885</v>
      </c>
      <c r="X304">
        <f t="shared" si="41"/>
        <v>7.969500263747185</v>
      </c>
      <c r="Y304" s="8">
        <f t="shared" si="47"/>
        <v>0.10634349942692918</v>
      </c>
      <c r="Z304" s="8">
        <f t="shared" si="48"/>
        <v>4.7805213770522714E-2</v>
      </c>
      <c r="AA304" s="10">
        <f t="shared" si="49"/>
        <v>4.9141763254774998E-2</v>
      </c>
    </row>
    <row r="305" spans="1:27" x14ac:dyDescent="0.3">
      <c r="A305" t="s">
        <v>82</v>
      </c>
      <c r="B305">
        <v>2019</v>
      </c>
      <c r="C305">
        <v>216.84700000000001</v>
      </c>
      <c r="D305">
        <v>1624.461</v>
      </c>
      <c r="E305">
        <v>1298.3440000000001</v>
      </c>
      <c r="F305">
        <v>1090.578</v>
      </c>
      <c r="G305">
        <v>2922.8049999999998</v>
      </c>
      <c r="H305">
        <v>1497.538</v>
      </c>
      <c r="I305">
        <v>1425.2670000000001</v>
      </c>
      <c r="J305">
        <v>1331.36</v>
      </c>
      <c r="K305" s="5">
        <v>2.7958236745225001E-2</v>
      </c>
      <c r="L305" s="5">
        <v>7.3592627010500566E-2</v>
      </c>
      <c r="M305" s="8">
        <v>7.7100000000000002E-2</v>
      </c>
      <c r="N305">
        <v>23050.241666666701</v>
      </c>
      <c r="O305" s="3">
        <f t="shared" si="42"/>
        <v>44</v>
      </c>
      <c r="P305" s="15">
        <v>1976</v>
      </c>
      <c r="Q305" s="15">
        <v>117.24</v>
      </c>
      <c r="R305" s="15">
        <v>163.52000000000001</v>
      </c>
      <c r="S305" s="2">
        <f t="shared" si="40"/>
        <v>16.526481977739749</v>
      </c>
      <c r="T305" s="8">
        <f t="shared" si="43"/>
        <v>0.15214482619747738</v>
      </c>
      <c r="U305" s="8">
        <f t="shared" si="44"/>
        <v>7.4191401752768324E-2</v>
      </c>
      <c r="V305" s="9">
        <f t="shared" si="45"/>
        <v>1.050706990339354</v>
      </c>
      <c r="W305">
        <f t="shared" si="46"/>
        <v>1.2201515743300084</v>
      </c>
      <c r="X305">
        <f t="shared" si="41"/>
        <v>7.4885339295767324</v>
      </c>
      <c r="Y305" s="8">
        <f t="shared" si="47"/>
        <v>0.37312718433148978</v>
      </c>
      <c r="Z305" s="8">
        <f t="shared" si="48"/>
        <v>4.7805213770522714E-2</v>
      </c>
      <c r="AA305" s="10">
        <f t="shared" si="49"/>
        <v>4.9141763254774998E-2</v>
      </c>
    </row>
    <row r="306" spans="1:27" x14ac:dyDescent="0.3">
      <c r="A306" t="s">
        <v>83</v>
      </c>
      <c r="B306">
        <v>2019</v>
      </c>
      <c r="C306">
        <v>349.08699999999999</v>
      </c>
      <c r="D306">
        <v>1830.894</v>
      </c>
      <c r="E306">
        <v>586.01</v>
      </c>
      <c r="F306">
        <v>464.23700000000002</v>
      </c>
      <c r="G306">
        <v>2416.904</v>
      </c>
      <c r="H306">
        <v>609.91700000000003</v>
      </c>
      <c r="I306">
        <v>1806.9870000000001</v>
      </c>
      <c r="J306">
        <v>554.65</v>
      </c>
      <c r="K306" s="5">
        <v>2.7958236745225001E-2</v>
      </c>
      <c r="L306" s="5">
        <v>7.3592627010500566E-2</v>
      </c>
      <c r="M306" s="8">
        <v>7.7100000000000002E-2</v>
      </c>
      <c r="N306">
        <v>23050.241666666701</v>
      </c>
      <c r="O306" s="3">
        <f t="shared" si="42"/>
        <v>39</v>
      </c>
      <c r="P306" s="15">
        <v>1981</v>
      </c>
      <c r="Q306" s="15">
        <v>117.24</v>
      </c>
      <c r="R306" s="15">
        <v>163.52000000000001</v>
      </c>
      <c r="S306" s="2">
        <f t="shared" si="40"/>
        <v>16.526481977739749</v>
      </c>
      <c r="T306" s="8">
        <f t="shared" si="43"/>
        <v>0.19318733338978086</v>
      </c>
      <c r="U306" s="8">
        <f t="shared" si="44"/>
        <v>0.14443560853058293</v>
      </c>
      <c r="V306" s="9">
        <f t="shared" si="45"/>
        <v>0.33753258877900061</v>
      </c>
      <c r="W306">
        <f t="shared" si="46"/>
        <v>3.3009898133958355</v>
      </c>
      <c r="X306">
        <f t="shared" si="41"/>
        <v>7.2984775402279327</v>
      </c>
      <c r="Y306" s="8">
        <f t="shared" si="47"/>
        <v>0.19207920546285662</v>
      </c>
      <c r="Z306" s="8">
        <f t="shared" si="48"/>
        <v>4.7805213770522714E-2</v>
      </c>
      <c r="AA306" s="10">
        <f t="shared" si="49"/>
        <v>4.9141763254774998E-2</v>
      </c>
    </row>
    <row r="307" spans="1:27" x14ac:dyDescent="0.3">
      <c r="A307" t="s">
        <v>84</v>
      </c>
      <c r="B307">
        <v>2019</v>
      </c>
      <c r="C307">
        <v>3.89</v>
      </c>
      <c r="D307">
        <v>1211.4359999999999</v>
      </c>
      <c r="E307">
        <v>379.19200000000001</v>
      </c>
      <c r="F307">
        <v>323.18099999999998</v>
      </c>
      <c r="G307">
        <v>1590.6279999999999</v>
      </c>
      <c r="H307">
        <v>1175.0250000000001</v>
      </c>
      <c r="I307">
        <v>415.60300000000001</v>
      </c>
      <c r="J307">
        <v>1090.33</v>
      </c>
      <c r="K307" s="5">
        <v>2.7958236745225001E-2</v>
      </c>
      <c r="L307" s="5">
        <v>7.3592627010500566E-2</v>
      </c>
      <c r="M307" s="8">
        <v>7.7100000000000002E-2</v>
      </c>
      <c r="N307">
        <v>23050.241666666701</v>
      </c>
      <c r="O307" s="3">
        <f t="shared" si="42"/>
        <v>44</v>
      </c>
      <c r="P307" s="15">
        <v>1976</v>
      </c>
      <c r="Q307" s="15">
        <v>117.24</v>
      </c>
      <c r="R307" s="15">
        <v>163.52000000000001</v>
      </c>
      <c r="S307" s="2">
        <f t="shared" si="40"/>
        <v>16.526481977739749</v>
      </c>
      <c r="T307" s="8">
        <f t="shared" si="43"/>
        <v>9.3598939372429944E-3</v>
      </c>
      <c r="U307" s="8">
        <f t="shared" si="44"/>
        <v>2.4455749553006739E-3</v>
      </c>
      <c r="V307" s="9">
        <f t="shared" si="45"/>
        <v>2.8272774739354625</v>
      </c>
      <c r="W307">
        <f t="shared" si="46"/>
        <v>1.1110727944750671</v>
      </c>
      <c r="X307">
        <f t="shared" si="41"/>
        <v>6.8801190647609411</v>
      </c>
      <c r="Y307" s="8">
        <f t="shared" si="47"/>
        <v>0.2031782415498784</v>
      </c>
      <c r="Z307" s="8">
        <f t="shared" si="48"/>
        <v>4.7805213770522714E-2</v>
      </c>
      <c r="AA307" s="10">
        <f t="shared" si="49"/>
        <v>4.9141763254774998E-2</v>
      </c>
    </row>
    <row r="308" spans="1:27" x14ac:dyDescent="0.3">
      <c r="A308" t="s">
        <v>85</v>
      </c>
      <c r="B308">
        <v>2019</v>
      </c>
      <c r="C308">
        <v>89.808000000000007</v>
      </c>
      <c r="D308">
        <v>959.08399999999995</v>
      </c>
      <c r="E308">
        <v>672.11099999999999</v>
      </c>
      <c r="F308">
        <v>556.745</v>
      </c>
      <c r="G308">
        <v>1631.1949999999999</v>
      </c>
      <c r="H308">
        <v>1045.45</v>
      </c>
      <c r="I308">
        <v>585.745</v>
      </c>
      <c r="J308">
        <v>966.81</v>
      </c>
      <c r="K308" s="5">
        <v>2.7958236745225001E-2</v>
      </c>
      <c r="L308" s="5">
        <v>7.3592627010500566E-2</v>
      </c>
      <c r="M308" s="8">
        <v>7.7100000000000002E-2</v>
      </c>
      <c r="N308">
        <v>23050.241666666701</v>
      </c>
      <c r="O308" s="3">
        <f t="shared" si="42"/>
        <v>60</v>
      </c>
      <c r="P308" s="15">
        <v>1960</v>
      </c>
      <c r="Q308" s="15">
        <v>117.24</v>
      </c>
      <c r="R308" s="15">
        <v>163.52000000000001</v>
      </c>
      <c r="S308" s="2">
        <f t="shared" si="40"/>
        <v>16.526481977739749</v>
      </c>
      <c r="T308" s="8">
        <f t="shared" si="43"/>
        <v>0.15332269161495191</v>
      </c>
      <c r="U308" s="8">
        <f t="shared" si="44"/>
        <v>5.505656895711427E-2</v>
      </c>
      <c r="V308" s="9">
        <f t="shared" si="45"/>
        <v>1.7848210398722995</v>
      </c>
      <c r="W308">
        <f t="shared" si="46"/>
        <v>0.9920087711132487</v>
      </c>
      <c r="X308">
        <f t="shared" si="41"/>
        <v>6.9053030330002461</v>
      </c>
      <c r="Y308" s="8">
        <f t="shared" si="47"/>
        <v>0.34131112466627228</v>
      </c>
      <c r="Z308" s="8">
        <f t="shared" si="48"/>
        <v>4.7805213770522714E-2</v>
      </c>
      <c r="AA308" s="10">
        <f t="shared" si="49"/>
        <v>4.9141763254774998E-2</v>
      </c>
    </row>
    <row r="309" spans="1:27" hidden="1" x14ac:dyDescent="0.3">
      <c r="A309" t="s">
        <v>86</v>
      </c>
      <c r="B309">
        <v>2019</v>
      </c>
      <c r="C309">
        <v>677.77599999999995</v>
      </c>
      <c r="D309">
        <v>1651.0139999999999</v>
      </c>
      <c r="E309">
        <v>574.31399999999996</v>
      </c>
      <c r="F309">
        <v>524.529</v>
      </c>
      <c r="G309">
        <v>2225.3290000000002</v>
      </c>
      <c r="H309">
        <v>783.25800000000004</v>
      </c>
      <c r="I309">
        <v>1442.0709999999999</v>
      </c>
      <c r="J309">
        <v>778.14</v>
      </c>
      <c r="K309" s="5">
        <v>2.7958236745225001E-2</v>
      </c>
      <c r="L309" s="5">
        <v>7.3592627010500566E-2</v>
      </c>
      <c r="M309" s="8">
        <v>7.7100000000000002E-2</v>
      </c>
      <c r="N309">
        <v>23050.241666666701</v>
      </c>
      <c r="O309" s="3">
        <f t="shared" si="42"/>
        <v>51</v>
      </c>
      <c r="P309" s="15">
        <v>1969</v>
      </c>
      <c r="Q309" s="15">
        <v>117.24</v>
      </c>
      <c r="R309" s="15">
        <v>163.52000000000001</v>
      </c>
      <c r="S309" s="2">
        <f t="shared" si="40"/>
        <v>16.526481977739749</v>
      </c>
      <c r="T309" s="8">
        <f t="shared" si="43"/>
        <v>0.47000182376595884</v>
      </c>
      <c r="U309" s="8">
        <f t="shared" si="44"/>
        <v>0.30457339117047405</v>
      </c>
      <c r="V309" s="9">
        <f t="shared" si="45"/>
        <v>0.54314801421011871</v>
      </c>
      <c r="W309">
        <f t="shared" si="46"/>
        <v>2.1217441591487392</v>
      </c>
      <c r="X309">
        <f t="shared" si="41"/>
        <v>7.2158949278106554</v>
      </c>
      <c r="Y309" s="8">
        <f t="shared" si="47"/>
        <v>0.23570851770681997</v>
      </c>
      <c r="Z309" s="8">
        <f t="shared" si="48"/>
        <v>4.7805213770522714E-2</v>
      </c>
      <c r="AA309" s="10">
        <f t="shared" si="49"/>
        <v>4.9141763254774998E-2</v>
      </c>
    </row>
    <row r="310" spans="1:27" x14ac:dyDescent="0.3">
      <c r="A310" t="s">
        <v>87</v>
      </c>
      <c r="B310">
        <v>2019</v>
      </c>
      <c r="C310">
        <v>1179.123</v>
      </c>
      <c r="D310">
        <v>4611.3609999999999</v>
      </c>
      <c r="E310">
        <v>2001.0530000000001</v>
      </c>
      <c r="F310">
        <v>1504.403</v>
      </c>
      <c r="G310">
        <v>6612.4139999999998</v>
      </c>
      <c r="H310">
        <v>1735.134</v>
      </c>
      <c r="I310">
        <v>4877.28</v>
      </c>
      <c r="J310">
        <v>1715.66</v>
      </c>
      <c r="K310" s="5">
        <v>2.7958236745225001E-2</v>
      </c>
      <c r="L310" s="5">
        <v>7.3592627010500566E-2</v>
      </c>
      <c r="M310" s="8">
        <v>7.7100000000000002E-2</v>
      </c>
      <c r="N310">
        <v>23050.241666666701</v>
      </c>
      <c r="O310" s="3">
        <f t="shared" si="42"/>
        <v>23</v>
      </c>
      <c r="P310" s="15">
        <v>1997</v>
      </c>
      <c r="Q310" s="15">
        <v>117.24</v>
      </c>
      <c r="R310" s="15">
        <v>163.52000000000001</v>
      </c>
      <c r="S310" s="2">
        <f t="shared" si="40"/>
        <v>16.526481977739749</v>
      </c>
      <c r="T310" s="8">
        <f t="shared" si="43"/>
        <v>0.24175831611061904</v>
      </c>
      <c r="U310" s="8">
        <f t="shared" si="44"/>
        <v>0.17831959704882364</v>
      </c>
      <c r="V310" s="9">
        <f t="shared" si="45"/>
        <v>0.35575853754551717</v>
      </c>
      <c r="W310">
        <f t="shared" si="46"/>
        <v>2.6878058589697256</v>
      </c>
      <c r="X310">
        <f t="shared" si="41"/>
        <v>8.3049389493836543</v>
      </c>
      <c r="Y310" s="8">
        <f t="shared" si="47"/>
        <v>0.22751191924764541</v>
      </c>
      <c r="Z310" s="8">
        <f t="shared" si="48"/>
        <v>4.7805213770522714E-2</v>
      </c>
      <c r="AA310" s="10">
        <f t="shared" si="49"/>
        <v>4.9141763254774998E-2</v>
      </c>
    </row>
    <row r="311" spans="1:27" x14ac:dyDescent="0.3">
      <c r="A311" t="s">
        <v>88</v>
      </c>
      <c r="B311">
        <v>2019</v>
      </c>
      <c r="C311">
        <v>10554.332</v>
      </c>
      <c r="D311">
        <v>24721.564999999999</v>
      </c>
      <c r="E311">
        <v>19978.308000000001</v>
      </c>
      <c r="F311">
        <v>14893.54</v>
      </c>
      <c r="G311">
        <v>44699.873</v>
      </c>
      <c r="H311">
        <v>14968.618</v>
      </c>
      <c r="I311">
        <v>29731.255000000001</v>
      </c>
      <c r="J311">
        <v>14442.85</v>
      </c>
      <c r="K311" s="5">
        <v>2.7958236745225001E-2</v>
      </c>
      <c r="L311" s="5">
        <v>7.3592627010500566E-2</v>
      </c>
      <c r="M311" s="8">
        <v>7.7100000000000002E-2</v>
      </c>
      <c r="N311">
        <v>23050.241666666701</v>
      </c>
      <c r="O311" s="3">
        <f t="shared" si="42"/>
        <v>44</v>
      </c>
      <c r="P311" s="15">
        <v>1976</v>
      </c>
      <c r="Q311" s="15">
        <v>117.24</v>
      </c>
      <c r="R311" s="15">
        <v>163.52000000000001</v>
      </c>
      <c r="S311" s="2">
        <f t="shared" si="40"/>
        <v>16.526481977739749</v>
      </c>
      <c r="T311" s="8">
        <f t="shared" si="43"/>
        <v>0.35499113643201408</v>
      </c>
      <c r="U311" s="8">
        <f t="shared" si="44"/>
        <v>0.23611548068604132</v>
      </c>
      <c r="V311" s="9">
        <f t="shared" si="45"/>
        <v>0.50346404818767321</v>
      </c>
      <c r="W311">
        <f t="shared" si="46"/>
        <v>1.7116819048871932</v>
      </c>
      <c r="X311">
        <f t="shared" si="41"/>
        <v>10.215960818407066</v>
      </c>
      <c r="Y311" s="8">
        <f t="shared" si="47"/>
        <v>0.33318976096419783</v>
      </c>
      <c r="Z311" s="8">
        <f t="shared" si="48"/>
        <v>4.7805213770522714E-2</v>
      </c>
      <c r="AA311" s="10">
        <f t="shared" si="49"/>
        <v>4.9141763254774998E-2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Sheet1 (2)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2024-10-01T02:25:14Z</dcterms:created>
  <dcterms:modified xsi:type="dcterms:W3CDTF">2024-10-14T02:11:27Z</dcterms:modified>
</cp:coreProperties>
</file>